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upopatagual.sharepoint.com/sites/patagual-TerrenosGP/Shared Documents/Terrenos GP/"/>
    </mc:Choice>
  </mc:AlternateContent>
  <xr:revisionPtr revIDLastSave="2472" documentId="8_{8076F147-D8F2-4B61-8426-687595D26EF4}" xr6:coauthVersionLast="47" xr6:coauthVersionMax="47" xr10:uidLastSave="{CBCF2D51-7D8E-4187-8055-08CAC8275883}"/>
  <bookViews>
    <workbookView xWindow="-28920" yWindow="-8280" windowWidth="29040" windowHeight="15720" tabRatio="682" xr2:uid="{7FF15AC4-FA17-428F-A8AD-BE2482FDBD07}"/>
  </bookViews>
  <sheets>
    <sheet name="RESUMEN" sheetId="1" r:id="rId1"/>
    <sheet name="BBDD TERRENO" sheetId="9" r:id="rId2"/>
    <sheet name="OTROS" sheetId="11" state="hidden" r:id="rId3"/>
    <sheet name="TERRENO VENDIDOS" sheetId="3" r:id="rId4"/>
    <sheet name="VENDIDOS" sheetId="8" state="hidden" r:id="rId5"/>
    <sheet name="FAMILIA" sheetId="7" state="hidden" r:id="rId6"/>
    <sheet name="DISPONIBLES" sheetId="6" state="hidden" r:id="rId7"/>
    <sheet name="TERRENO POR VENDER" sheetId="4" r:id="rId8"/>
    <sheet name="OTROS TERRENOS" sheetId="10" r:id="rId9"/>
    <sheet name="TERRENO FAMILIA" sheetId="2" r:id="rId10"/>
    <sheet name="CONSTRUCCIONES" sheetId="12" state="hidden" r:id="rId11"/>
    <sheet name="CONSTRUCCION" sheetId="5" r:id="rId12"/>
  </sheets>
  <externalReferences>
    <externalReference r:id="rId13"/>
  </externalReferences>
  <definedNames>
    <definedName name="_xlnm._FilterDatabase" localSheetId="7" hidden="1">'TERRENO POR VENDER'!$D$157:$D$157</definedName>
    <definedName name="DatosExternos_1" localSheetId="10" hidden="1">'CONSTRUCCIONES'!$A$1:$BA$95</definedName>
    <definedName name="DatosExternos_1" localSheetId="6" hidden="1">DISPONIBLES!$A$1:$AU$151</definedName>
    <definedName name="DatosExternos_1" localSheetId="2" hidden="1">OTROS!$A$1:$AS$82</definedName>
    <definedName name="DatosExternos_2" localSheetId="5" hidden="1">FAMILIA!$A$1:$AS$83</definedName>
    <definedName name="DatosExternos_3" localSheetId="4" hidden="1">VENDIDOS!$A$1:$AV$185</definedName>
    <definedName name="DatosExternos_4" localSheetId="1" hidden="1">'BBDD TERRENO'!$A$1:$BA$498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9" l="1"/>
  <c r="BB3" i="9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BB30" i="9"/>
  <c r="BB31" i="9"/>
  <c r="BB32" i="9"/>
  <c r="BB33" i="9"/>
  <c r="BB34" i="9"/>
  <c r="BB35" i="9"/>
  <c r="BB36" i="9"/>
  <c r="BB37" i="9"/>
  <c r="BB38" i="9"/>
  <c r="BB39" i="9"/>
  <c r="BB40" i="9"/>
  <c r="BB41" i="9"/>
  <c r="BB42" i="9"/>
  <c r="BB43" i="9"/>
  <c r="BB44" i="9"/>
  <c r="BB45" i="9"/>
  <c r="BB46" i="9"/>
  <c r="BB47" i="9"/>
  <c r="BB48" i="9"/>
  <c r="BB49" i="9"/>
  <c r="BB50" i="9"/>
  <c r="BB51" i="9"/>
  <c r="BB52" i="9"/>
  <c r="BB53" i="9"/>
  <c r="BB54" i="9"/>
  <c r="BB55" i="9"/>
  <c r="BB56" i="9"/>
  <c r="BB57" i="9"/>
  <c r="BB58" i="9"/>
  <c r="BB59" i="9"/>
  <c r="BB60" i="9"/>
  <c r="BB61" i="9"/>
  <c r="BB62" i="9"/>
  <c r="BB63" i="9"/>
  <c r="BB64" i="9"/>
  <c r="BB65" i="9"/>
  <c r="BB66" i="9"/>
  <c r="BB67" i="9"/>
  <c r="BB68" i="9"/>
  <c r="BB69" i="9"/>
  <c r="BB70" i="9"/>
  <c r="BB71" i="9"/>
  <c r="BB72" i="9"/>
  <c r="BB73" i="9"/>
  <c r="BB74" i="9"/>
  <c r="BB75" i="9"/>
  <c r="BB76" i="9"/>
  <c r="BB77" i="9"/>
  <c r="BB78" i="9"/>
  <c r="BB79" i="9"/>
  <c r="BB80" i="9"/>
  <c r="BB81" i="9"/>
  <c r="BB82" i="9"/>
  <c r="BB83" i="9"/>
  <c r="BB84" i="9"/>
  <c r="BB85" i="9"/>
  <c r="BB86" i="9"/>
  <c r="BB87" i="9"/>
  <c r="BB88" i="9"/>
  <c r="BB89" i="9"/>
  <c r="BB90" i="9"/>
  <c r="BB91" i="9"/>
  <c r="BB92" i="9"/>
  <c r="BB93" i="9"/>
  <c r="BB94" i="9"/>
  <c r="BB95" i="9"/>
  <c r="BB96" i="9"/>
  <c r="BB97" i="9"/>
  <c r="BB98" i="9"/>
  <c r="BB99" i="9"/>
  <c r="BB100" i="9"/>
  <c r="BB101" i="9"/>
  <c r="BB102" i="9"/>
  <c r="BB103" i="9"/>
  <c r="BB104" i="9"/>
  <c r="BB105" i="9"/>
  <c r="BB106" i="9"/>
  <c r="BB107" i="9"/>
  <c r="BB108" i="9"/>
  <c r="BB109" i="9"/>
  <c r="BB110" i="9"/>
  <c r="BB111" i="9"/>
  <c r="BB112" i="9"/>
  <c r="BB113" i="9"/>
  <c r="BB114" i="9"/>
  <c r="BB115" i="9"/>
  <c r="BB116" i="9"/>
  <c r="BB117" i="9"/>
  <c r="BB118" i="9"/>
  <c r="BB119" i="9"/>
  <c r="BB120" i="9"/>
  <c r="BB121" i="9"/>
  <c r="BB122" i="9"/>
  <c r="BB123" i="9"/>
  <c r="BB124" i="9"/>
  <c r="BB125" i="9"/>
  <c r="BB126" i="9"/>
  <c r="BB127" i="9"/>
  <c r="BB128" i="9"/>
  <c r="BB129" i="9"/>
  <c r="BB130" i="9"/>
  <c r="BB131" i="9"/>
  <c r="BB132" i="9"/>
  <c r="BB133" i="9"/>
  <c r="BB134" i="9"/>
  <c r="BB135" i="9"/>
  <c r="BB136" i="9"/>
  <c r="BB137" i="9"/>
  <c r="BB138" i="9"/>
  <c r="BB139" i="9"/>
  <c r="BB140" i="9"/>
  <c r="BB141" i="9"/>
  <c r="BB142" i="9"/>
  <c r="BB143" i="9"/>
  <c r="BB144" i="9"/>
  <c r="BB145" i="9"/>
  <c r="BB146" i="9"/>
  <c r="BB147" i="9"/>
  <c r="BB148" i="9"/>
  <c r="BB149" i="9"/>
  <c r="BB150" i="9"/>
  <c r="BB151" i="9"/>
  <c r="BB152" i="9"/>
  <c r="BB153" i="9"/>
  <c r="BB154" i="9"/>
  <c r="BB155" i="9"/>
  <c r="BB156" i="9"/>
  <c r="BB157" i="9"/>
  <c r="BB158" i="9"/>
  <c r="BB159" i="9"/>
  <c r="BB160" i="9"/>
  <c r="BB161" i="9"/>
  <c r="BB162" i="9"/>
  <c r="BB163" i="9"/>
  <c r="BB164" i="9"/>
  <c r="BB165" i="9"/>
  <c r="BB166" i="9"/>
  <c r="BB167" i="9"/>
  <c r="BB168" i="9"/>
  <c r="BB169" i="9"/>
  <c r="BB170" i="9"/>
  <c r="BB171" i="9"/>
  <c r="BB172" i="9"/>
  <c r="BB173" i="9"/>
  <c r="BB174" i="9"/>
  <c r="BB175" i="9"/>
  <c r="BB176" i="9"/>
  <c r="BB177" i="9"/>
  <c r="BB178" i="9"/>
  <c r="BB179" i="9"/>
  <c r="BB180" i="9"/>
  <c r="BB181" i="9"/>
  <c r="BB182" i="9"/>
  <c r="BB183" i="9"/>
  <c r="BB184" i="9"/>
  <c r="BB185" i="9"/>
  <c r="BB186" i="9"/>
  <c r="BB187" i="9"/>
  <c r="BB188" i="9"/>
  <c r="BB189" i="9"/>
  <c r="BB190" i="9"/>
  <c r="BB191" i="9"/>
  <c r="BB192" i="9"/>
  <c r="BB193" i="9"/>
  <c r="BB194" i="9"/>
  <c r="BB195" i="9"/>
  <c r="BB196" i="9"/>
  <c r="BB197" i="9"/>
  <c r="BB198" i="9"/>
  <c r="BB199" i="9"/>
  <c r="BB200" i="9"/>
  <c r="BB201" i="9"/>
  <c r="BB202" i="9"/>
  <c r="BB203" i="9"/>
  <c r="BB204" i="9"/>
  <c r="BB205" i="9"/>
  <c r="BB206" i="9"/>
  <c r="BB207" i="9"/>
  <c r="BB208" i="9"/>
  <c r="BB209" i="9"/>
  <c r="BB210" i="9"/>
  <c r="BB211" i="9"/>
  <c r="BB212" i="9"/>
  <c r="BB213" i="9"/>
  <c r="BB214" i="9"/>
  <c r="BB215" i="9"/>
  <c r="BB216" i="9"/>
  <c r="BB217" i="9"/>
  <c r="BB218" i="9"/>
  <c r="BB219" i="9"/>
  <c r="BB220" i="9"/>
  <c r="BB221" i="9"/>
  <c r="BB222" i="9"/>
  <c r="BB223" i="9"/>
  <c r="BB224" i="9"/>
  <c r="BB225" i="9"/>
  <c r="BB226" i="9"/>
  <c r="BB227" i="9"/>
  <c r="BB228" i="9"/>
  <c r="BB229" i="9"/>
  <c r="BB230" i="9"/>
  <c r="BB231" i="9"/>
  <c r="BB232" i="9"/>
  <c r="BB233" i="9"/>
  <c r="BB234" i="9"/>
  <c r="BB235" i="9"/>
  <c r="BB236" i="9"/>
  <c r="BB237" i="9"/>
  <c r="BB238" i="9"/>
  <c r="BB239" i="9"/>
  <c r="BB240" i="9"/>
  <c r="BB241" i="9"/>
  <c r="BB242" i="9"/>
  <c r="BB243" i="9"/>
  <c r="BB244" i="9"/>
  <c r="BB245" i="9"/>
  <c r="BB246" i="9"/>
  <c r="BB247" i="9"/>
  <c r="BB248" i="9"/>
  <c r="BB249" i="9"/>
  <c r="BB250" i="9"/>
  <c r="BB251" i="9"/>
  <c r="BB252" i="9"/>
  <c r="BB253" i="9"/>
  <c r="BB254" i="9"/>
  <c r="BB255" i="9"/>
  <c r="BB256" i="9"/>
  <c r="BB257" i="9"/>
  <c r="BB258" i="9"/>
  <c r="BB259" i="9"/>
  <c r="BB260" i="9"/>
  <c r="BB261" i="9"/>
  <c r="BB262" i="9"/>
  <c r="BB263" i="9"/>
  <c r="BB264" i="9"/>
  <c r="BB265" i="9"/>
  <c r="BB266" i="9"/>
  <c r="BB267" i="9"/>
  <c r="BB268" i="9"/>
  <c r="BB269" i="9"/>
  <c r="BB270" i="9"/>
  <c r="BB271" i="9"/>
  <c r="BB272" i="9"/>
  <c r="BB273" i="9"/>
  <c r="BB274" i="9"/>
  <c r="BB275" i="9"/>
  <c r="BB276" i="9"/>
  <c r="BB277" i="9"/>
  <c r="BB278" i="9"/>
  <c r="BB279" i="9"/>
  <c r="BB280" i="9"/>
  <c r="BB281" i="9"/>
  <c r="BB282" i="9"/>
  <c r="BB283" i="9"/>
  <c r="BB284" i="9"/>
  <c r="BB285" i="9"/>
  <c r="BB286" i="9"/>
  <c r="BB287" i="9"/>
  <c r="BB288" i="9"/>
  <c r="BB289" i="9"/>
  <c r="BB290" i="9"/>
  <c r="BB291" i="9"/>
  <c r="BB292" i="9"/>
  <c r="BB293" i="9"/>
  <c r="BB294" i="9"/>
  <c r="BB295" i="9"/>
  <c r="BB296" i="9"/>
  <c r="BB297" i="9"/>
  <c r="BB298" i="9"/>
  <c r="BB299" i="9"/>
  <c r="BB300" i="9"/>
  <c r="BB301" i="9"/>
  <c r="BB302" i="9"/>
  <c r="BB303" i="9"/>
  <c r="BB304" i="9"/>
  <c r="BB305" i="9"/>
  <c r="BB306" i="9"/>
  <c r="BB307" i="9"/>
  <c r="BB308" i="9"/>
  <c r="BB309" i="9"/>
  <c r="BB310" i="9"/>
  <c r="BB311" i="9"/>
  <c r="BB312" i="9"/>
  <c r="BB313" i="9"/>
  <c r="BB314" i="9"/>
  <c r="BB315" i="9"/>
  <c r="BB316" i="9"/>
  <c r="BB317" i="9"/>
  <c r="BB318" i="9"/>
  <c r="BB319" i="9"/>
  <c r="BB320" i="9"/>
  <c r="BB321" i="9"/>
  <c r="BB322" i="9"/>
  <c r="BB323" i="9"/>
  <c r="BB324" i="9"/>
  <c r="BB325" i="9"/>
  <c r="BB326" i="9"/>
  <c r="BB327" i="9"/>
  <c r="BB328" i="9"/>
  <c r="BB329" i="9"/>
  <c r="BB330" i="9"/>
  <c r="BB331" i="9"/>
  <c r="BB332" i="9"/>
  <c r="BB333" i="9"/>
  <c r="BB334" i="9"/>
  <c r="BB335" i="9"/>
  <c r="BB336" i="9"/>
  <c r="BB337" i="9"/>
  <c r="BB338" i="9"/>
  <c r="BB339" i="9"/>
  <c r="BB340" i="9"/>
  <c r="BB341" i="9"/>
  <c r="BB342" i="9"/>
  <c r="BB343" i="9"/>
  <c r="BB344" i="9"/>
  <c r="BB345" i="9"/>
  <c r="BB346" i="9"/>
  <c r="BB347" i="9"/>
  <c r="BB348" i="9"/>
  <c r="BB349" i="9"/>
  <c r="BB350" i="9"/>
  <c r="BB351" i="9"/>
  <c r="BB352" i="9"/>
  <c r="BB353" i="9"/>
  <c r="BB354" i="9"/>
  <c r="BB355" i="9"/>
  <c r="BB356" i="9"/>
  <c r="BB357" i="9"/>
  <c r="BB358" i="9"/>
  <c r="BB359" i="9"/>
  <c r="BB360" i="9"/>
  <c r="BB361" i="9"/>
  <c r="BB362" i="9"/>
  <c r="BB363" i="9"/>
  <c r="BB364" i="9"/>
  <c r="BB365" i="9"/>
  <c r="BB366" i="9"/>
  <c r="BB367" i="9"/>
  <c r="BB368" i="9"/>
  <c r="BB369" i="9"/>
  <c r="BB370" i="9"/>
  <c r="BB371" i="9"/>
  <c r="BB372" i="9"/>
  <c r="BB373" i="9"/>
  <c r="BB374" i="9"/>
  <c r="BB375" i="9"/>
  <c r="BB376" i="9"/>
  <c r="BB377" i="9"/>
  <c r="BB378" i="9"/>
  <c r="BB379" i="9"/>
  <c r="BB380" i="9"/>
  <c r="BB381" i="9"/>
  <c r="BB382" i="9"/>
  <c r="BB383" i="9"/>
  <c r="BB384" i="9"/>
  <c r="BB385" i="9"/>
  <c r="BB386" i="9"/>
  <c r="BB387" i="9"/>
  <c r="BB388" i="9"/>
  <c r="BB389" i="9"/>
  <c r="BB390" i="9"/>
  <c r="BB391" i="9"/>
  <c r="BB392" i="9"/>
  <c r="BB393" i="9"/>
  <c r="BB394" i="9"/>
  <c r="BB395" i="9"/>
  <c r="BB396" i="9"/>
  <c r="BB397" i="9"/>
  <c r="BB398" i="9"/>
  <c r="BB399" i="9"/>
  <c r="BB400" i="9"/>
  <c r="BB401" i="9"/>
  <c r="BB402" i="9"/>
  <c r="BB403" i="9"/>
  <c r="BB404" i="9"/>
  <c r="BB405" i="9"/>
  <c r="BB406" i="9"/>
  <c r="BB407" i="9"/>
  <c r="BB408" i="9"/>
  <c r="BB409" i="9"/>
  <c r="BB410" i="9"/>
  <c r="BB411" i="9"/>
  <c r="BB412" i="9"/>
  <c r="BB413" i="9"/>
  <c r="BB414" i="9"/>
  <c r="BB415" i="9"/>
  <c r="BB416" i="9"/>
  <c r="BB417" i="9"/>
  <c r="BB418" i="9"/>
  <c r="BB419" i="9"/>
  <c r="BB420" i="9"/>
  <c r="BB421" i="9"/>
  <c r="BB422" i="9"/>
  <c r="BB423" i="9"/>
  <c r="BB424" i="9"/>
  <c r="BB425" i="9"/>
  <c r="BB426" i="9"/>
  <c r="BB427" i="9"/>
  <c r="BB428" i="9"/>
  <c r="BB429" i="9"/>
  <c r="BB430" i="9"/>
  <c r="BB431" i="9"/>
  <c r="BB432" i="9"/>
  <c r="BB433" i="9"/>
  <c r="BB434" i="9"/>
  <c r="BB435" i="9"/>
  <c r="BB436" i="9"/>
  <c r="BB437" i="9"/>
  <c r="BB438" i="9"/>
  <c r="BB439" i="9"/>
  <c r="BB440" i="9"/>
  <c r="BB441" i="9"/>
  <c r="BB442" i="9"/>
  <c r="BB443" i="9"/>
  <c r="BB444" i="9"/>
  <c r="BB445" i="9"/>
  <c r="BB446" i="9"/>
  <c r="BB447" i="9"/>
  <c r="BB448" i="9"/>
  <c r="BB449" i="9"/>
  <c r="BB450" i="9"/>
  <c r="BB451" i="9"/>
  <c r="BB452" i="9"/>
  <c r="BB453" i="9"/>
  <c r="BB454" i="9"/>
  <c r="BB455" i="9"/>
  <c r="BB456" i="9"/>
  <c r="BB457" i="9"/>
  <c r="BB458" i="9"/>
  <c r="BB459" i="9"/>
  <c r="BB460" i="9"/>
  <c r="BB461" i="9"/>
  <c r="BB462" i="9"/>
  <c r="BB463" i="9"/>
  <c r="BB464" i="9"/>
  <c r="BB465" i="9"/>
  <c r="BB466" i="9"/>
  <c r="BB467" i="9"/>
  <c r="BB468" i="9"/>
  <c r="BB469" i="9"/>
  <c r="BB470" i="9"/>
  <c r="BB471" i="9"/>
  <c r="BB472" i="9"/>
  <c r="BB473" i="9"/>
  <c r="BB474" i="9"/>
  <c r="BB475" i="9"/>
  <c r="BB476" i="9"/>
  <c r="BB477" i="9"/>
  <c r="BB478" i="9"/>
  <c r="BB479" i="9"/>
  <c r="BB480" i="9"/>
  <c r="BB481" i="9"/>
  <c r="BB482" i="9"/>
  <c r="BB483" i="9"/>
  <c r="BB484" i="9"/>
  <c r="BB485" i="9"/>
  <c r="BB486" i="9"/>
  <c r="BB487" i="9"/>
  <c r="BB488" i="9"/>
  <c r="BB489" i="9"/>
  <c r="BB490" i="9"/>
  <c r="BB491" i="9"/>
  <c r="BB492" i="9"/>
  <c r="BB493" i="9"/>
  <c r="BB494" i="9"/>
  <c r="BB495" i="9"/>
  <c r="BB496" i="9"/>
  <c r="BB497" i="9"/>
  <c r="BB498" i="9"/>
  <c r="AK10" i="4"/>
  <c r="AK38" i="4"/>
  <c r="AK42" i="4"/>
  <c r="AK45" i="4"/>
  <c r="Y185" i="3"/>
  <c r="Z185" i="3"/>
  <c r="Y184" i="3"/>
  <c r="Z184" i="3"/>
  <c r="X173" i="3"/>
  <c r="X174" i="3"/>
  <c r="X175" i="3"/>
  <c r="X176" i="3"/>
  <c r="X177" i="3"/>
  <c r="X178" i="3"/>
  <c r="X179" i="3"/>
  <c r="X180" i="3"/>
  <c r="X181" i="3"/>
  <c r="X182" i="3"/>
  <c r="X183" i="3"/>
  <c r="V173" i="3"/>
  <c r="V174" i="3"/>
  <c r="V175" i="3"/>
  <c r="V176" i="3"/>
  <c r="V177" i="3"/>
  <c r="V178" i="3"/>
  <c r="V179" i="3"/>
  <c r="V180" i="3"/>
  <c r="V181" i="3"/>
  <c r="V182" i="3"/>
  <c r="V183" i="3"/>
  <c r="U178" i="3"/>
  <c r="U177" i="3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T151" i="4"/>
  <c r="U151" i="4"/>
  <c r="V151" i="4"/>
  <c r="T150" i="4"/>
  <c r="U150" i="4"/>
  <c r="V150" i="4"/>
  <c r="T149" i="4"/>
  <c r="U149" i="4"/>
  <c r="V149" i="4"/>
  <c r="T148" i="4"/>
  <c r="U148" i="4"/>
  <c r="V148" i="4"/>
  <c r="T146" i="4"/>
  <c r="T147" i="4"/>
  <c r="U146" i="4"/>
  <c r="U147" i="4"/>
  <c r="V146" i="4"/>
  <c r="V147" i="4"/>
  <c r="AM144" i="4"/>
  <c r="AM53" i="4"/>
  <c r="AR142" i="4"/>
  <c r="AR88" i="4"/>
  <c r="AR86" i="4"/>
  <c r="AR71" i="4"/>
  <c r="AN142" i="4"/>
  <c r="AN88" i="4"/>
  <c r="AN86" i="4"/>
  <c r="AN71" i="4"/>
  <c r="AL142" i="4"/>
  <c r="AL88" i="4"/>
  <c r="AL86" i="4"/>
  <c r="AL71" i="4"/>
  <c r="AM10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56" i="4"/>
  <c r="E76" i="4"/>
  <c r="T6" i="4"/>
  <c r="U6" i="4"/>
  <c r="V6" i="4"/>
  <c r="T7" i="4"/>
  <c r="U7" i="4"/>
  <c r="V7" i="4"/>
  <c r="W183" i="3"/>
  <c r="W177" i="3"/>
  <c r="W178" i="3"/>
  <c r="W179" i="3"/>
  <c r="W180" i="3"/>
  <c r="W181" i="3"/>
  <c r="W182" i="3"/>
  <c r="L4" i="2" l="1"/>
  <c r="N2" i="2"/>
  <c r="N3" i="2"/>
  <c r="N4" i="2"/>
  <c r="N5" i="2"/>
  <c r="N72" i="2"/>
  <c r="N78" i="2"/>
  <c r="N79" i="2"/>
  <c r="N80" i="2"/>
  <c r="N81" i="2"/>
  <c r="N82" i="2"/>
  <c r="Q5" i="3"/>
  <c r="Q6" i="3"/>
  <c r="Q7" i="3"/>
  <c r="Q8" i="3"/>
  <c r="Q9" i="3"/>
  <c r="Q10" i="3"/>
  <c r="Q11" i="3"/>
  <c r="Q12" i="3"/>
  <c r="Q16" i="3"/>
  <c r="Q17" i="3"/>
  <c r="Q18" i="3"/>
  <c r="Q19" i="3"/>
  <c r="Q20" i="3"/>
  <c r="T56" i="4" l="1"/>
  <c r="T63" i="4"/>
  <c r="T68" i="4"/>
  <c r="T62" i="4"/>
  <c r="T64" i="4"/>
  <c r="T58" i="4"/>
  <c r="T66" i="4"/>
  <c r="T65" i="4"/>
  <c r="T57" i="4"/>
  <c r="T69" i="4"/>
  <c r="T70" i="4"/>
  <c r="T67" i="4"/>
  <c r="T59" i="4"/>
  <c r="T60" i="4"/>
  <c r="T61" i="4"/>
  <c r="T40" i="4"/>
  <c r="T39" i="4"/>
  <c r="T49" i="4"/>
  <c r="T78" i="4"/>
  <c r="T54" i="4"/>
  <c r="T48" i="4"/>
  <c r="U56" i="4"/>
  <c r="U63" i="4"/>
  <c r="U68" i="4"/>
  <c r="U62" i="4"/>
  <c r="U64" i="4"/>
  <c r="U58" i="4"/>
  <c r="U66" i="4"/>
  <c r="U65" i="4"/>
  <c r="U57" i="4"/>
  <c r="U69" i="4"/>
  <c r="U70" i="4"/>
  <c r="U67" i="4"/>
  <c r="U59" i="4"/>
  <c r="U60" i="4"/>
  <c r="U61" i="4"/>
  <c r="U40" i="4"/>
  <c r="U39" i="4"/>
  <c r="U49" i="4"/>
  <c r="U78" i="4"/>
  <c r="U54" i="4"/>
  <c r="U48" i="4"/>
  <c r="V56" i="4"/>
  <c r="V63" i="4"/>
  <c r="V68" i="4"/>
  <c r="V62" i="4"/>
  <c r="V64" i="4"/>
  <c r="V58" i="4"/>
  <c r="V66" i="4"/>
  <c r="V65" i="4"/>
  <c r="V57" i="4"/>
  <c r="V69" i="4"/>
  <c r="V70" i="4"/>
  <c r="V67" i="4"/>
  <c r="V59" i="4"/>
  <c r="V60" i="4"/>
  <c r="V61" i="4"/>
  <c r="V40" i="4"/>
  <c r="V39" i="4"/>
  <c r="V49" i="4"/>
  <c r="V78" i="4"/>
  <c r="V54" i="4"/>
  <c r="V48" i="4"/>
  <c r="U38" i="10" l="1"/>
  <c r="T38" i="10"/>
  <c r="S38" i="10"/>
  <c r="U81" i="10"/>
  <c r="T81" i="10"/>
  <c r="S81" i="10"/>
  <c r="U80" i="10"/>
  <c r="T80" i="10"/>
  <c r="S80" i="10"/>
  <c r="U79" i="10"/>
  <c r="T79" i="10"/>
  <c r="S79" i="10"/>
  <c r="U78" i="10"/>
  <c r="T78" i="10"/>
  <c r="S78" i="10"/>
  <c r="U77" i="10"/>
  <c r="T77" i="10"/>
  <c r="S77" i="10"/>
  <c r="U76" i="10"/>
  <c r="T76" i="10"/>
  <c r="S76" i="10"/>
  <c r="U75" i="10"/>
  <c r="T75" i="10"/>
  <c r="S75" i="10"/>
  <c r="U74" i="10"/>
  <c r="T74" i="10"/>
  <c r="S74" i="10"/>
  <c r="U73" i="10"/>
  <c r="T73" i="10"/>
  <c r="S73" i="10"/>
  <c r="U72" i="10"/>
  <c r="T72" i="10"/>
  <c r="S72" i="10"/>
  <c r="U71" i="10"/>
  <c r="T71" i="10"/>
  <c r="S71" i="10"/>
  <c r="U70" i="10"/>
  <c r="T70" i="10"/>
  <c r="S70" i="10"/>
  <c r="U69" i="10"/>
  <c r="T69" i="10"/>
  <c r="S69" i="10"/>
  <c r="U68" i="10"/>
  <c r="T68" i="10"/>
  <c r="S68" i="10"/>
  <c r="U67" i="10"/>
  <c r="T67" i="10"/>
  <c r="S67" i="10"/>
  <c r="U66" i="10"/>
  <c r="T66" i="10"/>
  <c r="S66" i="10"/>
  <c r="U65" i="10"/>
  <c r="T65" i="10"/>
  <c r="S65" i="10"/>
  <c r="U64" i="10"/>
  <c r="T64" i="10"/>
  <c r="S64" i="10"/>
  <c r="U63" i="10"/>
  <c r="T63" i="10"/>
  <c r="S63" i="10"/>
  <c r="U62" i="10"/>
  <c r="T62" i="10"/>
  <c r="S62" i="10"/>
  <c r="U61" i="10"/>
  <c r="T61" i="10"/>
  <c r="S61" i="10"/>
  <c r="U60" i="10"/>
  <c r="T60" i="10"/>
  <c r="S60" i="10"/>
  <c r="U59" i="10"/>
  <c r="T59" i="10"/>
  <c r="S59" i="10"/>
  <c r="U58" i="10"/>
  <c r="T58" i="10"/>
  <c r="S58" i="10"/>
  <c r="U57" i="10"/>
  <c r="T57" i="10"/>
  <c r="S57" i="10"/>
  <c r="U56" i="10"/>
  <c r="T56" i="10"/>
  <c r="S56" i="10"/>
  <c r="U55" i="10"/>
  <c r="T55" i="10"/>
  <c r="S55" i="10"/>
  <c r="U54" i="10"/>
  <c r="T54" i="10"/>
  <c r="S54" i="10"/>
  <c r="U53" i="10"/>
  <c r="T53" i="10"/>
  <c r="S53" i="10"/>
  <c r="U52" i="10"/>
  <c r="T52" i="10"/>
  <c r="S52" i="10"/>
  <c r="U51" i="10"/>
  <c r="T51" i="10"/>
  <c r="S51" i="10"/>
  <c r="U50" i="10"/>
  <c r="T50" i="10"/>
  <c r="S50" i="10"/>
  <c r="U49" i="10"/>
  <c r="T49" i="10"/>
  <c r="S49" i="10"/>
  <c r="U48" i="10"/>
  <c r="T48" i="10"/>
  <c r="S48" i="10"/>
  <c r="U47" i="10"/>
  <c r="T47" i="10"/>
  <c r="S47" i="10"/>
  <c r="U46" i="10"/>
  <c r="T46" i="10"/>
  <c r="S46" i="10"/>
  <c r="U45" i="10"/>
  <c r="T45" i="10"/>
  <c r="S45" i="10"/>
  <c r="U44" i="10"/>
  <c r="T44" i="10"/>
  <c r="S44" i="10"/>
  <c r="U43" i="10"/>
  <c r="T43" i="10"/>
  <c r="S43" i="10"/>
  <c r="U42" i="10"/>
  <c r="T42" i="10"/>
  <c r="S42" i="10"/>
  <c r="U41" i="10"/>
  <c r="T41" i="10"/>
  <c r="S41" i="10"/>
  <c r="U40" i="10"/>
  <c r="T40" i="10"/>
  <c r="S40" i="10"/>
  <c r="U39" i="10"/>
  <c r="T39" i="10"/>
  <c r="S39" i="10"/>
  <c r="T37" i="4" l="1"/>
  <c r="U37" i="4"/>
  <c r="V37" i="4"/>
  <c r="T53" i="4"/>
  <c r="T4" i="4"/>
  <c r="U53" i="4"/>
  <c r="U4" i="4"/>
  <c r="V53" i="4"/>
  <c r="V4" i="4"/>
  <c r="S37" i="10" l="1"/>
  <c r="T37" i="10"/>
  <c r="U37" i="10"/>
  <c r="S36" i="10"/>
  <c r="T36" i="10"/>
  <c r="U36" i="10"/>
  <c r="S33" i="10"/>
  <c r="S34" i="10"/>
  <c r="S35" i="10"/>
  <c r="T33" i="10"/>
  <c r="T34" i="10"/>
  <c r="T35" i="10"/>
  <c r="U33" i="10"/>
  <c r="U34" i="10"/>
  <c r="U35" i="10"/>
  <c r="S32" i="10"/>
  <c r="T32" i="10"/>
  <c r="U32" i="10"/>
  <c r="S30" i="10"/>
  <c r="S31" i="10"/>
  <c r="T30" i="10"/>
  <c r="T31" i="10"/>
  <c r="U30" i="10"/>
  <c r="U31" i="10"/>
  <c r="S29" i="10"/>
  <c r="T29" i="10"/>
  <c r="U29" i="10"/>
  <c r="S27" i="10"/>
  <c r="S28" i="10"/>
  <c r="T27" i="10"/>
  <c r="T28" i="10"/>
  <c r="U27" i="10"/>
  <c r="U28" i="10"/>
  <c r="S26" i="10"/>
  <c r="T26" i="10"/>
  <c r="U26" i="10"/>
  <c r="S21" i="10"/>
  <c r="S22" i="10"/>
  <c r="S23" i="10"/>
  <c r="S24" i="10"/>
  <c r="S25" i="10"/>
  <c r="T21" i="10"/>
  <c r="T22" i="10"/>
  <c r="T23" i="10"/>
  <c r="T24" i="10"/>
  <c r="T25" i="10"/>
  <c r="U21" i="10"/>
  <c r="U22" i="10"/>
  <c r="U23" i="10"/>
  <c r="U24" i="10"/>
  <c r="U25" i="10"/>
  <c r="S19" i="10"/>
  <c r="S20" i="10"/>
  <c r="T19" i="10"/>
  <c r="T20" i="10"/>
  <c r="U19" i="10"/>
  <c r="U20" i="10"/>
  <c r="S18" i="10"/>
  <c r="T18" i="10"/>
  <c r="U18" i="10"/>
  <c r="S17" i="10"/>
  <c r="T17" i="10"/>
  <c r="U17" i="10"/>
  <c r="S15" i="10"/>
  <c r="S16" i="10"/>
  <c r="T15" i="10"/>
  <c r="T16" i="10"/>
  <c r="U15" i="10"/>
  <c r="U16" i="10"/>
  <c r="S13" i="10"/>
  <c r="S14" i="10"/>
  <c r="T13" i="10"/>
  <c r="T14" i="10"/>
  <c r="U13" i="10"/>
  <c r="U14" i="10"/>
  <c r="S12" i="10"/>
  <c r="T12" i="10"/>
  <c r="U12" i="10"/>
  <c r="S11" i="10"/>
  <c r="T11" i="10"/>
  <c r="U11" i="10"/>
  <c r="W176" i="3"/>
  <c r="W175" i="3"/>
  <c r="S10" i="10"/>
  <c r="T10" i="10"/>
  <c r="U10" i="10"/>
  <c r="S8" i="10" l="1"/>
  <c r="T8" i="10"/>
  <c r="U8" i="10"/>
  <c r="S7" i="10"/>
  <c r="T7" i="10"/>
  <c r="U7" i="10"/>
  <c r="S6" i="10"/>
  <c r="T6" i="10"/>
  <c r="U6" i="10"/>
  <c r="S5" i="10"/>
  <c r="T5" i="10"/>
  <c r="U5" i="10"/>
  <c r="S4" i="10"/>
  <c r="T4" i="10"/>
  <c r="U4" i="10"/>
  <c r="S3" i="10"/>
  <c r="T3" i="10"/>
  <c r="U3" i="10"/>
  <c r="V8" i="4"/>
  <c r="V72" i="4"/>
  <c r="V144" i="4"/>
  <c r="V80" i="4"/>
  <c r="V97" i="4"/>
  <c r="V82" i="4"/>
  <c r="V93" i="4"/>
  <c r="V139" i="4"/>
  <c r="V136" i="4"/>
  <c r="V20" i="4"/>
  <c r="V21" i="4"/>
  <c r="V22" i="4"/>
  <c r="V23" i="4"/>
  <c r="V38" i="4"/>
  <c r="V10" i="4"/>
  <c r="V19" i="4"/>
  <c r="V46" i="4"/>
  <c r="V47" i="4"/>
  <c r="V18" i="4"/>
  <c r="V9" i="4"/>
  <c r="V11" i="4"/>
  <c r="V45" i="4"/>
  <c r="V42" i="4"/>
  <c r="V41" i="4"/>
  <c r="V5" i="4"/>
  <c r="V13" i="4"/>
  <c r="V12" i="4"/>
  <c r="V14" i="4"/>
  <c r="V15" i="4"/>
  <c r="V16" i="4"/>
  <c r="V17" i="4"/>
  <c r="V50" i="4"/>
  <c r="V51" i="4"/>
  <c r="V76" i="4"/>
  <c r="V52" i="4"/>
  <c r="V77" i="4"/>
  <c r="V75" i="4"/>
  <c r="V25" i="4"/>
  <c r="V27" i="4"/>
  <c r="V28" i="4"/>
  <c r="V29" i="4"/>
  <c r="V33" i="4"/>
  <c r="V34" i="4"/>
  <c r="V35" i="4"/>
  <c r="V36" i="4"/>
  <c r="V30" i="4"/>
  <c r="V101" i="4"/>
  <c r="V143" i="4"/>
  <c r="V99" i="4"/>
  <c r="V95" i="4"/>
  <c r="V91" i="4"/>
  <c r="V89" i="4"/>
  <c r="V83" i="4"/>
  <c r="V84" i="4"/>
  <c r="V141" i="4"/>
  <c r="V92" i="4"/>
  <c r="V140" i="4"/>
  <c r="V103" i="4"/>
  <c r="V94" i="4"/>
  <c r="V90" i="4"/>
  <c r="V85" i="4"/>
  <c r="V81" i="4"/>
  <c r="V79" i="4"/>
  <c r="V88" i="4"/>
  <c r="V86" i="4"/>
  <c r="V142" i="4"/>
  <c r="V71" i="4"/>
  <c r="V31" i="4"/>
  <c r="V32" i="4"/>
  <c r="V26" i="4"/>
  <c r="V24" i="4"/>
  <c r="V145" i="4"/>
  <c r="V43" i="4"/>
  <c r="V44" i="4"/>
  <c r="V133" i="4"/>
  <c r="V2" i="4"/>
  <c r="V73" i="4"/>
  <c r="V74" i="4"/>
  <c r="V87" i="4"/>
  <c r="V96" i="4"/>
  <c r="V134" i="4"/>
  <c r="V98" i="4"/>
  <c r="V100" i="4"/>
  <c r="V102" i="4"/>
  <c r="V104" i="4"/>
  <c r="V105" i="4"/>
  <c r="V106" i="4"/>
  <c r="V107" i="4"/>
  <c r="V108" i="4"/>
  <c r="V109" i="4"/>
  <c r="V110" i="4"/>
  <c r="V111" i="4"/>
  <c r="V13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35" i="4"/>
  <c r="V127" i="4"/>
  <c r="V128" i="4"/>
  <c r="V129" i="4"/>
  <c r="V137" i="4"/>
  <c r="V138" i="4"/>
  <c r="V3" i="4"/>
  <c r="V132" i="4"/>
  <c r="V130" i="4"/>
  <c r="V55" i="4"/>
  <c r="T8" i="4"/>
  <c r="T72" i="4"/>
  <c r="T144" i="4"/>
  <c r="T80" i="4"/>
  <c r="T97" i="4"/>
  <c r="T82" i="4"/>
  <c r="T93" i="4"/>
  <c r="T139" i="4"/>
  <c r="T136" i="4"/>
  <c r="T20" i="4"/>
  <c r="T21" i="4"/>
  <c r="T22" i="4"/>
  <c r="T23" i="4"/>
  <c r="T38" i="4"/>
  <c r="T10" i="4"/>
  <c r="T19" i="4"/>
  <c r="T46" i="4"/>
  <c r="T47" i="4"/>
  <c r="T18" i="4"/>
  <c r="T9" i="4"/>
  <c r="T11" i="4"/>
  <c r="T45" i="4"/>
  <c r="T42" i="4"/>
  <c r="T41" i="4"/>
  <c r="T5" i="4"/>
  <c r="T13" i="4"/>
  <c r="T12" i="4"/>
  <c r="T14" i="4"/>
  <c r="T15" i="4"/>
  <c r="T16" i="4"/>
  <c r="T17" i="4"/>
  <c r="T50" i="4"/>
  <c r="T51" i="4"/>
  <c r="T76" i="4"/>
  <c r="T52" i="4"/>
  <c r="T77" i="4"/>
  <c r="T75" i="4"/>
  <c r="T25" i="4"/>
  <c r="T27" i="4"/>
  <c r="T28" i="4"/>
  <c r="T29" i="4"/>
  <c r="T33" i="4"/>
  <c r="T34" i="4"/>
  <c r="T35" i="4"/>
  <c r="T36" i="4"/>
  <c r="T30" i="4"/>
  <c r="T101" i="4"/>
  <c r="T143" i="4"/>
  <c r="T99" i="4"/>
  <c r="T95" i="4"/>
  <c r="T91" i="4"/>
  <c r="T89" i="4"/>
  <c r="T83" i="4"/>
  <c r="T84" i="4"/>
  <c r="T141" i="4"/>
  <c r="T92" i="4"/>
  <c r="T140" i="4"/>
  <c r="T103" i="4"/>
  <c r="T94" i="4"/>
  <c r="T90" i="4"/>
  <c r="T85" i="4"/>
  <c r="T81" i="4"/>
  <c r="T79" i="4"/>
  <c r="T88" i="4"/>
  <c r="T86" i="4"/>
  <c r="T142" i="4"/>
  <c r="T71" i="4"/>
  <c r="T31" i="4"/>
  <c r="T32" i="4"/>
  <c r="T26" i="4"/>
  <c r="T24" i="4"/>
  <c r="T145" i="4"/>
  <c r="T43" i="4"/>
  <c r="T44" i="4"/>
  <c r="T133" i="4"/>
  <c r="T2" i="4"/>
  <c r="T73" i="4"/>
  <c r="T74" i="4"/>
  <c r="T87" i="4"/>
  <c r="T96" i="4"/>
  <c r="T134" i="4"/>
  <c r="T98" i="4"/>
  <c r="T100" i="4"/>
  <c r="T102" i="4"/>
  <c r="T104" i="4"/>
  <c r="T105" i="4"/>
  <c r="T106" i="4"/>
  <c r="T107" i="4"/>
  <c r="T108" i="4"/>
  <c r="T109" i="4"/>
  <c r="T110" i="4"/>
  <c r="T111" i="4"/>
  <c r="T13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35" i="4"/>
  <c r="T127" i="4"/>
  <c r="T128" i="4"/>
  <c r="T129" i="4"/>
  <c r="T137" i="4"/>
  <c r="T138" i="4"/>
  <c r="T3" i="4"/>
  <c r="T132" i="4"/>
  <c r="T130" i="4"/>
  <c r="T55" i="4"/>
  <c r="U8" i="4"/>
  <c r="U72" i="4"/>
  <c r="U144" i="4"/>
  <c r="U80" i="4"/>
  <c r="U97" i="4"/>
  <c r="U82" i="4"/>
  <c r="U93" i="4"/>
  <c r="U139" i="4"/>
  <c r="U136" i="4"/>
  <c r="U20" i="4"/>
  <c r="U21" i="4"/>
  <c r="U22" i="4"/>
  <c r="U23" i="4"/>
  <c r="U38" i="4"/>
  <c r="U10" i="4"/>
  <c r="U19" i="4"/>
  <c r="U46" i="4"/>
  <c r="U47" i="4"/>
  <c r="U18" i="4"/>
  <c r="U9" i="4"/>
  <c r="U11" i="4"/>
  <c r="U45" i="4"/>
  <c r="U42" i="4"/>
  <c r="U41" i="4"/>
  <c r="U5" i="4"/>
  <c r="U13" i="4"/>
  <c r="U12" i="4"/>
  <c r="U14" i="4"/>
  <c r="U15" i="4"/>
  <c r="U16" i="4"/>
  <c r="U17" i="4"/>
  <c r="U50" i="4"/>
  <c r="U51" i="4"/>
  <c r="U76" i="4"/>
  <c r="U52" i="4"/>
  <c r="U77" i="4"/>
  <c r="U75" i="4"/>
  <c r="U25" i="4"/>
  <c r="U27" i="4"/>
  <c r="U28" i="4"/>
  <c r="U29" i="4"/>
  <c r="U33" i="4"/>
  <c r="U34" i="4"/>
  <c r="U35" i="4"/>
  <c r="U36" i="4"/>
  <c r="U30" i="4"/>
  <c r="U101" i="4"/>
  <c r="U143" i="4"/>
  <c r="U99" i="4"/>
  <c r="U95" i="4"/>
  <c r="U91" i="4"/>
  <c r="U89" i="4"/>
  <c r="U83" i="4"/>
  <c r="U84" i="4"/>
  <c r="U141" i="4"/>
  <c r="U92" i="4"/>
  <c r="U140" i="4"/>
  <c r="U103" i="4"/>
  <c r="U94" i="4"/>
  <c r="U90" i="4"/>
  <c r="U85" i="4"/>
  <c r="U81" i="4"/>
  <c r="U79" i="4"/>
  <c r="U88" i="4"/>
  <c r="U86" i="4"/>
  <c r="U142" i="4"/>
  <c r="U71" i="4"/>
  <c r="U31" i="4"/>
  <c r="U32" i="4"/>
  <c r="U26" i="4"/>
  <c r="U24" i="4"/>
  <c r="U145" i="4"/>
  <c r="U43" i="4"/>
  <c r="U44" i="4"/>
  <c r="U133" i="4"/>
  <c r="U2" i="4"/>
  <c r="U73" i="4"/>
  <c r="U74" i="4"/>
  <c r="U87" i="4"/>
  <c r="U96" i="4"/>
  <c r="U134" i="4"/>
  <c r="U98" i="4"/>
  <c r="U100" i="4"/>
  <c r="U102" i="4"/>
  <c r="U104" i="4"/>
  <c r="U105" i="4"/>
  <c r="U106" i="4"/>
  <c r="U107" i="4"/>
  <c r="U108" i="4"/>
  <c r="U109" i="4"/>
  <c r="U110" i="4"/>
  <c r="U111" i="4"/>
  <c r="U13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35" i="4"/>
  <c r="U127" i="4"/>
  <c r="U128" i="4"/>
  <c r="U129" i="4"/>
  <c r="U137" i="4"/>
  <c r="U138" i="4"/>
  <c r="U3" i="4"/>
  <c r="U132" i="4"/>
  <c r="U130" i="4"/>
  <c r="U55" i="4"/>
  <c r="U2" i="10"/>
  <c r="T2" i="10"/>
  <c r="S2" i="10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C17" authorId="0" shapeId="0" xr:uid="{B20812EE-57A5-4560-B3DA-EE49CCB5206E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en bbdd cont aparece trasapasado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  <author>tc={D48EE120-D8BC-4EC9-A125-86E09F960038}</author>
    <author>tc={71B8CE7F-212C-41CF-8765-394C979EDBC1}</author>
    <author>Constanza</author>
    <author>tc={FD4C45DB-0E61-4AE8-8C48-CA821AB28444}</author>
    <author>tc={97B428FA-86EE-4F3D-9ACA-391731A8AF0F}</author>
    <author>tc={FC59442B-2071-43AC-A057-86A2164175FA}</author>
  </authors>
  <commentList>
    <comment ref="E3" authorId="0" shapeId="0" xr:uid="{8E91A3AC-AFB4-4374-B71A-08DEE5D557C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Superficie correcta</t>
        </r>
      </text>
    </comment>
    <comment ref="C10" authorId="0" shapeId="0" xr:uid="{C3190709-ED0E-48C7-A873-70A2CC8FC8E1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Corroborar toda la información, pues no aparece en BBDD anterior, es una fusión de lotes C-9-A3
C-9-A4
C-9-A5</t>
        </r>
      </text>
    </comment>
    <comment ref="C20" authorId="0" shapeId="0" xr:uid="{6145E1F0-21AF-4F3A-8675-956B4CB63DEA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Revisar superficie 12.641?</t>
        </r>
      </text>
    </comment>
    <comment ref="C25" authorId="0" shapeId="0" xr:uid="{53595EE4-6066-44EA-B696-175DF4841994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Mercado San Pedro</t>
        </r>
      </text>
    </comment>
    <comment ref="C29" authorId="0" shapeId="0" xr:uid="{06701B7C-BC6F-4FA7-BFF2-273A3CBEB802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Verificar M2</t>
        </r>
      </text>
    </comment>
    <comment ref="C33" authorId="0" shapeId="0" xr:uid="{B52E7105-6431-41F0-8ED5-E1E54A5D59C4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Corroborar Superficie
</t>
        </r>
      </text>
    </comment>
    <comment ref="C34" authorId="0" shapeId="0" xr:uid="{6287C078-FABB-4EB2-83F1-975CEA299933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Corroborar Superficie</t>
        </r>
      </text>
    </comment>
    <comment ref="C48" authorId="0" shapeId="0" xr:uid="{86FEC3D1-9014-47EC-A2CC-F9BCD6DF70D7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Revisar superfice F-9A4?</t>
        </r>
      </text>
    </comment>
    <comment ref="E48" authorId="0" shapeId="0" xr:uid="{16FC186A-94CF-4BED-B010-3757DBFC9D31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1.274 m?</t>
        </r>
      </text>
    </comment>
    <comment ref="C49" authorId="0" shapeId="0" xr:uid="{E023754D-3334-4DA7-A0FB-929BAE6C3767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Revisar con Fran (M2)</t>
        </r>
      </text>
    </comment>
    <comment ref="M50" authorId="0" shapeId="0" xr:uid="{7C64F2FD-7E54-4AB9-B2FC-7958EF1CB679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Es viable eliminar rol matriz cuando este no sea pagador?
</t>
        </r>
      </text>
    </comment>
    <comment ref="M53" authorId="1" shapeId="0" xr:uid="{D48EE120-D8BC-4EC9-A125-86E09F9600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Buscar rol matriz</t>
      </text>
    </comment>
    <comment ref="B72" authorId="0" shapeId="0" xr:uid="{2D5B2356-752C-445B-928B-98A45832E243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Es el manzano o BQM?</t>
        </r>
      </text>
    </comment>
    <comment ref="M72" authorId="2" shapeId="0" xr:uid="{71B8CE7F-212C-41CF-8765-394C979EDB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BBDD de CDG tiene Rol matriz 206-571
Respuesta:
    EN CDG aparece que el ROL no se encuentra en el SII, revisar con contabilidad si el ROL asignado es el mismo que el ROL Matriz</t>
      </text>
    </comment>
    <comment ref="C75" authorId="0" shapeId="0" xr:uid="{3B3C0417-2A44-4705-8E68-30F69BF92F35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Comprobar superficie y si es que es el mismo "humedal"
</t>
        </r>
      </text>
    </comment>
    <comment ref="E76" authorId="3" shapeId="0" xr:uid="{92A8755F-87FC-4813-8709-DAB2E1D2DC9B}">
      <text>
        <r>
          <rPr>
            <b/>
            <sz val="9"/>
            <color indexed="81"/>
            <rFont val="Tahoma"/>
            <family val="2"/>
          </rPr>
          <t>Constanza:</t>
        </r>
        <r>
          <rPr>
            <sz val="9"/>
            <color indexed="81"/>
            <rFont val="Tahoma"/>
            <family val="2"/>
          </rPr>
          <t xml:space="preserve">
es distinto la superficie m2 tenemos en la base 57.098</t>
        </r>
      </text>
    </comment>
    <comment ref="C78" authorId="0" shapeId="0" xr:uid="{D1079DAE-F3BB-4293-863D-F7CE599AE0BF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No coincide con lo que habia en la otra BBDD</t>
        </r>
      </text>
    </comment>
    <comment ref="E86" authorId="0" shapeId="0" xr:uid="{CF89AC38-1309-4334-8D50-8ED8EEC9988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Cesiones: 25495,43</t>
        </r>
      </text>
    </comment>
    <comment ref="C88" authorId="0" shapeId="0" xr:uid="{95FB8604-445D-4E39-B178-BD8B67934059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Corroborar la Info en SII, en BBDD anterior no estaba la Subdivisión</t>
        </r>
      </text>
    </comment>
    <comment ref="E88" authorId="0" shapeId="0" xr:uid="{6AEBE3C5-FF87-47B7-8272-589ECD8CA759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156,52 saldo predial
116,8 saldo predial
25.495,43: Cesiones
Total Zs 249.500</t>
        </r>
      </text>
    </comment>
    <comment ref="N111" authorId="4" shapeId="0" xr:uid="{FD4C45DB-0E61-4AE8-8C48-CA821AB284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BBDD Francesa no está. Además tiene el mismo Rol que lote 
Respuesta:
    Corroborar con Contabilidad, Rol repetido 4 veces
</t>
      </text>
    </comment>
    <comment ref="N117" authorId="5" shapeId="0" xr:uid="{97B428FA-86EE-4F3D-9ACA-391731A8A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ROL Repetido, mismo que lote 34. En BBDD Francesa tambien está asi
Respuesta:
    Corroborar con Contabilidad, Rol repetido 4 veces</t>
      </text>
    </comment>
    <comment ref="N118" authorId="6" shapeId="0" xr:uid="{FC59442B-2071-43AC-A057-86A2164175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Rol repetido.
Respuesta:
    Corroborar con Contabilidad, Rol repetido 4 veces</t>
      </text>
    </comment>
    <comment ref="C137" authorId="0" shapeId="0" xr:uid="{6CC0598B-3F15-4CE5-BE84-946818765A8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Confirmar superficie</t>
        </r>
      </text>
    </comment>
    <comment ref="C144" authorId="0" shapeId="0" xr:uid="{DC3A7ABF-6686-4044-A394-807E56ABC0F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Corroborar todos los datos, no estaba en la BBDD anterior.
Es una fusión de todos los lotes de AEM 1 Y 2</t>
        </r>
      </text>
    </comment>
    <comment ref="E144" authorId="0" shapeId="0" xr:uid="{F0BD6F49-C232-45E7-8018-5BF3F9FC995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1.247.203 superficie lote
79.806,49 Cesiones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tc={415015CA-08A5-4B1D-B062-6FB050CEBA87}</author>
    <author>tc={8731EB45-C6C0-430E-B6C7-5A646DBF46B3}</author>
    <author>tc={692DDB55-CAC7-4DAC-A0D4-0047E1E93883}</author>
    <author>tc={640AFAEB-2FE8-4537-A40B-34C9D608B7B2}</author>
    <author>David</author>
  </authors>
  <commentList>
    <comment ref="C4" authorId="0" shapeId="0" xr:uid="{415015CA-08A5-4B1D-B062-6FB050CEBA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fusionan Lotes 19 a 59 en uno solo llamado Lote A de 217.400 m2</t>
      </text>
    </comment>
    <comment ref="C5" authorId="1" shapeId="0" xr:uid="{8731EB45-C6C0-430E-B6C7-5A646DBF46B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está en BBDD de Francesca
</t>
      </text>
    </comment>
    <comment ref="C6" authorId="2" shapeId="0" xr:uid="{692DDB55-CAC7-4DAC-A0D4-0047E1E938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está en BBDD de Francesca</t>
      </text>
    </comment>
    <comment ref="C7" authorId="3" shapeId="0" xr:uid="{640AFAEB-2FE8-4537-A40B-34C9D608B7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está en bbdd de Francesca</t>
      </text>
    </comment>
    <comment ref="D15" authorId="4" shapeId="0" xr:uid="{6F8EB0F1-7D99-4A12-A50D-9B7A6167BA8E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 con C3-C1-C-1 para crear Lote A (Lo Valledor)
</t>
        </r>
      </text>
    </comment>
    <comment ref="C17" authorId="4" shapeId="0" xr:uid="{FED643ED-CAC9-4698-BF4C-7066DB12E50F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Consultar estado</t>
        </r>
      </text>
    </comment>
    <comment ref="E18" authorId="4" shapeId="0" xr:uid="{A8491E07-A8BB-4FB4-828B-4C6594741479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Llevarlos a deuda garantía como libres
(Hualqui)
PHO es BCI</t>
        </r>
      </text>
    </comment>
    <comment ref="C29" authorId="4" shapeId="0" xr:uid="{0D1E14BA-EC49-4F96-9BB9-4DF89802C0BB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Fusionados para venta Icuadra</t>
        </r>
      </text>
    </comment>
    <comment ref="C30" authorId="4" shapeId="0" xr:uid="{E9525FDF-A01C-4F88-AF46-93370E2E401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Fusionados venta Icuadra</t>
        </r>
      </text>
    </comment>
    <comment ref="C31" authorId="4" shapeId="0" xr:uid="{04E5A9C5-2341-4A38-9E51-6EDF47BE8F4E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Fusionados venta Icuadra</t>
        </r>
      </text>
    </comment>
    <comment ref="C33" authorId="4" shapeId="0" xr:uid="{F92731A0-8734-49A4-A34D-287CF2304C7A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Fusionados para proyecto Now 1</t>
        </r>
      </text>
    </comment>
    <comment ref="C34" authorId="4" shapeId="0" xr:uid="{33BDE234-EE4F-4E65-9AFA-B02007C5B6B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 para proyecto now</t>
        </r>
      </text>
    </comment>
    <comment ref="C35" authorId="4" shapeId="0" xr:uid="{32DB97B6-ABEF-451B-9FCA-3FF5E30CBB60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 para proyecto now</t>
        </r>
      </text>
    </comment>
    <comment ref="C38" authorId="4" shapeId="0" xr:uid="{1B82B923-1940-47A5-B641-6FDF889C2B89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Fusionados para crear lote C-A  Mirador andalien (Collao)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8BF2D-76B3-4FAA-98DB-D7825689720A}" keepAlive="1" name="Consulta - BBDD TERRENO" description="Conexión a la consulta 'BBDD TERRENO' en el libro." type="5" refreshedVersion="8" background="1" saveData="1">
    <dbPr connection="Provider=Microsoft.Mashup.OleDb.1;Data Source=$Workbook$;Location=&quot;BBDD TERRENO&quot;;Extended Properties=&quot;&quot;" command="SELECT * FROM [BBDD TERRENO]"/>
  </connection>
  <connection id="2" xr16:uid="{761C1DA8-A515-459E-BA2C-1359BD09DA59}" keepAlive="1" name="Consulta - CONSTRUCCIONES" description="Conexión a la consulta 'CONSTRUCCIONES' en el libro." type="5" refreshedVersion="8" background="1" saveData="1">
    <dbPr connection="Provider=Microsoft.Mashup.OleDb.1;Data Source=$Workbook$;Location=CONSTRUCCIONES;Extended Properties=&quot;&quot;" command="SELECT * FROM [CONSTRUCCIONES]"/>
  </connection>
  <connection id="3" xr16:uid="{0FC47D05-8A29-4F1C-B821-42D4FE5A5400}" keepAlive="1" name="Consulta - DISPONIBLES" description="Conexión a la consulta 'DISPONIBLES' en el libro." type="5" refreshedVersion="8" background="1" saveData="1">
    <dbPr connection="Provider=Microsoft.Mashup.OleDb.1;Data Source=$Workbook$;Location=DISPONIBLES;Extended Properties=&quot;&quot;" command="SELECT * FROM [DISPONIBLES]"/>
  </connection>
  <connection id="4" xr16:uid="{3BEF0E2E-507B-4296-B1D5-930496EFEBFB}" keepAlive="1" name="Consulta - FAMILIA" description="Conexión a la consulta 'FAMILIA' en el libro." type="5" refreshedVersion="8" background="1" saveData="1">
    <dbPr connection="Provider=Microsoft.Mashup.OleDb.1;Data Source=$Workbook$;Location=FAMILIA;Extended Properties=&quot;&quot;" command="SELECT * FROM [FAMILIA]"/>
  </connection>
  <connection id="5" xr16:uid="{CD7429C0-6FC8-44A8-B846-ABADDEFB6F5B}" keepAlive="1" name="Consulta - OTROS" description="Conexión a la consulta 'OTROS' en el libro." type="5" refreshedVersion="8" background="1" saveData="1">
    <dbPr connection="Provider=Microsoft.Mashup.OleDb.1;Data Source=$Workbook$;Location=OTROS;Extended Properties=&quot;&quot;" command="SELECT * FROM [OTROS]"/>
  </connection>
  <connection id="6" xr16:uid="{0740D0CB-E1DE-4F56-A4DA-7B57A8CF9507}" keepAlive="1" name="Consulta - VENDIDOS" description="Conexión a la consulta 'VENDIDOS' en el libro." type="5" refreshedVersion="8" background="1" saveData="1">
    <dbPr connection="Provider=Microsoft.Mashup.OleDb.1;Data Source=$Workbook$;Location=VENDIDOS;Extended Properties=&quot;&quot;" command="SELECT * FROM [VENDIDOS]"/>
  </connection>
</connections>
</file>

<file path=xl/sharedStrings.xml><?xml version="1.0" encoding="utf-8"?>
<sst xmlns="http://schemas.openxmlformats.org/spreadsheetml/2006/main" count="15066" uniqueCount="1454">
  <si>
    <t>BBDD TERRENOS POR VENDER</t>
  </si>
  <si>
    <t>FORMULA</t>
  </si>
  <si>
    <t>CONTABILIDAD</t>
  </si>
  <si>
    <t>Propietario</t>
  </si>
  <si>
    <t>CDG</t>
  </si>
  <si>
    <t>UF/m2 (Tasación)</t>
  </si>
  <si>
    <t>COMERCIAL</t>
  </si>
  <si>
    <t>UF/m2 (Comercial)</t>
  </si>
  <si>
    <t>ARQUITECTURA y LEGAL</t>
  </si>
  <si>
    <t>Superficie Neta Arq</t>
  </si>
  <si>
    <t>AUTOMATICO</t>
  </si>
  <si>
    <t>Variación 2025-2024 Avalúo Total</t>
  </si>
  <si>
    <t>"=+[@[Avalúo Total 2025]]-[@[Avalúo Diciembre 2024]]"</t>
  </si>
  <si>
    <t>Comuna</t>
  </si>
  <si>
    <t>UF (Tasación Total)</t>
  </si>
  <si>
    <t>UF (Comercial Total)</t>
  </si>
  <si>
    <t>Resolución</t>
  </si>
  <si>
    <t>Variación 2025-2024 Avalúo Afecto</t>
  </si>
  <si>
    <t>"=+[@[Avalúo Afecto Dic-2025]]-[@[Avalúo Afecto Dic-2024]]"</t>
  </si>
  <si>
    <t>Identificacion Propiedad</t>
  </si>
  <si>
    <t>UF (Liquidación Total)</t>
  </si>
  <si>
    <t>Fecha Resolucion</t>
  </si>
  <si>
    <t>Variación 2025-2024 Avalúo Exento</t>
  </si>
  <si>
    <t>"=+[@[Avalúo Exento Dic-2025]]-[@[Avalúo Exento Dic-2024]]"</t>
  </si>
  <si>
    <t>Detalle TGR</t>
  </si>
  <si>
    <t>Fecha Tasación</t>
  </si>
  <si>
    <t>Dirección</t>
  </si>
  <si>
    <t>Superficie (m2)</t>
  </si>
  <si>
    <t>Tasador</t>
  </si>
  <si>
    <t>Factibilidad eléctrica</t>
  </si>
  <si>
    <t>Estatus</t>
  </si>
  <si>
    <t>Mejor tasación</t>
  </si>
  <si>
    <t>Factibilidad Sanitaria</t>
  </si>
  <si>
    <t>Avalúo Diciembre 2024</t>
  </si>
  <si>
    <t>Hipotecador</t>
  </si>
  <si>
    <t>Empresa Sanitaria</t>
  </si>
  <si>
    <t>Avalúo Exento Dic-2024</t>
  </si>
  <si>
    <t>Usufructurario</t>
  </si>
  <si>
    <t>Garantía</t>
  </si>
  <si>
    <t>Avalúo Afecto Dic-2024</t>
  </si>
  <si>
    <t>Resolucion Garantia</t>
  </si>
  <si>
    <t>Avalúo Total 2025</t>
  </si>
  <si>
    <t>Vencimiento de la Garantía</t>
  </si>
  <si>
    <t>Avalúo Exento Dic-2025</t>
  </si>
  <si>
    <t>Modificacion de Deslindes</t>
  </si>
  <si>
    <t>Avalúo Afecto Dic-2025</t>
  </si>
  <si>
    <t xml:space="preserve">Nueva superficie </t>
  </si>
  <si>
    <t>Rol Matriz</t>
  </si>
  <si>
    <t>Nueva Resolucion</t>
  </si>
  <si>
    <t>ROL Asignado</t>
  </si>
  <si>
    <t>Fecha</t>
  </si>
  <si>
    <t>ROL Pagador</t>
  </si>
  <si>
    <t>Estado en SII/Comentarios</t>
  </si>
  <si>
    <t>Condicion ROL</t>
  </si>
  <si>
    <t>Destino SII</t>
  </si>
  <si>
    <t>Valor Libro Contable UF</t>
  </si>
  <si>
    <t>BBDD TERRENOS FAMILIA</t>
  </si>
  <si>
    <t>ARQUITECTURA &amp; LEGAL</t>
  </si>
  <si>
    <t>BBDD TERRENOS VENDIDOS</t>
  </si>
  <si>
    <t>ARQUITECTURA</t>
  </si>
  <si>
    <t>Fecha de la Venta</t>
  </si>
  <si>
    <t>Cliente</t>
  </si>
  <si>
    <t>Valor de Venta UF/m2</t>
  </si>
  <si>
    <t>BBDD TERRENOS OTROS</t>
  </si>
  <si>
    <t>ARQUITECTURA y LEGAL}</t>
  </si>
  <si>
    <t>ROL Pagador|</t>
  </si>
  <si>
    <t>Avalúo Total 2024</t>
  </si>
  <si>
    <t>Valor Libro Contable $</t>
  </si>
  <si>
    <t>TIPO</t>
  </si>
  <si>
    <t>otro</t>
  </si>
  <si>
    <t>AGRICOLA JARDINES DE HUALQUI LIMITADA</t>
  </si>
  <si>
    <t>Puerto Montt</t>
  </si>
  <si>
    <t>Lote A (Fusión 7-A, I11 y B09)</t>
  </si>
  <si>
    <t>Vendido</t>
  </si>
  <si>
    <t>Inmobiliaria Sur Cuarente y Tres SPA (50%) y Tepual SPA (50%)</t>
  </si>
  <si>
    <t>SIN ROL</t>
  </si>
  <si>
    <t>5601-7</t>
  </si>
  <si>
    <t>AFECTO</t>
  </si>
  <si>
    <t>SITIO ERIAZO</t>
  </si>
  <si>
    <t>INMOBILIARIA E INVERSIONES DRESDEN LIMITADA</t>
  </si>
  <si>
    <t>San Pedro de la Paz</t>
  </si>
  <si>
    <t>Lote C3-1C-D</t>
  </si>
  <si>
    <t>Lo Valledor Biobío SpA</t>
  </si>
  <si>
    <t>19001-5</t>
  </si>
  <si>
    <t>figura a nombre de CPA 2</t>
  </si>
  <si>
    <t>OFICINA</t>
  </si>
  <si>
    <t>Calle 2 Norte 255</t>
  </si>
  <si>
    <t>Banco Chile</t>
  </si>
  <si>
    <t>Libre</t>
  </si>
  <si>
    <t>INMOBILIARIA SAN PEDRO DEL MAR LIMITADA</t>
  </si>
  <si>
    <t>Lote F-1A-A</t>
  </si>
  <si>
    <t>Pincoyano</t>
  </si>
  <si>
    <t>15006-100</t>
  </si>
  <si>
    <t>Calle 1 norte 100</t>
  </si>
  <si>
    <t>BICE Vida</t>
  </si>
  <si>
    <t>Lote A-C5-B-5</t>
  </si>
  <si>
    <t>15006-105</t>
  </si>
  <si>
    <t>16804-104</t>
  </si>
  <si>
    <t>AGRICOLA</t>
  </si>
  <si>
    <t>46-16-107</t>
  </si>
  <si>
    <t>Calle 4 Norte 735</t>
  </si>
  <si>
    <t>Banco Itaú</t>
  </si>
  <si>
    <t>Lote A-C5-B-6</t>
  </si>
  <si>
    <t>SERVIU</t>
  </si>
  <si>
    <t>16804-105</t>
  </si>
  <si>
    <t>paga rol matriz 15006-105</t>
  </si>
  <si>
    <t>MATRIZ</t>
  </si>
  <si>
    <t>Av Par Vial las Torres 4150</t>
  </si>
  <si>
    <t>Banco BCI</t>
  </si>
  <si>
    <t>SPM</t>
  </si>
  <si>
    <t>Lote A-C5-B-7</t>
  </si>
  <si>
    <t>16804-106</t>
  </si>
  <si>
    <t>Av Par Vial Las Torres 730</t>
  </si>
  <si>
    <t>Lote A-C5-B-4</t>
  </si>
  <si>
    <t>16804-103</t>
  </si>
  <si>
    <t>Calle 3 Norte 850</t>
  </si>
  <si>
    <t>Lote A-C5-B-3</t>
  </si>
  <si>
    <t>Serviu Region del Bio-Bio</t>
  </si>
  <si>
    <t>16804-102</t>
  </si>
  <si>
    <t>Lote A-C5-B-2</t>
  </si>
  <si>
    <t>Inv. E Inmobiliaria IVL Ltda.</t>
  </si>
  <si>
    <t>16804-101</t>
  </si>
  <si>
    <t>Lote A-C5-B-1</t>
  </si>
  <si>
    <t>16804-100</t>
  </si>
  <si>
    <t>Lote A-C5-A</t>
  </si>
  <si>
    <t>Conavicoop</t>
  </si>
  <si>
    <t>INMOBILIARIA DESARROLLADORA CINCO SPA</t>
  </si>
  <si>
    <t>Lote F1-A2</t>
  </si>
  <si>
    <t>Varios, por ser condominio de casas</t>
  </si>
  <si>
    <t>16805-13</t>
  </si>
  <si>
    <t>16805-97</t>
  </si>
  <si>
    <t>36-20-107F</t>
  </si>
  <si>
    <t>Av Par Vial las Torres 3755</t>
  </si>
  <si>
    <t>INMOBILIARIA HORIZONTES DEL PACIFICO LIMITADA</t>
  </si>
  <si>
    <t>Lote F1-A1</t>
  </si>
  <si>
    <t>SERVIU Region del Biobio</t>
  </si>
  <si>
    <t>16805-96</t>
  </si>
  <si>
    <t>Av Par Vial las Torres 3695</t>
  </si>
  <si>
    <t>Inmobiliaria Desarrolladora Cinco SpA</t>
  </si>
  <si>
    <t>Lote F-9-X3</t>
  </si>
  <si>
    <t>Patagonia Inmobiliaria SpA</t>
  </si>
  <si>
    <t>17500-37</t>
  </si>
  <si>
    <t>17551-97</t>
  </si>
  <si>
    <t>paga rol matriz 17500-37</t>
  </si>
  <si>
    <t>OTROS NO CONSIDERADOS</t>
  </si>
  <si>
    <t>43-19-107</t>
  </si>
  <si>
    <t>Av Costanera Interior 7155</t>
  </si>
  <si>
    <t>Lote C3-1C-C-1</t>
  </si>
  <si>
    <t>Traspasado</t>
  </si>
  <si>
    <t>19001-6</t>
  </si>
  <si>
    <t>-</t>
  </si>
  <si>
    <t>COMERCIO</t>
  </si>
  <si>
    <t>70-18-107</t>
  </si>
  <si>
    <t>Av Portal San Pedro 4700</t>
  </si>
  <si>
    <t>Banco Estado</t>
  </si>
  <si>
    <t>IPA</t>
  </si>
  <si>
    <t>Lote C7-1A-1C</t>
  </si>
  <si>
    <t>Inmobiliaria Las Pataguas SpA</t>
  </si>
  <si>
    <t>19003-1</t>
  </si>
  <si>
    <t>19003-5</t>
  </si>
  <si>
    <t>57-19-107</t>
  </si>
  <si>
    <t>Calle 4 Norte 265</t>
  </si>
  <si>
    <t>Lote C7-1A-1F</t>
  </si>
  <si>
    <t>19003-8</t>
  </si>
  <si>
    <t>Av Par Vial Las Torres 4025</t>
  </si>
  <si>
    <t>Lote C8-A-A</t>
  </si>
  <si>
    <t>Vendido a ID8, con venta de acciones a Jardines de San Pedro (Rilan, BICEVIDA, Chiloé de los Álvarez)</t>
  </si>
  <si>
    <t>19004-1</t>
  </si>
  <si>
    <t>INMOBILIARIA BOSQUEMAR LTDA.</t>
  </si>
  <si>
    <t>Hualqui</t>
  </si>
  <si>
    <t>Lote 1 ( CH1)</t>
  </si>
  <si>
    <t>VANESSA SAAVEDRA DÍAZ</t>
  </si>
  <si>
    <t>216-411</t>
  </si>
  <si>
    <t>00060-00001</t>
  </si>
  <si>
    <t>Res 09/2020</t>
  </si>
  <si>
    <t>Camino A Quilacoya (Ruta Q60O) N°1381 /N°7</t>
  </si>
  <si>
    <t>CGE</t>
  </si>
  <si>
    <t>No</t>
  </si>
  <si>
    <t>Particular</t>
  </si>
  <si>
    <t>Lote 2 (CH1)</t>
  </si>
  <si>
    <t>MARIA VIRGINIA CRUZ ROMERO</t>
  </si>
  <si>
    <t>00060-00002</t>
  </si>
  <si>
    <t>Camino A Quilacoya (Ruta Q60O) N°1381 /N°6</t>
  </si>
  <si>
    <t>Lote 3 (CH1)</t>
  </si>
  <si>
    <t>JOSÉ MANUEL ABARZA SAN MARTÍN</t>
  </si>
  <si>
    <t>00060-00003</t>
  </si>
  <si>
    <t>Camino A Quilacoya (Ruta Q60O) N°1381 /N°1</t>
  </si>
  <si>
    <t>Lote 4 (CH1)</t>
  </si>
  <si>
    <t>YOCELIN NORAMBUENA CÁRCAMO</t>
  </si>
  <si>
    <t>00060-00004</t>
  </si>
  <si>
    <t>Camino A Quilacoya (Ruta Q60O) N°1381 /N°2</t>
  </si>
  <si>
    <t>Lote 5 (CH1)</t>
  </si>
  <si>
    <t>GUILLERMO GALLARDO ROCHA</t>
  </si>
  <si>
    <t>00060-00005</t>
  </si>
  <si>
    <t>Camino A Quilacoya (Ruta Q60O) N°1381 /N°3</t>
  </si>
  <si>
    <t>Lote 6 (CH1)</t>
  </si>
  <si>
    <t>INGRID OYARCE VÁSQUEZ</t>
  </si>
  <si>
    <t>00060-00006</t>
  </si>
  <si>
    <t xml:space="preserve">Camino A Quilacoya (Ruta Q60O) N°1381 /N°4 </t>
  </si>
  <si>
    <t>Lote 7 (CH1)</t>
  </si>
  <si>
    <t>JOSEFINA YÁÑEZ NORRIS</t>
  </si>
  <si>
    <t>00060-00007</t>
  </si>
  <si>
    <t>Camino A Quilacoya (Ruta Q60O) N°1381 /N°5</t>
  </si>
  <si>
    <t>Lote 8 (CH1)</t>
  </si>
  <si>
    <t>MARIA TERESA CRUZ ROMERO</t>
  </si>
  <si>
    <t>00060-00008</t>
  </si>
  <si>
    <t>Camino A Quilacoya (Ruta Q60O) N°1381 /N°8</t>
  </si>
  <si>
    <t>Lote 9  (CH1)</t>
  </si>
  <si>
    <t>KAREN PANTOJA VALENZUELA</t>
  </si>
  <si>
    <t>00060-00009</t>
  </si>
  <si>
    <t>Camino A Quilacoya (Ruta Q60O) N°1381 /N°9</t>
  </si>
  <si>
    <t>Lote 11  (CH1)</t>
  </si>
  <si>
    <t>PATRICIO VELASQUEZ PEREZ</t>
  </si>
  <si>
    <t>00060-00011</t>
  </si>
  <si>
    <t>Camino A Quilacoya (Ruta Q60O) N°1381 /N°11</t>
  </si>
  <si>
    <t>Lote 12 (CH1)</t>
  </si>
  <si>
    <t>NORMA FIGUEROA  HERNÁNDEZ</t>
  </si>
  <si>
    <t>00060-00012</t>
  </si>
  <si>
    <t>Camino A Quilacoya (Ruta Q60O) N°1381 /N°12</t>
  </si>
  <si>
    <t>Lote 13 (CH1)</t>
  </si>
  <si>
    <t>FABIOLA REBOLLEDO VILLAGRÁN</t>
  </si>
  <si>
    <t>00060-00013</t>
  </si>
  <si>
    <t>Camino A Quilacoya (Ruta Q60O) N°1381 /N°13</t>
  </si>
  <si>
    <t>Lote 14  (CH1)</t>
  </si>
  <si>
    <t>ROXANA NAVARRETE PINCHEIRA</t>
  </si>
  <si>
    <t>00060-00014</t>
  </si>
  <si>
    <t>Camino A Quilacoya (Ruta Q60O) N°1381 /N°14</t>
  </si>
  <si>
    <t>Lote 15  (CH1)</t>
  </si>
  <si>
    <t>JORGE FUENTES FIGUEROA</t>
  </si>
  <si>
    <t>00060-00015</t>
  </si>
  <si>
    <t>Camino A Quilacoya (Ruta Q60O) N°1381 /N°15</t>
  </si>
  <si>
    <t>Lote 16  (CH1)</t>
  </si>
  <si>
    <t>JOHANA ZAVALA ROBLES</t>
  </si>
  <si>
    <t>00060-00016</t>
  </si>
  <si>
    <t>Camino A Quilacoya (Ruta Q60O) N°1381 /N°16</t>
  </si>
  <si>
    <t>Lote 17  (CH1)</t>
  </si>
  <si>
    <t>MARCO SALDÍAS ESCOBAR</t>
  </si>
  <si>
    <t>00060-00017</t>
  </si>
  <si>
    <t>Camino A Quilacoya (Ruta Q60O) N°1381 /N°17</t>
  </si>
  <si>
    <t>Lote 18  (CH1)</t>
  </si>
  <si>
    <t>MACKARENA ARANEDA GUTIÉRREZ</t>
  </si>
  <si>
    <t>00060-00018</t>
  </si>
  <si>
    <t>Camino A Quilacoya (Ruta Q60O) N°1381 /N°18</t>
  </si>
  <si>
    <t>Lote 19  (CH1)</t>
  </si>
  <si>
    <t>MARCOS PALMA MONTERO</t>
  </si>
  <si>
    <t>00060-00019</t>
  </si>
  <si>
    <t>Camino A Quilacoya (Ruta Q60O) N°1381 /N°19</t>
  </si>
  <si>
    <t>Lote 20  (CH1)</t>
  </si>
  <si>
    <t>CESAR LAGOS FIGUEROA</t>
  </si>
  <si>
    <t>00060-00020</t>
  </si>
  <si>
    <t>Camino A Quilacoya (Ruta Q60O) N°1381 /N°20</t>
  </si>
  <si>
    <t>Lote 21  (CH1)</t>
  </si>
  <si>
    <t>JUAN PABLO GARCÍA ARAVENA</t>
  </si>
  <si>
    <t>00060-00021</t>
  </si>
  <si>
    <t>Camino A Quilacoya (Ruta Q60O) N°1381 /N°21</t>
  </si>
  <si>
    <t>Lote 22  (CH1)</t>
  </si>
  <si>
    <t>MARÍA ISABEL AMIGO HAERING</t>
  </si>
  <si>
    <t>00060-00022</t>
  </si>
  <si>
    <t>Camino A Quilacoya (Ruta Q60O) N°1381 /N°22</t>
  </si>
  <si>
    <t>Lote 23  (CH1)</t>
  </si>
  <si>
    <t>HELMUTH GEERDTS SOTO</t>
  </si>
  <si>
    <t>00060-00023</t>
  </si>
  <si>
    <t>Camino A Quilacoya (Ruta Q60O) N°1381 /N°23</t>
  </si>
  <si>
    <t>Lote 24  (CH1)</t>
  </si>
  <si>
    <t>EMMANUEL CÁCERES QUILAQUEO</t>
  </si>
  <si>
    <t>00060-00024</t>
  </si>
  <si>
    <t>Camino A Quilacoya (Ruta Q60O) N°1381 /N°24</t>
  </si>
  <si>
    <t>Lote 25  (CH1)</t>
  </si>
  <si>
    <t>VIRGINIA CAÑOLES MANRÍQUEZ</t>
  </si>
  <si>
    <t>00060-00025</t>
  </si>
  <si>
    <t>Camino A Quilacoya (Ruta Q60O) N°1381 /N°25</t>
  </si>
  <si>
    <t>Lote 26  (CH1)</t>
  </si>
  <si>
    <t>MACARENA NOVA CAMACHO</t>
  </si>
  <si>
    <t>00060-00026</t>
  </si>
  <si>
    <t>Camino A Quilacoya (Ruta Q60O) N°1381 /N°26</t>
  </si>
  <si>
    <t>Lote 27  (CH1)</t>
  </si>
  <si>
    <t>ALVARO YAÑEZ NOVA</t>
  </si>
  <si>
    <t>00060-00027</t>
  </si>
  <si>
    <t>Camino A Quilacoya (Ruta Q60O) N°1381 /N°27</t>
  </si>
  <si>
    <t>Lote 28  (CH1)</t>
  </si>
  <si>
    <t>JORGE PÉREZ CASTILLO</t>
  </si>
  <si>
    <t>00060-00028</t>
  </si>
  <si>
    <t>Camino A Quilacoya (Ruta Q60O) N°1381 /N°28</t>
  </si>
  <si>
    <t>Lote 29  (CH1)</t>
  </si>
  <si>
    <t>ESTEFANIA CERÓN REVECO</t>
  </si>
  <si>
    <t>00060-00029</t>
  </si>
  <si>
    <t>Camino A Quilacoya (Ruta Q60O) N°1381 /N°29</t>
  </si>
  <si>
    <t>Lote 30  (CH1)</t>
  </si>
  <si>
    <t>JAVIERA SEPULVEDA GAJARDO</t>
  </si>
  <si>
    <t>00060-00030</t>
  </si>
  <si>
    <t>Camino A Quilacoya (Ruta Q60O) N°1381 /N°31</t>
  </si>
  <si>
    <t>Lote 31  (CH1)</t>
  </si>
  <si>
    <t>SILVANA LABORDE GARCIA</t>
  </si>
  <si>
    <t>00060-00031</t>
  </si>
  <si>
    <t>Camino A Quilacoya (Ruta Q60O) N°1381 /N°32</t>
  </si>
  <si>
    <t>Lote 32  (CH1)</t>
  </si>
  <si>
    <t>VICTOR BRIKISAK CARVAJAL</t>
  </si>
  <si>
    <t>00060-00032</t>
  </si>
  <si>
    <t>Camino A Quilacoya (Ruta Q60O) N°1381 /N°33</t>
  </si>
  <si>
    <t>Lote 33  (CH1)</t>
  </si>
  <si>
    <t>PAULINA FUENTES FIGUEROA</t>
  </si>
  <si>
    <t>00060-00033</t>
  </si>
  <si>
    <t>Camino A Quilacoya (Ruta Q60O) N°1381 /N°34</t>
  </si>
  <si>
    <t>Vitacura</t>
  </si>
  <si>
    <t>Sitio 7</t>
  </si>
  <si>
    <t>Rodrigo Martin</t>
  </si>
  <si>
    <t>Lote 5-A</t>
  </si>
  <si>
    <t>Inversiones Sanz y Cía. Ltda.</t>
  </si>
  <si>
    <t>Lote 8-A</t>
  </si>
  <si>
    <t>Inversiones Inmobiliarias Comerciales S.A.</t>
  </si>
  <si>
    <t>Lote C (Fusion E1,E3,E5, E6)</t>
  </si>
  <si>
    <t>Serviu Region de los Lagos</t>
  </si>
  <si>
    <t>Lotes B</t>
  </si>
  <si>
    <t>Lotes 60,61,62,63,64</t>
  </si>
  <si>
    <t>INMOBILIARIA ALTOS DE PEDRO DE VALDIVIA S. A.</t>
  </si>
  <si>
    <t>Lote A (Fusion G7, G8, G9, G10, G11)</t>
  </si>
  <si>
    <t>Lote D (Fusion H1, H2, H3, H4, H5)</t>
  </si>
  <si>
    <t>Expropiacion</t>
  </si>
  <si>
    <t>Lote 2B-3-1-A</t>
  </si>
  <si>
    <t>Inmobiliaria Costa Sur SpA</t>
  </si>
  <si>
    <t>Lotes Manzana I</t>
  </si>
  <si>
    <t>Serviu Region de Los Lagos</t>
  </si>
  <si>
    <t>Lote fusionado H6 al H11</t>
  </si>
  <si>
    <t>3L Valle Grande SpA</t>
  </si>
  <si>
    <t>Lotes : E9 al E16</t>
  </si>
  <si>
    <t>Fundacion INVICA</t>
  </si>
  <si>
    <t>Lotes A,B,C</t>
  </si>
  <si>
    <t>Costa Sur S.A.</t>
  </si>
  <si>
    <t xml:space="preserve">Lote 2B-1 </t>
  </si>
  <si>
    <t>Fourcade S.A.</t>
  </si>
  <si>
    <t>Lote 2B-2</t>
  </si>
  <si>
    <t>Daniela Konow</t>
  </si>
  <si>
    <t>Lote 2 A-1</t>
  </si>
  <si>
    <t>Penta</t>
  </si>
  <si>
    <t>Lote 2A-2</t>
  </si>
  <si>
    <t>U. de la Americas</t>
  </si>
  <si>
    <t>DESARROLLADORA VIVIENDAS DRESDEN LIMITADA</t>
  </si>
  <si>
    <t>Lote F (Fusion F1, F2, F3)</t>
  </si>
  <si>
    <t>Lote E (Fusion F4, F5, F6, F7)</t>
  </si>
  <si>
    <t>Lote F-2A-2</t>
  </si>
  <si>
    <t>Empresas FT S.A.</t>
  </si>
  <si>
    <t>Inm. del Pacifico Ltda</t>
  </si>
  <si>
    <t>Lote F-4aB</t>
  </si>
  <si>
    <t>Proulx S.A.</t>
  </si>
  <si>
    <t>Lote 2D-1G</t>
  </si>
  <si>
    <t>COEMCO</t>
  </si>
  <si>
    <t>Lote E-1</t>
  </si>
  <si>
    <t>I. Los Pioneros</t>
  </si>
  <si>
    <t>Lote 2D-1D</t>
  </si>
  <si>
    <t>PY (Banco Chile)</t>
  </si>
  <si>
    <t>Lote E-7</t>
  </si>
  <si>
    <t>Galilea S.A.</t>
  </si>
  <si>
    <t>Lote E-5</t>
  </si>
  <si>
    <t>F-2B2</t>
  </si>
  <si>
    <t>Lote F-7</t>
  </si>
  <si>
    <t>Lote F-6</t>
  </si>
  <si>
    <t>F-2B1</t>
  </si>
  <si>
    <t>Lote F-9</t>
  </si>
  <si>
    <t>Inmobiliaria Bosquemar S.A.</t>
  </si>
  <si>
    <t>Lote 2D-4</t>
  </si>
  <si>
    <t>JOSE M. GARCIA</t>
  </si>
  <si>
    <t>Lote 2D-1 C</t>
  </si>
  <si>
    <t>Enaco</t>
  </si>
  <si>
    <t>Lote 2D-1 B</t>
  </si>
  <si>
    <t>Lote 2D-1 A</t>
  </si>
  <si>
    <t>Lote 2D-3-2</t>
  </si>
  <si>
    <t>Socovesa</t>
  </si>
  <si>
    <t>Lote 2D-3-3</t>
  </si>
  <si>
    <t>Lote 2D-1 E (Peas)</t>
  </si>
  <si>
    <t>Aguas S. Pedro</t>
  </si>
  <si>
    <t>Lote F-8</t>
  </si>
  <si>
    <t>Lote F-5</t>
  </si>
  <si>
    <t>Lote 2D-5</t>
  </si>
  <si>
    <t>J.M. Garcia</t>
  </si>
  <si>
    <t>Lote 2D-3-1</t>
  </si>
  <si>
    <t>Lote 2D-1-F</t>
  </si>
  <si>
    <t>Lotes Puerta Sur</t>
  </si>
  <si>
    <t>Inmobiliaria Puerta Sur S.A</t>
  </si>
  <si>
    <t>Inmob. Costa Sur Ltda.</t>
  </si>
  <si>
    <t>Lote A-3</t>
  </si>
  <si>
    <t>Coronel</t>
  </si>
  <si>
    <t>Lote A1</t>
  </si>
  <si>
    <t>INMOBILIARIA CAPITALES UNIDOS LIMITADA</t>
  </si>
  <si>
    <t>Concepcion</t>
  </si>
  <si>
    <t>Hijuela 5</t>
  </si>
  <si>
    <t>Megacentro Chile S.A.</t>
  </si>
  <si>
    <t>Temuco</t>
  </si>
  <si>
    <t>Lote A-1</t>
  </si>
  <si>
    <t>Inmobiliaria Martabid Ltda.</t>
  </si>
  <si>
    <t>Lote F-8C-1</t>
  </si>
  <si>
    <t>Inmobiliaria 3L Concepcion SpA</t>
  </si>
  <si>
    <t>Lote F4-A-a</t>
  </si>
  <si>
    <t>Maestra Inmobiliaria S.A.</t>
  </si>
  <si>
    <t>Lote F-9-8C</t>
  </si>
  <si>
    <t>Lote 2A-1, 2A-2</t>
  </si>
  <si>
    <t>Inmobiliaria RBB S.A.</t>
  </si>
  <si>
    <t>Inmobiliaria Desarrolladora SpA</t>
  </si>
  <si>
    <t>Lote C-2A</t>
  </si>
  <si>
    <t>89-18-107</t>
  </si>
  <si>
    <t>Proyección Av Portal San Pedro 6180</t>
  </si>
  <si>
    <t>Ebco-Avellaneda Sur</t>
  </si>
  <si>
    <t>Talcahuano</t>
  </si>
  <si>
    <t>El Morro</t>
  </si>
  <si>
    <t>El Morro S.A.</t>
  </si>
  <si>
    <t>Talca</t>
  </si>
  <si>
    <t>Lotes 1,2,3,5,6,7,8,9,10</t>
  </si>
  <si>
    <t>Serviu Region del Maule</t>
  </si>
  <si>
    <t>Lotes A2,A3, A4</t>
  </si>
  <si>
    <t>Martabit</t>
  </si>
  <si>
    <t>Lotes A-2-2, A-2-3, A-2-4</t>
  </si>
  <si>
    <t>Inmobiliaria Quebec Ltda. (Martabid)</t>
  </si>
  <si>
    <t>Lote 1 (Industrial)</t>
  </si>
  <si>
    <t>Transpacific (Corpbanca)</t>
  </si>
  <si>
    <t>Lote 3 (Industrial)</t>
  </si>
  <si>
    <t>Heriberto Quinteros</t>
  </si>
  <si>
    <t>Lote 2 (Industrial)</t>
  </si>
  <si>
    <t>Tanner Leasing S.A.</t>
  </si>
  <si>
    <t>Lote C3-1A</t>
  </si>
  <si>
    <t>Manquehue</t>
  </si>
  <si>
    <t>Lote C3-1B</t>
  </si>
  <si>
    <t>Lote L-01 a</t>
  </si>
  <si>
    <t>Olas S.A.</t>
  </si>
  <si>
    <t>Lotes Olas</t>
  </si>
  <si>
    <t>Inmobiliaria Olas S.A.</t>
  </si>
  <si>
    <t>Lote 2 A-2</t>
  </si>
  <si>
    <t>Lote 2D-6</t>
  </si>
  <si>
    <t>JM García</t>
  </si>
  <si>
    <t>Lotes : A1,A2</t>
  </si>
  <si>
    <t>Ebcosur S.A.</t>
  </si>
  <si>
    <t>INMOBILIARIA FUERTE O'HIGGINS LTDA.</t>
  </si>
  <si>
    <t>Lote  B</t>
  </si>
  <si>
    <t>SERVIU VIII Region</t>
  </si>
  <si>
    <t>No activo-Paga Rol Matriz</t>
  </si>
  <si>
    <t>Inmobiliaria Reserva SpA</t>
  </si>
  <si>
    <t>Lote C-2B</t>
  </si>
  <si>
    <t>Por Interior Camino a coronel 170</t>
  </si>
  <si>
    <t>Lote C7-1A-1A</t>
  </si>
  <si>
    <t>Inmobiliaria Costa Norte SpA</t>
  </si>
  <si>
    <t>Lote C7-1A-1B</t>
  </si>
  <si>
    <t>Inmobiliaria CVV Biobío Dos SpA</t>
  </si>
  <si>
    <t>Lote F-9-X1</t>
  </si>
  <si>
    <t>Santa Josefina SpA</t>
  </si>
  <si>
    <t>Lote F-1A-B</t>
  </si>
  <si>
    <t>Comerc.Sergio Espinoza y Cía. Ltda.</t>
  </si>
  <si>
    <t>Lote D2-C-2B</t>
  </si>
  <si>
    <t>Systech Chile Ltda</t>
  </si>
  <si>
    <t>Lote C-9-A1</t>
  </si>
  <si>
    <t>Lote A7-1a</t>
  </si>
  <si>
    <t>Inv. E Inmob. Espinoza y Espinoza Ltda.</t>
  </si>
  <si>
    <t>Lote C8-2A</t>
  </si>
  <si>
    <t>B. Chile/Repetto</t>
  </si>
  <si>
    <t>Lote F-1B</t>
  </si>
  <si>
    <t>Valdivia</t>
  </si>
  <si>
    <t>4 Lotes Angachilla</t>
  </si>
  <si>
    <t>Lote F1-C</t>
  </si>
  <si>
    <t>Galilea SA de Ingenieria y Construccion</t>
  </si>
  <si>
    <t>Lote B2-B-1</t>
  </si>
  <si>
    <t>Patricio Torres</t>
  </si>
  <si>
    <t>Lote F1-B</t>
  </si>
  <si>
    <t>Lote D1-C</t>
  </si>
  <si>
    <t>Perseverancia Ankara</t>
  </si>
  <si>
    <t>Lote Z</t>
  </si>
  <si>
    <t>Un Techo para Chile</t>
  </si>
  <si>
    <t>Lote D2-C-1</t>
  </si>
  <si>
    <t>Inmobiliaria San Pedro SpA</t>
  </si>
  <si>
    <t>Lote D2-C-3</t>
  </si>
  <si>
    <t>Lote D2-B</t>
  </si>
  <si>
    <t>Inmobiliaria Casas de San Pedro S.A.</t>
  </si>
  <si>
    <t>Lote D1-3 (PEAS)</t>
  </si>
  <si>
    <t>Aguas San Pedro</t>
  </si>
  <si>
    <t>Lote D2-A</t>
  </si>
  <si>
    <t>Frigorifico Pacifico SpA</t>
  </si>
  <si>
    <t>Lote D1-A</t>
  </si>
  <si>
    <t>Lote C1-A, C1-B</t>
  </si>
  <si>
    <t>Inmobiliaria San Pedro SpA (ARMAS)</t>
  </si>
  <si>
    <t>Inmobiliaria Alterra SA</t>
  </si>
  <si>
    <t>Lote E-2</t>
  </si>
  <si>
    <t>Lote B2-A</t>
  </si>
  <si>
    <t>Lote D1-B</t>
  </si>
  <si>
    <t>Lote C6-1-A</t>
  </si>
  <si>
    <t>Geosal</t>
  </si>
  <si>
    <t>Lote D1-6-2</t>
  </si>
  <si>
    <t>ICEAL</t>
  </si>
  <si>
    <t>Lote G-2</t>
  </si>
  <si>
    <t>Lote E-6</t>
  </si>
  <si>
    <t>Lote E-8</t>
  </si>
  <si>
    <t>Lote D1-2-1</t>
  </si>
  <si>
    <t>Lote C4</t>
  </si>
  <si>
    <t>El Carmen Parcela 2</t>
  </si>
  <si>
    <t>Inmobiliaria Country SpA</t>
  </si>
  <si>
    <t>Lote A Pileo</t>
  </si>
  <si>
    <t>OK</t>
  </si>
  <si>
    <t>EXENTO</t>
  </si>
  <si>
    <t>INVERSIONES PATAGUAL LIMITADA</t>
  </si>
  <si>
    <t>Lote C3-1C-C-2</t>
  </si>
  <si>
    <t>Todo Arauco SA</t>
  </si>
  <si>
    <t>RENTAS DRESDEN LIMITADA</t>
  </si>
  <si>
    <t>Lote A-3B</t>
  </si>
  <si>
    <t>Inmobiliaria e Inversiones Centro Nacional de Bodegaje S.A.</t>
  </si>
  <si>
    <t xml:space="preserve">Lote G16 (Numero 16 Mz G) </t>
  </si>
  <si>
    <t>Ebco Araneda</t>
  </si>
  <si>
    <t>Lote B11 (Numero 11 Mz B)</t>
  </si>
  <si>
    <t>CORONEL</t>
  </si>
  <si>
    <t>LOTE A-1</t>
  </si>
  <si>
    <t>Arturo Maya</t>
  </si>
  <si>
    <t>1270-92</t>
  </si>
  <si>
    <t>PATAGUAL/ CORONEL</t>
  </si>
  <si>
    <t>AGRICOLA LOMAS DE CALBUCO LIMITADA</t>
  </si>
  <si>
    <t>PUERTO MONTT</t>
  </si>
  <si>
    <t>PARCELA N°2</t>
  </si>
  <si>
    <t>2190-50</t>
  </si>
  <si>
    <t>AV. LOS ALERCE N° 2 S/N</t>
  </si>
  <si>
    <t>SAN PEDRO DE LA PAZ</t>
  </si>
  <si>
    <t>2B-3-X1</t>
  </si>
  <si>
    <t>15006-85</t>
  </si>
  <si>
    <t>18070-6</t>
  </si>
  <si>
    <t>AV. COSTANERA INTERIOR N° 8680</t>
  </si>
  <si>
    <t>2B-3-X2</t>
  </si>
  <si>
    <t>18017-33</t>
  </si>
  <si>
    <t>AV. COSTANERA INTERIOR N° 8640</t>
  </si>
  <si>
    <t>2B-3-X3</t>
  </si>
  <si>
    <t>18070-1</t>
  </si>
  <si>
    <t>AV. COSTANERA INTERIOR N° 8590</t>
  </si>
  <si>
    <t>2B-3-X4</t>
  </si>
  <si>
    <t>18070-2</t>
  </si>
  <si>
    <t>AV. COSTANERA INTERIOR N° 8520</t>
  </si>
  <si>
    <t>2B-3-2-B</t>
  </si>
  <si>
    <t>2B-3-2-B5</t>
  </si>
  <si>
    <t>Portal Cordillera</t>
  </si>
  <si>
    <t>18070-4</t>
  </si>
  <si>
    <t>15006-117</t>
  </si>
  <si>
    <t>AV. COSTANERA INTERIOR N° 8625</t>
  </si>
  <si>
    <t>Itaú</t>
  </si>
  <si>
    <t>PCO</t>
  </si>
  <si>
    <t>2B-3-2-G</t>
  </si>
  <si>
    <t>18070-5</t>
  </si>
  <si>
    <t>AV. COSTANERA INTERIOR N° 8875</t>
  </si>
  <si>
    <t>Lote 2 Mitrinhue</t>
  </si>
  <si>
    <t>Disponible</t>
  </si>
  <si>
    <t>1270-86</t>
  </si>
  <si>
    <t>Exento, no paga contribuciones</t>
  </si>
  <si>
    <t>Lote 1 Mitrinhue</t>
  </si>
  <si>
    <t>1270-85</t>
  </si>
  <si>
    <t>AGRICOLA PATAGUAL LIMITADA</t>
  </si>
  <si>
    <t>CURINAN O PARLAMENTOSNLT DPILEO</t>
  </si>
  <si>
    <t>Lote D (Ex Salazar)</t>
  </si>
  <si>
    <t>1271-8</t>
  </si>
  <si>
    <t>Lote 73 Patagual</t>
  </si>
  <si>
    <t>1250-25</t>
  </si>
  <si>
    <t>Lote 72 Patagual</t>
  </si>
  <si>
    <t>1250-26</t>
  </si>
  <si>
    <t>Lote 71 Patagual (Casa Inquilino)</t>
  </si>
  <si>
    <t>Lote 70 Patagual</t>
  </si>
  <si>
    <t>Lote 69 Patagual</t>
  </si>
  <si>
    <t>Lote 68 Patagual</t>
  </si>
  <si>
    <t>Lote 67 Patagual</t>
  </si>
  <si>
    <t>Lote 66 Patagual</t>
  </si>
  <si>
    <t>Lote 65 Patagual</t>
  </si>
  <si>
    <t>Lote 64 Patagual</t>
  </si>
  <si>
    <t>Lote 63 Patagual</t>
  </si>
  <si>
    <t>Lote 62 Patagual</t>
  </si>
  <si>
    <t>Lote 61 Patagual</t>
  </si>
  <si>
    <t>Lote 60 Patagual</t>
  </si>
  <si>
    <t>Lote 59 Patagual</t>
  </si>
  <si>
    <t>Lote 58 Patagual</t>
  </si>
  <si>
    <t>Lote 57 Patagual</t>
  </si>
  <si>
    <t>Lote 56 Patagual</t>
  </si>
  <si>
    <t>Lote 55 Patagual</t>
  </si>
  <si>
    <t>Lote 54 Patagual</t>
  </si>
  <si>
    <t>Lote 53 Patagual</t>
  </si>
  <si>
    <t>Lote 52 Patagual</t>
  </si>
  <si>
    <t>Lote 51 Patagual</t>
  </si>
  <si>
    <t>Lote 50 Patagual</t>
  </si>
  <si>
    <t>Lote 49 Patagual</t>
  </si>
  <si>
    <t>Lote 48 Patagual</t>
  </si>
  <si>
    <t>Lote 47 Patagual</t>
  </si>
  <si>
    <t>Lote 46 Patagual</t>
  </si>
  <si>
    <t>Lote 45 Patagual</t>
  </si>
  <si>
    <t>Lote 44 Patagual</t>
  </si>
  <si>
    <t>Lote 43 Patagual</t>
  </si>
  <si>
    <t>Lote 42 Patagual</t>
  </si>
  <si>
    <t>Lote 41 Patagual</t>
  </si>
  <si>
    <t>Lote 40 Patagual</t>
  </si>
  <si>
    <t>Lote 39 Patagual</t>
  </si>
  <si>
    <t>Lote 38 Patagual</t>
  </si>
  <si>
    <t>Lote 37 Patagual</t>
  </si>
  <si>
    <t>Lote 36 Patagual</t>
  </si>
  <si>
    <t>Lote 35 Patagual</t>
  </si>
  <si>
    <t>Lote 34 Patagual</t>
  </si>
  <si>
    <t>Lote 33 Patagual</t>
  </si>
  <si>
    <t>Lote 32 Patagual</t>
  </si>
  <si>
    <t>Lote 31 Patagual</t>
  </si>
  <si>
    <t>Lote 30 Patagual</t>
  </si>
  <si>
    <t>Lote 29 Patagual</t>
  </si>
  <si>
    <t>Lote 28 Patagual</t>
  </si>
  <si>
    <t>Lote 27 Patagual</t>
  </si>
  <si>
    <t>Lote 26 Patagual</t>
  </si>
  <si>
    <t>Lote 25 Patagual</t>
  </si>
  <si>
    <t>Lote 24 Patagual</t>
  </si>
  <si>
    <t>Lote 23 Patagual</t>
  </si>
  <si>
    <t>Lote 22 Patagual</t>
  </si>
  <si>
    <t>Lote 21 Patagual</t>
  </si>
  <si>
    <t>Lote 20 Patagual</t>
  </si>
  <si>
    <t>Lote 19 Patagual</t>
  </si>
  <si>
    <t>Lote 18 Patagual</t>
  </si>
  <si>
    <t xml:space="preserve">Lote 17 Patagual </t>
  </si>
  <si>
    <t>Lote 16 Patagual</t>
  </si>
  <si>
    <t>Lote 15 Patagual (casa)</t>
  </si>
  <si>
    <t>Lote 14 Patagual</t>
  </si>
  <si>
    <t>Lote 13 Patagual (casa)</t>
  </si>
  <si>
    <t>Lote 12 Patagual</t>
  </si>
  <si>
    <t>Lote 11 Patagual</t>
  </si>
  <si>
    <t>Lote 10 Patagual</t>
  </si>
  <si>
    <t>Lote 09 Patagual</t>
  </si>
  <si>
    <t>Lote 08 Patagual</t>
  </si>
  <si>
    <t>Lote 07 Patagual</t>
  </si>
  <si>
    <t>Lote 06 Patagual</t>
  </si>
  <si>
    <t>Lote 05 Patagual</t>
  </si>
  <si>
    <t>Lote 04 Patagual</t>
  </si>
  <si>
    <t>Lote 03 Patagual</t>
  </si>
  <si>
    <t>Lote 02 Patagual</t>
  </si>
  <si>
    <t>Lote 01 Patagual</t>
  </si>
  <si>
    <t>San Fabián de Alico</t>
  </si>
  <si>
    <t>Fundo Las Mercedes: Lote 2</t>
  </si>
  <si>
    <t>60-66</t>
  </si>
  <si>
    <t>60-211</t>
  </si>
  <si>
    <t xml:space="preserve">Fundo Las Bandurrias: Lote 2 </t>
  </si>
  <si>
    <t>72-7</t>
  </si>
  <si>
    <t>72-41</t>
  </si>
  <si>
    <t>Fundo La Montaña 2: Lote 2</t>
  </si>
  <si>
    <t>72-34</t>
  </si>
  <si>
    <t>72-42</t>
  </si>
  <si>
    <t>Fundo El Valiente: Lote 2</t>
  </si>
  <si>
    <t>60-112</t>
  </si>
  <si>
    <t>60-212</t>
  </si>
  <si>
    <t>CSS</t>
  </si>
  <si>
    <t>Lote B</t>
  </si>
  <si>
    <t>Lote 17 (Cardenas - Alberto Cardenas)</t>
  </si>
  <si>
    <t>HIJUELA 59</t>
  </si>
  <si>
    <t>5035-59</t>
  </si>
  <si>
    <t>5035-17</t>
  </si>
  <si>
    <t>si paga contribuciones</t>
  </si>
  <si>
    <t>Afecto</t>
  </si>
  <si>
    <t>Sitio Eriazo</t>
  </si>
  <si>
    <t>SECTOR CARDONAL BAJO- LOTE 17</t>
  </si>
  <si>
    <t>Banco BICE</t>
  </si>
  <si>
    <t>DRE</t>
  </si>
  <si>
    <t>POR VENDER</t>
  </si>
  <si>
    <t>INVERSIONES PATAGUAL TRES LIMITADA</t>
  </si>
  <si>
    <t>LOTE A-1 Carriel Sur</t>
  </si>
  <si>
    <t>PDTE SANTA MARIA 8551 LT A- 1</t>
  </si>
  <si>
    <t>5310-8</t>
  </si>
  <si>
    <t>5310-108</t>
  </si>
  <si>
    <t>CALLE PRESIDENTE SANTO DOMINGO N° 8551</t>
  </si>
  <si>
    <t>Colina</t>
  </si>
  <si>
    <t>Lote 38</t>
  </si>
  <si>
    <t>EL MANZANO DE GUAY GUAY LT 38</t>
  </si>
  <si>
    <t>175-169</t>
  </si>
  <si>
    <t>2D-1-F</t>
  </si>
  <si>
    <t>AVENIDA LOS PARQUES 700 LT 2 D- 1 -F</t>
  </si>
  <si>
    <t>17500-1</t>
  </si>
  <si>
    <t>17500-30</t>
  </si>
  <si>
    <t>AV. LOS PARQUES N° 700</t>
  </si>
  <si>
    <t>Security</t>
  </si>
  <si>
    <t>Banco Security</t>
  </si>
  <si>
    <t>2D-3-1 (Porción 1)</t>
  </si>
  <si>
    <t>AVDA COSTANERA INT 7650 2 -D- 3 - 1</t>
  </si>
  <si>
    <t>2D-3-1 (Porción 2)</t>
  </si>
  <si>
    <t>A (LO VALLEDOR)</t>
  </si>
  <si>
    <t>CALLE 2 NORTE 255 C 3 - 1 C-D</t>
  </si>
  <si>
    <t>Oficina</t>
  </si>
  <si>
    <t>CALLE 2 NORTE N° 255</t>
  </si>
  <si>
    <t>A-2</t>
  </si>
  <si>
    <t>CALLE 3 NORTE 1520 LT A- 2</t>
  </si>
  <si>
    <t>16804-94</t>
  </si>
  <si>
    <t>CALLE 3 NORTE N° 1520</t>
  </si>
  <si>
    <t>C-9-F1</t>
  </si>
  <si>
    <t>CALLE UNO INTERIOR 442 LT C 6 - 2 A</t>
  </si>
  <si>
    <t>19002-2</t>
  </si>
  <si>
    <t>19002-152</t>
  </si>
  <si>
    <t>sin informacion</t>
  </si>
  <si>
    <t>CALLE 3 NORTE N° 45</t>
  </si>
  <si>
    <t>NO ESTA EN LA CONTABILIDAD</t>
  </si>
  <si>
    <t>A-3</t>
  </si>
  <si>
    <t>CALLE 3 NORTE 1450 LT A- 3</t>
  </si>
  <si>
    <t>16804-95</t>
  </si>
  <si>
    <t>CALLE 3 NORTE  N° 1450</t>
  </si>
  <si>
    <t>INMOBILIARIA E INVERSIONES LAS ISLAS LIMITADA</t>
  </si>
  <si>
    <t>B-1</t>
  </si>
  <si>
    <t>CAM A CORONEL LA ISLA LT B- 1</t>
  </si>
  <si>
    <t>15008-143</t>
  </si>
  <si>
    <t>CAMINO A CORONEL INTERIOR N° 3445</t>
  </si>
  <si>
    <t>Gonzalo Folch</t>
  </si>
  <si>
    <t>B-3.1</t>
  </si>
  <si>
    <t>CAMINO A CORONEL INT LT B- 3 . 1</t>
  </si>
  <si>
    <t>15008-162</t>
  </si>
  <si>
    <t>CAMINO A CORONEL INTERIOR N° 3455</t>
  </si>
  <si>
    <t>LO VALLEDOR BIOBIO SPA</t>
  </si>
  <si>
    <t>C-2A</t>
  </si>
  <si>
    <t>AV PORTAL S PEDRO 6180 LT C- 2 A</t>
  </si>
  <si>
    <t>16802-5</t>
  </si>
  <si>
    <t>16803-9</t>
  </si>
  <si>
    <t>CAMINO A CORONEL N° 6180</t>
  </si>
  <si>
    <t>INMOBILIARIA RESERVA LIMITADA</t>
  </si>
  <si>
    <t>C-2C</t>
  </si>
  <si>
    <t>INT. CAM A CORONEL 220 LT C- 2 C</t>
  </si>
  <si>
    <t>16803-11</t>
  </si>
  <si>
    <t>INTERIOR CAMINO A CORONEL N° 220</t>
  </si>
  <si>
    <t>C-2D</t>
  </si>
  <si>
    <t>INT. CAM CORONEL 310 LT C- 2 D</t>
  </si>
  <si>
    <t>16803-12</t>
  </si>
  <si>
    <t>INTERIOR CAMINO A CORONEL N° 310</t>
  </si>
  <si>
    <t>C-2E</t>
  </si>
  <si>
    <t>PRY AV S PEDRO 6270 6270 LT C- 2 E</t>
  </si>
  <si>
    <t>16803-13</t>
  </si>
  <si>
    <t>AV. PORTAL SAN PEDRO N° 6270</t>
  </si>
  <si>
    <t>COMERCIAL PATAGUAL LIMITADA</t>
  </si>
  <si>
    <t>C3-1C-A</t>
  </si>
  <si>
    <t>AV PORTAL DE S PEDRO 4930 C 3 - 1 C-A</t>
  </si>
  <si>
    <t>15006-103</t>
  </si>
  <si>
    <t>19001-8</t>
  </si>
  <si>
    <t>AV. PORTAL SAN PEDRO N° 4930</t>
  </si>
  <si>
    <t>AEM</t>
  </si>
  <si>
    <t>C6-1-B-1</t>
  </si>
  <si>
    <t>CALLE 1 INTERIOR 46 C 6 - 1 -B</t>
  </si>
  <si>
    <t>15006-95</t>
  </si>
  <si>
    <t>19002-4</t>
  </si>
  <si>
    <t>CALLE 2 NORTE N° 150</t>
  </si>
  <si>
    <t>C7-1A-1D</t>
  </si>
  <si>
    <t>AV PORTAL SAN PEDRO 3930 LT C 7 - 1 A</t>
  </si>
  <si>
    <t>19003-6</t>
  </si>
  <si>
    <t>CALLE 4 NORTE N° 165</t>
  </si>
  <si>
    <t>C7-1A-1E</t>
  </si>
  <si>
    <t>19003-7</t>
  </si>
  <si>
    <t>AV. PORTAL SAN PEDRO N° 3930</t>
  </si>
  <si>
    <t>C7-1A-1G</t>
  </si>
  <si>
    <t>19003-9</t>
  </si>
  <si>
    <t>CALLE 3 NORTE N° 350</t>
  </si>
  <si>
    <t>C7-1A-1H</t>
  </si>
  <si>
    <t>19003-10</t>
  </si>
  <si>
    <t>CALLE 3 NORTE N° 160</t>
  </si>
  <si>
    <t>C7-2A</t>
  </si>
  <si>
    <t>AV PORTAL SAN PEDRO 3850 LT C 7 - 2 A</t>
  </si>
  <si>
    <t>19003-2</t>
  </si>
  <si>
    <t>AV. PORTAL SAN PEDRO N° 3850</t>
  </si>
  <si>
    <t>C8-A-1</t>
  </si>
  <si>
    <t>CALLE TUCAPEL 155 LT C 8 -A- 1</t>
  </si>
  <si>
    <t>19004-5</t>
  </si>
  <si>
    <t>CALLE TUCAPEL N° 155</t>
  </si>
  <si>
    <t>C8-A-10</t>
  </si>
  <si>
    <t>CALLE 4 NORTE 50 LT C 8 -A 10</t>
  </si>
  <si>
    <t>19004-14</t>
  </si>
  <si>
    <t>CALLE 4 NORTE N° 50</t>
  </si>
  <si>
    <t>C8-A-2</t>
  </si>
  <si>
    <t>CALLE TUCAPEL 75 LT C 8 -A- 2</t>
  </si>
  <si>
    <t>19004-6</t>
  </si>
  <si>
    <t>CALLE TUCAPEL N° 75</t>
  </si>
  <si>
    <t>C8-A-3</t>
  </si>
  <si>
    <t>CALLE P. DE S.PEDRO 3650 LT C 8 -A- 3</t>
  </si>
  <si>
    <t>19004-7</t>
  </si>
  <si>
    <t>AV. PORTAL SAN PEDRO N° 3650</t>
  </si>
  <si>
    <t>C8-A-4</t>
  </si>
  <si>
    <t>CALLE P. DE S.PEDRO 3720 LT C 8 -A- 4</t>
  </si>
  <si>
    <t>19004-8</t>
  </si>
  <si>
    <t>AV. PORTAL SAN PEDRO N° 3720</t>
  </si>
  <si>
    <t>C8-A-5</t>
  </si>
  <si>
    <t>CALLE P. DE S. PEDRO 3750 LT C 8 -A- 5</t>
  </si>
  <si>
    <t>19004-9</t>
  </si>
  <si>
    <t>AV. PORTAL SAN PEDRO N° 3750</t>
  </si>
  <si>
    <t>C8-A-6</t>
  </si>
  <si>
    <t>CALLE P. DE S. PEDRO 3780 LT C 8 -A- 6</t>
  </si>
  <si>
    <t>19004-10</t>
  </si>
  <si>
    <t>AV. PORTAL SAN PEDRO N°3780</t>
  </si>
  <si>
    <t>C8-A-7</t>
  </si>
  <si>
    <t>CALLE 4 NORTE 100 LT C 8 -A- 7</t>
  </si>
  <si>
    <t>19004-11</t>
  </si>
  <si>
    <t>CALLE 4 NORTE N° 100</t>
  </si>
  <si>
    <t>INMOBILIARIA FUERTE O' HIGGINS LIMITADA</t>
  </si>
  <si>
    <t>LOTE 1</t>
  </si>
  <si>
    <t>EX FUERTE OHIGGINS LT A</t>
  </si>
  <si>
    <t>7002-80</t>
  </si>
  <si>
    <t>7002-84</t>
  </si>
  <si>
    <t>Agricola</t>
  </si>
  <si>
    <t>PROLONGACION AV. SAN VICENTE S/N (LOTE 1, SUB. DU-SUBD. N° 006/2016)</t>
  </si>
  <si>
    <t>LOTE 2</t>
  </si>
  <si>
    <t>7002-85</t>
  </si>
  <si>
    <t>PROLONGACION AV. SAN VICENTE S/N (LOTE 2, SUB. DU-SUBD. N° 006/2016)</t>
  </si>
  <si>
    <t>LOTE 3</t>
  </si>
  <si>
    <t>7002-86</t>
  </si>
  <si>
    <t>PROLONGACION AV. SAN VICENTE S/N (LOTE 3, SUB. DU-SUBD. N° 006/2016)</t>
  </si>
  <si>
    <t>LOTE 4</t>
  </si>
  <si>
    <t>7002-87</t>
  </si>
  <si>
    <t>PROLONGACION AV. SAN VICENTE S/N (LOTE 4, SUB. DU-SUBD. N° 006/2016)</t>
  </si>
  <si>
    <t>INMOBILIARIA EBCOSUR S.A.</t>
  </si>
  <si>
    <t>Arauco</t>
  </si>
  <si>
    <t>Los Maquis IV</t>
  </si>
  <si>
    <t>164-6</t>
  </si>
  <si>
    <t>Alexander Boyé</t>
  </si>
  <si>
    <t>C-9-A2</t>
  </si>
  <si>
    <t>19002-151</t>
  </si>
  <si>
    <t>Comercio</t>
  </si>
  <si>
    <t>CALLE NUEVA VIA N° 4405</t>
  </si>
  <si>
    <t>Cementerio mascotas (Calle) F-8B</t>
  </si>
  <si>
    <t>AVDA LOS PARQUES 755 LTF 8 B</t>
  </si>
  <si>
    <t>17500-298</t>
  </si>
  <si>
    <t>Penta Vida</t>
  </si>
  <si>
    <t>Cementerio mascotas (costa) F-8A</t>
  </si>
  <si>
    <t>AVENIDA LOS PARQUES 785 LTF 8 A</t>
  </si>
  <si>
    <t>17500-297</t>
  </si>
  <si>
    <t>D1-1A</t>
  </si>
  <si>
    <t>AVENIDA COSTANERA 4900 LT D 1 - 1 A</t>
  </si>
  <si>
    <t>16804-20</t>
  </si>
  <si>
    <t>AV. COSTANERA INTERIOR N° 4900</t>
  </si>
  <si>
    <t>D1-1B</t>
  </si>
  <si>
    <t>AVENIDA COSTANERA 424200 LT D 1 - 1 B</t>
  </si>
  <si>
    <t>16804-19</t>
  </si>
  <si>
    <t>AV. COSTANERA INTERIOR N° 4200</t>
  </si>
  <si>
    <t>D1-1Da</t>
  </si>
  <si>
    <t>CALLE 4 NORTE ROL 161750 LT D 1 1 DA</t>
  </si>
  <si>
    <t>16804-17</t>
  </si>
  <si>
    <t>16804-4</t>
  </si>
  <si>
    <t>CALLE 4 NORTE N° 1750</t>
  </si>
  <si>
    <t>D1-1Db</t>
  </si>
  <si>
    <t>AV COSTANERA INTERIO 3750 LT D 1 1 DB</t>
  </si>
  <si>
    <t>16804-5</t>
  </si>
  <si>
    <t>AV. COSTANERA INTERIOR N° 3750</t>
  </si>
  <si>
    <t>D2-C-2A</t>
  </si>
  <si>
    <t>CALLE 1 NORTE 900 D 2 -C- 2 A</t>
  </si>
  <si>
    <t>19001-13</t>
  </si>
  <si>
    <t>19001-22</t>
  </si>
  <si>
    <t>CALLE 1 NORTE N° 900</t>
  </si>
  <si>
    <t>F-9-A2</t>
  </si>
  <si>
    <t>AVENIDA COSTANERA 7590 LT F- 9 -A 2</t>
  </si>
  <si>
    <t>17500-14</t>
  </si>
  <si>
    <t>17500-33</t>
  </si>
  <si>
    <t>AV. COSTANERA INTERIOR N° 7590</t>
  </si>
  <si>
    <t>F-9-A3</t>
  </si>
  <si>
    <t>AV COSTANERA INT 7520 LT F- 9 -A 3</t>
  </si>
  <si>
    <t>17500-34</t>
  </si>
  <si>
    <t>AV. COSTANERA INTERIOR N° 7520</t>
  </si>
  <si>
    <t>F-9-X2</t>
  </si>
  <si>
    <t>AVDA COSTANERA 7428 LT F- 9 -A 4</t>
  </si>
  <si>
    <t>Otros no considerados</t>
  </si>
  <si>
    <t>Lote E Las Islas Humedal</t>
  </si>
  <si>
    <t>CAMINO A CORONEL S/N</t>
  </si>
  <si>
    <t>15008-48</t>
  </si>
  <si>
    <t>Lote 4</t>
  </si>
  <si>
    <t>INT CAMINO A CORONEL 6000 LT 4</t>
  </si>
  <si>
    <t>16802-4</t>
  </si>
  <si>
    <t>16803-5</t>
  </si>
  <si>
    <t>INTERIOR CAMINO A CORONEL N° 6000</t>
  </si>
  <si>
    <t>Lote 7</t>
  </si>
  <si>
    <t>Rol no pagó en septiembre</t>
  </si>
  <si>
    <t>16803-8</t>
  </si>
  <si>
    <t>no paga contribuciones</t>
  </si>
  <si>
    <t>INTERIOR CAMINO A CORONEL N° 6050</t>
  </si>
  <si>
    <t>Lote C Las Islas</t>
  </si>
  <si>
    <t>CAMINO A CORONEL 3543</t>
  </si>
  <si>
    <t>15008-211</t>
  </si>
  <si>
    <t>CAMINO A CORONEL N° 3543</t>
  </si>
  <si>
    <t>Lote C3-1C-B</t>
  </si>
  <si>
    <t>AV PORTAL DE S PEDRO 4850 C 3 - 1 C-B</t>
  </si>
  <si>
    <t>Arrendado</t>
  </si>
  <si>
    <t>19001-7</t>
  </si>
  <si>
    <t>PORTAL DE SAN PEDRO 4700 C 3 - 1 C-C 1</t>
  </si>
  <si>
    <t>19001-17</t>
  </si>
  <si>
    <t>LOTE 5-A2-5</t>
  </si>
  <si>
    <t>3623-686</t>
  </si>
  <si>
    <t>AV. SANTA TERESA DE LOS ANDES N° 9830</t>
  </si>
  <si>
    <t>INMOBILIARIA BOSQUEMAR LIMITADA</t>
  </si>
  <si>
    <t>Los Colihues</t>
  </si>
  <si>
    <t>C QUILAC RT Q- 60 -O 1 LT 1 C.</t>
  </si>
  <si>
    <t>62-1</t>
  </si>
  <si>
    <t>C QUILAC RT Q- 60 -O 9 LT 9 C.</t>
  </si>
  <si>
    <t>62-9</t>
  </si>
  <si>
    <t>C A QUILAC RT Q- 60 -O 6 LT 6 C.</t>
  </si>
  <si>
    <t>62-6</t>
  </si>
  <si>
    <t>C QUILACOY RT Q- 60 -O 13 LT 13 C.</t>
  </si>
  <si>
    <t>62-13</t>
  </si>
  <si>
    <t>C QUILACOY RT Q- 60 -O 14 LT 14 C.</t>
  </si>
  <si>
    <t>62-14</t>
  </si>
  <si>
    <t>C QUILACOY RT Q- 60 -O 16 LT 16 C.</t>
  </si>
  <si>
    <t>62-16</t>
  </si>
  <si>
    <t>C QUILACRUTA Q- 60 -O 4 LT 4 C.</t>
  </si>
  <si>
    <t>62-4</t>
  </si>
  <si>
    <t>C QUILAC RUTA Q- 60 -O 2 LT 2 C.</t>
  </si>
  <si>
    <t>62-2</t>
  </si>
  <si>
    <t>C A QUILAC RT Q- 60 -O 5 LT 5 C.</t>
  </si>
  <si>
    <t>62-5</t>
  </si>
  <si>
    <t>C QUILAC RT Q- 60 -O 8 LT 8 C.</t>
  </si>
  <si>
    <t>62-8</t>
  </si>
  <si>
    <t>C A QUILAC RT Q- 60 -O 7 LT 7 C.</t>
  </si>
  <si>
    <t>62-7</t>
  </si>
  <si>
    <t>C QUILACOY RT Q- 60 -O 12 LT 12 C.</t>
  </si>
  <si>
    <t>62-12</t>
  </si>
  <si>
    <t>C QUILAC RUTA Q- 60 -O 3 LT 3 C.</t>
  </si>
  <si>
    <t>62-3</t>
  </si>
  <si>
    <t>C QUILAC RT Q- 60 -O 10 LT 10 C.</t>
  </si>
  <si>
    <t>62-10</t>
  </si>
  <si>
    <t>C QUILAC RT Q- 60 -O 11 LT 11 C.</t>
  </si>
  <si>
    <t>62-11</t>
  </si>
  <si>
    <t>Lote Z4</t>
  </si>
  <si>
    <t>LT Z CNO HUALQUI-QUILACOYA</t>
  </si>
  <si>
    <t>216-143</t>
  </si>
  <si>
    <t>216-550</t>
  </si>
  <si>
    <t>PROYECTADA 8 N° 399, PLACILLA</t>
  </si>
  <si>
    <t>AGRICOLA EL MANZANO LIMITADA</t>
  </si>
  <si>
    <t>LOTE 5</t>
  </si>
  <si>
    <t>206-533</t>
  </si>
  <si>
    <t>206-571</t>
  </si>
  <si>
    <t>ESTERO LIRCAY N° 200</t>
  </si>
  <si>
    <t>Lote 18 (Cardenas - Alberto Cardenas)</t>
  </si>
  <si>
    <t>5035-18</t>
  </si>
  <si>
    <t>SECTOR CARDONAL BAJO- LOTE 18</t>
  </si>
  <si>
    <t>Lote 20 (Cardenas - Alberto Cardenas)</t>
  </si>
  <si>
    <t>5035-20</t>
  </si>
  <si>
    <t>SECTOR CARDONAL BAJO- LOTE 20</t>
  </si>
  <si>
    <t>Lote E Las Islas</t>
  </si>
  <si>
    <t>15008-048</t>
  </si>
  <si>
    <t>INTERIOR COMINO A CORONEL S/N°</t>
  </si>
  <si>
    <t>ESTA FILA ESTA REPETIDA</t>
  </si>
  <si>
    <t>Lotes ex-FEPASA + A-4, A-5 ex Norske</t>
  </si>
  <si>
    <t>PEDRO AGUIRRE CERDA 810 LT. FUS</t>
  </si>
  <si>
    <t>15012-22</t>
  </si>
  <si>
    <t>AV. PEDRO AGUIRRE CERDA N° 810</t>
  </si>
  <si>
    <t>Retazo las islas Lote D</t>
  </si>
  <si>
    <t>CAMINO A CORONEL 3523</t>
  </si>
  <si>
    <t>15008-210</t>
  </si>
  <si>
    <t>CAMINO A CORONEL N° 3523</t>
  </si>
  <si>
    <t>Rotonda (Area verde Olas A2)</t>
  </si>
  <si>
    <t>CALLE 3 NORTE 1575 L A 2 A</t>
  </si>
  <si>
    <t>16830-5</t>
  </si>
  <si>
    <t>Lote 21 Llepinhue</t>
  </si>
  <si>
    <t>LLEPINHUE LT B</t>
  </si>
  <si>
    <t>216-538</t>
  </si>
  <si>
    <t>216-261</t>
  </si>
  <si>
    <t>Res 165-DR ( Sub agrícola)</t>
  </si>
  <si>
    <t>CAMINO A QUILACOYA (RUTA Q-60-O) N° 3166</t>
  </si>
  <si>
    <t>Lote 01 Llepinhue</t>
  </si>
  <si>
    <t>216-241</t>
  </si>
  <si>
    <t>CAMINO A QUILACOYA (RUTA Q-60-O) N° 4972</t>
  </si>
  <si>
    <t>Lote 20 Llepinhue</t>
  </si>
  <si>
    <t>216-260</t>
  </si>
  <si>
    <t>CAMINO A QUILACOYA (RUTA Q-60-O) N° 3398</t>
  </si>
  <si>
    <t>Lote 03 Llepinhue</t>
  </si>
  <si>
    <t>216-243</t>
  </si>
  <si>
    <t>LOTE N° 3 SECTOR PLACILLA S/N</t>
  </si>
  <si>
    <t>Lote 11 Llepinhue</t>
  </si>
  <si>
    <t>216-251</t>
  </si>
  <si>
    <t>LOTE N° 11 SECTOR PLACILLA S/N</t>
  </si>
  <si>
    <t>Lote 12 Llepinhue</t>
  </si>
  <si>
    <t>216-252</t>
  </si>
  <si>
    <t>LOTE N° 12 SECTOR PLACILLA S/N</t>
  </si>
  <si>
    <t>Lote 19 Llepinhue</t>
  </si>
  <si>
    <t>216-259</t>
  </si>
  <si>
    <t>CAMINO A QUILACOYA (RUTA Q-60-O) N° 3616</t>
  </si>
  <si>
    <t>Lote Z2</t>
  </si>
  <si>
    <t>216-548</t>
  </si>
  <si>
    <t>CAMINO A QUILACOYA (RUTA Q-60-O) N° 2112, PLACILLA</t>
  </si>
  <si>
    <t>Lote 21 (Cardenas - Alberto Cardenas)</t>
  </si>
  <si>
    <t>5035-21</t>
  </si>
  <si>
    <t>SECTOR CARDONAL BAJO- LOTE 21</t>
  </si>
  <si>
    <t>Lote Z1</t>
  </si>
  <si>
    <t>216-547</t>
  </si>
  <si>
    <t>CAMINO VECINAL (PROYECTADA N° 9) N° 100, PLACILLA</t>
  </si>
  <si>
    <t>Lote 10 Llepinhue</t>
  </si>
  <si>
    <t>216-250</t>
  </si>
  <si>
    <t>LOTE N° 10 SECTOR PLACILLA S/N</t>
  </si>
  <si>
    <t>Lote 18 Llepinhue</t>
  </si>
  <si>
    <t>216-258</t>
  </si>
  <si>
    <t>LOTE N° 18 SECTOR PLACILLA S/N</t>
  </si>
  <si>
    <t>Lote 09 Llepinhue</t>
  </si>
  <si>
    <t>216-249</t>
  </si>
  <si>
    <t>LOTE N° 9 SECTOR PLACILLA S/N</t>
  </si>
  <si>
    <t>Lote 14 Llepinhue</t>
  </si>
  <si>
    <t>216-254</t>
  </si>
  <si>
    <t>LOTE N° 14 SECTOR PLACILLA S/N</t>
  </si>
  <si>
    <t>Lote 04 Llepinhue</t>
  </si>
  <si>
    <t>216-244</t>
  </si>
  <si>
    <t>CAMINO A QUILACOYA (RUTA Q-60-O) N° 4906</t>
  </si>
  <si>
    <t>Lote 17 Llepinhue</t>
  </si>
  <si>
    <t>216-257</t>
  </si>
  <si>
    <t>LOTE N° 17 SECTOR PLACILLA S/N</t>
  </si>
  <si>
    <t>Lote 08 Llepinhue</t>
  </si>
  <si>
    <t>216-248</t>
  </si>
  <si>
    <t>LOTE N° 8 SECTOR PLACILLA S/N</t>
  </si>
  <si>
    <t>Lote 22 (Cardenas - Alberto Cardenas)</t>
  </si>
  <si>
    <t>5035-22</t>
  </si>
  <si>
    <t>SECTOR CARDONAL BAJO- LOTE 22</t>
  </si>
  <si>
    <t>Lote 02 Llepinhue</t>
  </si>
  <si>
    <t>216-242</t>
  </si>
  <si>
    <t>LOTE N° 2 SECTOR PLACILLA S/N</t>
  </si>
  <si>
    <t>Lote 25 (Cardenas - Alberto Cardenas)</t>
  </si>
  <si>
    <t>5035-25</t>
  </si>
  <si>
    <t>SECTOR CARDONAL BAJO- LOTE 25</t>
  </si>
  <si>
    <t>Lote 07 Llepinhue</t>
  </si>
  <si>
    <t>216-247</t>
  </si>
  <si>
    <t>LOTE N° 7 SECTOR PLACILLA S/N</t>
  </si>
  <si>
    <t>Lote 26 (Cardenas - Alberto Cardenas)</t>
  </si>
  <si>
    <t>5035-26</t>
  </si>
  <si>
    <t>SECTOR CARDONAL BAJO- LOTE 26</t>
  </si>
  <si>
    <t>Lote 05 Llepinhue</t>
  </si>
  <si>
    <t>216-245</t>
  </si>
  <si>
    <t>CAMINO A QUILACOYA (RUTA Q-60-O) N° 4654</t>
  </si>
  <si>
    <t>Lote 27 (Cardenas - Alberto Cardenas)</t>
  </si>
  <si>
    <t>5035-27</t>
  </si>
  <si>
    <t>SECTOR CARDONAL BAJO- LOTE 27</t>
  </si>
  <si>
    <t>Lote 16 Llepinhue</t>
  </si>
  <si>
    <t>216-256</t>
  </si>
  <si>
    <t>LOTE N° 16 SECTOR PLACILLA S/N</t>
  </si>
  <si>
    <t>Lote 28 (Cardenas - Alberto Cardenas)</t>
  </si>
  <si>
    <t>5035-28</t>
  </si>
  <si>
    <t>SECTOR CARDONAL BAJO- LOTE 28</t>
  </si>
  <si>
    <t>Lote 29 (Cardenas - Alberto Cardenas)</t>
  </si>
  <si>
    <t>5035-29</t>
  </si>
  <si>
    <t>SECTOR CARDONAL BAJO- LOTE 29</t>
  </si>
  <si>
    <t>Lote 30 (Cardenas - Alberto Cardenas)</t>
  </si>
  <si>
    <t>5035-30</t>
  </si>
  <si>
    <t>SECTOR CARDONAL BAJO- LOTE 30</t>
  </si>
  <si>
    <t>Lote 31 (Cardenas - Alberto Cardenas)</t>
  </si>
  <si>
    <t>5035-31</t>
  </si>
  <si>
    <t>SECTOR CARDONAL BAJO- LOTE 31</t>
  </si>
  <si>
    <t>Lote 32 (Cardenas - Alberto Cardenas)</t>
  </si>
  <si>
    <t>5035-32</t>
  </si>
  <si>
    <t>SECTOR CARDONAL BAJO- LOTE 32</t>
  </si>
  <si>
    <t>Lote 33 (Cardenas - Alberto Cardenas)</t>
  </si>
  <si>
    <t>5035-33</t>
  </si>
  <si>
    <t>SECTOR CARDONAL BAJO- LOTE 33</t>
  </si>
  <si>
    <t>Lote 34 (Cardenas - Guillian Gonzalez)</t>
  </si>
  <si>
    <t>5035-34</t>
  </si>
  <si>
    <t>SECTOR CARDONAL BAJO- LOTE 34</t>
  </si>
  <si>
    <t>Lote 35 (Cardenas - Guillian Gonzalez)</t>
  </si>
  <si>
    <t>SECTOR CARDONAL BAJO- LOTE 35</t>
  </si>
  <si>
    <t>Lote 39 (Cardenas - Alberto Cardenas)</t>
  </si>
  <si>
    <t>5035-39</t>
  </si>
  <si>
    <t>SECTOR CARDONAL BAJO- LOTE 39</t>
  </si>
  <si>
    <t>Lote 40 (Cardenas - Alberto Cardenas)</t>
  </si>
  <si>
    <t>5035-40</t>
  </si>
  <si>
    <t>SECTOR CARDONAL BAJO- LOTE 40</t>
  </si>
  <si>
    <t>Lote 41 (Cardenas - Alberto Cardenas)</t>
  </si>
  <si>
    <t>5035-41</t>
  </si>
  <si>
    <t>SECTOR CARDONAL BAJO- LOTE 41</t>
  </si>
  <si>
    <t>Lote 42 (Cardenas - Alberto Cardenas)</t>
  </si>
  <si>
    <t>5035-42</t>
  </si>
  <si>
    <t>SECTOR CARDONAL BAJO- LOTE 42</t>
  </si>
  <si>
    <t>Lote 43 (Cardenas - Alberto Cardenas)</t>
  </si>
  <si>
    <t>5035-43</t>
  </si>
  <si>
    <t>SECTOR CARDONAL BAJO- LOTE 43</t>
  </si>
  <si>
    <t>Lote 44 (Cardenas - Guillian Gonzalez)</t>
  </si>
  <si>
    <t>SECTOR CARDONAL BAJO- LOTE 44</t>
  </si>
  <si>
    <t>Lote 45 (Cardenas - Guillian Gonzalez)</t>
  </si>
  <si>
    <t>SECTOR CARDONAL BAJO- LOTE 45</t>
  </si>
  <si>
    <t>Lote 46 (Cardenas - Alberto Cardenas)</t>
  </si>
  <si>
    <t>5035-46</t>
  </si>
  <si>
    <t>SECTOR CARDONAL BAJO- LOTE 46</t>
  </si>
  <si>
    <t>Lote 48 (Cardenas - Alberto Cardenas)</t>
  </si>
  <si>
    <t>5035-48</t>
  </si>
  <si>
    <t>SECTOR CARDONAL BAJO- LOTE 48</t>
  </si>
  <si>
    <t>Lote 49 (Cardenas - Alberto Cardenas)</t>
  </si>
  <si>
    <t>5035-49</t>
  </si>
  <si>
    <t>SECTOR CARDONAL BAJO- LOTE 49</t>
  </si>
  <si>
    <t>Lote 50 (Cardenas - Alberto Cardenas)</t>
  </si>
  <si>
    <t>5035-50</t>
  </si>
  <si>
    <t>SECTOR CARDONAL BAJO- LOTE 50</t>
  </si>
  <si>
    <t>Lote 51 (Cardenas - Alberto Cardenas)</t>
  </si>
  <si>
    <t>5035-51</t>
  </si>
  <si>
    <t>SECTOR CARDONAL BAJO- LOTE 51</t>
  </si>
  <si>
    <t>Lote 52 (Cardenas - Alberto Cardenas)</t>
  </si>
  <si>
    <t>5035-52</t>
  </si>
  <si>
    <t>SECTOR CARDONAL BAJO- LOTE 52</t>
  </si>
  <si>
    <t>Lote 53 (Cardenas - Alberto Cardenas)</t>
  </si>
  <si>
    <t>5035-53</t>
  </si>
  <si>
    <t>SECTOR CARDONAL BAJO- LOTE 53</t>
  </si>
  <si>
    <t>Lote 54 (Cardenas - Alberto Cardenas)</t>
  </si>
  <si>
    <t>5035-54</t>
  </si>
  <si>
    <t>SECTOR CARDONAL BAJO- LOTE 54</t>
  </si>
  <si>
    <t>Lote 57 (Cardenas - Alberto Cardenas)</t>
  </si>
  <si>
    <t>5035-57</t>
  </si>
  <si>
    <t>SECTOR CARDONAL BAJO- LOTE 57</t>
  </si>
  <si>
    <t>Lote 58 (Cardenas - Alberto Cardenas)</t>
  </si>
  <si>
    <t>5035-58</t>
  </si>
  <si>
    <t>SECTOR CARDONAL BAJO- LOTE 58</t>
  </si>
  <si>
    <t>Lote 59 (ex Joaquin Rodriguez)</t>
  </si>
  <si>
    <t>SECTOR CARDONAL BAJO- LOTE 59</t>
  </si>
  <si>
    <t>Lote B12 (Numero 12 Mz B)</t>
  </si>
  <si>
    <t>CARDONAL ST 12 MZ B</t>
  </si>
  <si>
    <t>5601-5</t>
  </si>
  <si>
    <t>5601-12</t>
  </si>
  <si>
    <t>AV. DEL TEPUAL N° 1300</t>
  </si>
  <si>
    <t>Lote 36 (Cardenas - Alberto Cardenas)</t>
  </si>
  <si>
    <t>5035-36</t>
  </si>
  <si>
    <t>SECTOR CARDONAL BAJO- LOTE 36</t>
  </si>
  <si>
    <t>Lote B10 (Numero 10 Mz B)</t>
  </si>
  <si>
    <t>CARDONAL ST 10 MZ B</t>
  </si>
  <si>
    <t>5601-10</t>
  </si>
  <si>
    <t>AV. DEL TEPUAL N° 1320</t>
  </si>
  <si>
    <t>Lote 09 (Cardenas - Alberto Cardenas)</t>
  </si>
  <si>
    <t>5035-9</t>
  </si>
  <si>
    <t>SECTOR CARDONAL BAJO- LOTE 9</t>
  </si>
  <si>
    <t>Lote 23 (Cardenas - Alberto Cardenas)</t>
  </si>
  <si>
    <t>5035-23</t>
  </si>
  <si>
    <t>SECTOR CARDONAL BAJO- LOTE 23</t>
  </si>
  <si>
    <t>Lote 55 (Cardenas - Alberto Cardenas)</t>
  </si>
  <si>
    <t>5035-55</t>
  </si>
  <si>
    <t>SECTOR CARDONAL BAJO- LOTE 55</t>
  </si>
  <si>
    <t>DESARROLLADORA DE VIVIENDAS DRESDEN LIMITADA</t>
  </si>
  <si>
    <t>2B - Jose Guerrero La Faja</t>
  </si>
  <si>
    <t>CARDONAL LT 2 B CAMINO TEPUAL KM 1 . 5</t>
  </si>
  <si>
    <t>6020-142</t>
  </si>
  <si>
    <t>6020-193</t>
  </si>
  <si>
    <t>AV. LIMITE NORTE  3 S/N</t>
  </si>
  <si>
    <t>TANNER</t>
  </si>
  <si>
    <t>2A - Jose Guerrero</t>
  </si>
  <si>
    <t>CARDONAL LOTE 2 A</t>
  </si>
  <si>
    <t>6020-192</t>
  </si>
  <si>
    <t>CANAL MORALEDA (VIA PROYECTADA) S/N</t>
  </si>
  <si>
    <t>Lote B (A3-a, A4 y A2f)</t>
  </si>
  <si>
    <t>ALTO BONITO LT B</t>
  </si>
  <si>
    <t>2136-399/ 2136-316/ 2136-369</t>
  </si>
  <si>
    <t>2136-316</t>
  </si>
  <si>
    <t>RUTA 5 SUR S/N</t>
  </si>
  <si>
    <t>Lote A</t>
  </si>
  <si>
    <t>216-225</t>
  </si>
  <si>
    <t>2131-88</t>
  </si>
  <si>
    <t>Exento</t>
  </si>
  <si>
    <t>CAMINO INTERIOR S/N</t>
  </si>
  <si>
    <t>Lote 15 Llepinhue</t>
  </si>
  <si>
    <t>216-255</t>
  </si>
  <si>
    <t>LOTE N° 15 SECTOR PLACILLA S/N</t>
  </si>
  <si>
    <t>Lote 13 Llepinhue</t>
  </si>
  <si>
    <t>216-253</t>
  </si>
  <si>
    <t>LOTE N° 13 SECTOR PLACILLA S/N</t>
  </si>
  <si>
    <t>Lote Z3</t>
  </si>
  <si>
    <t>216-549</t>
  </si>
  <si>
    <t>CAMINO A QUILACOYA (RUTA Q-60-O) N° 1320, PLACILLA</t>
  </si>
  <si>
    <t>Lote 06 Llepinhue</t>
  </si>
  <si>
    <t>216-246</t>
  </si>
  <si>
    <t>CAMINO A QUILACOYA (RUTA Q-60-O) N° 4076</t>
  </si>
  <si>
    <t>C-A</t>
  </si>
  <si>
    <t>EL MANZANO LT D</t>
  </si>
  <si>
    <t>21287-47</t>
  </si>
  <si>
    <t>COSTANERA ANDALIEN ORIENTE N° 403</t>
  </si>
  <si>
    <t>Belen Lote A1</t>
  </si>
  <si>
    <t>BELEN</t>
  </si>
  <si>
    <t>216-12</t>
  </si>
  <si>
    <t>CAMINO A QUILACOYA ( RUTA Q-60-O) N° 1201</t>
  </si>
  <si>
    <t>Lote 2B-3-X1</t>
  </si>
  <si>
    <t>18070-3</t>
  </si>
  <si>
    <t>32-19-107</t>
  </si>
  <si>
    <t>Av Costanera Interior 8680</t>
  </si>
  <si>
    <t>Lote 2B-3-X3</t>
  </si>
  <si>
    <t>Av Costanera Interior 8590</t>
  </si>
  <si>
    <t>Lote 2B-3-X2</t>
  </si>
  <si>
    <t>Av Costanera Interior 8640</t>
  </si>
  <si>
    <t>Lote 2B-3-2-A</t>
  </si>
  <si>
    <t>Av Costanera Interior 8880</t>
  </si>
  <si>
    <t>Lote 2B-3-X4</t>
  </si>
  <si>
    <t>Av Costanera Interior 8520</t>
  </si>
  <si>
    <t>Lote 2B-3-2-B</t>
  </si>
  <si>
    <t>Av Costanera Interior 8760</t>
  </si>
  <si>
    <t>AGRICOLA EL MANZANO II LIMITADA</t>
  </si>
  <si>
    <t>A-01</t>
  </si>
  <si>
    <t>No disponible</t>
  </si>
  <si>
    <t>21287 - 00117</t>
  </si>
  <si>
    <t>No activo-Paga Rol Matriz 21287-47</t>
  </si>
  <si>
    <t>SUB-10/20</t>
  </si>
  <si>
    <t>El Manzano Sur 271</t>
  </si>
  <si>
    <t>GCE</t>
  </si>
  <si>
    <t>Si</t>
  </si>
  <si>
    <t>ESSBIO</t>
  </si>
  <si>
    <t>GRU-15/21</t>
  </si>
  <si>
    <t>Placilla Lote A</t>
  </si>
  <si>
    <t>Lote 19 (Cardenas - Alberto Cardenas)</t>
  </si>
  <si>
    <t>Lote 37 (Cardenas - Cristian Cardenas)</t>
  </si>
  <si>
    <t>Lote 38 (Cardenas - Luis Cardenas)</t>
  </si>
  <si>
    <t>Lote 47 (Cardenas - Estelvina Cardenas)</t>
  </si>
  <si>
    <t>5035-47</t>
  </si>
  <si>
    <t>ECOGLITA 5705 LT 12 -A- 1</t>
  </si>
  <si>
    <t>F-9-X2 (SERV. BOSQUEMAR)</t>
  </si>
  <si>
    <t>Cedido</t>
  </si>
  <si>
    <t>17551-96</t>
  </si>
  <si>
    <t>AV. COSTANERA INTERIOR N° 7205</t>
  </si>
  <si>
    <t>Subdividido</t>
  </si>
  <si>
    <t>Lote F-9-A6</t>
  </si>
  <si>
    <t>Lote F-9-A5</t>
  </si>
  <si>
    <t>Area verde Olas A2</t>
  </si>
  <si>
    <t>Area verde Olas B1A</t>
  </si>
  <si>
    <t>16830-6</t>
  </si>
  <si>
    <t>C3-1C-D</t>
  </si>
  <si>
    <t>Fusionado</t>
  </si>
  <si>
    <t>C3-C1-C-1</t>
  </si>
  <si>
    <t>El Carmen Parcela 1</t>
  </si>
  <si>
    <t>PATAGUAL HOME SPA</t>
  </si>
  <si>
    <t>Lote 5-6</t>
  </si>
  <si>
    <t>Construido</t>
  </si>
  <si>
    <t>16803-6</t>
  </si>
  <si>
    <t>PHO</t>
  </si>
  <si>
    <t>Lote 34  (CH1)</t>
  </si>
  <si>
    <t>Lote 10  (CH1)</t>
  </si>
  <si>
    <t>NATALES</t>
  </si>
  <si>
    <t>YAGANES 2165</t>
  </si>
  <si>
    <t>PJE HUILLICHES 1607</t>
  </si>
  <si>
    <t>CANAL APIAO 6031 PUERTA SUR</t>
  </si>
  <si>
    <t>CANAL APIAO 6020 PUERTA SUR</t>
  </si>
  <si>
    <t>CANAL APIAO 6058 PUERTA SUR</t>
  </si>
  <si>
    <t>Lote C8-A</t>
  </si>
  <si>
    <t>Lote C8-A-8</t>
  </si>
  <si>
    <t>Lote C8-A-9</t>
  </si>
  <si>
    <t>Lote B09 (Numero 9 Mz B)</t>
  </si>
  <si>
    <t>Lote 7-A (No existe)</t>
  </si>
  <si>
    <t>Lote I11 (Numero 11 Mz I)</t>
  </si>
  <si>
    <t>Belen Lote A2 (Country Huelén I)</t>
  </si>
  <si>
    <t>Lote C-9-A3</t>
  </si>
  <si>
    <t>Lote C-9-A4</t>
  </si>
  <si>
    <t>Lote C-9-A5</t>
  </si>
  <si>
    <t>Lote D1-1D</t>
  </si>
  <si>
    <t>Porcionado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</si>
  <si>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</si>
  <si>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</si>
  <si>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</si>
  <si>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</si>
  <si>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</si>
  <si>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</si>
  <si>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</si>
  <si>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</si>
  <si>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</si>
  <si>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</si>
  <si>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</si>
  <si>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</si>
  <si>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</si>
  <si>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</si>
  <si>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</si>
  <si>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</si>
  <si>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</si>
  <si>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</si>
  <si>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</si>
  <si>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</si>
  <si>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</si>
  <si>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</si>
  <si>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</si>
  <si>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</si>
  <si>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</si>
  <si>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</si>
  <si>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</si>
  <si>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</si>
  <si>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</si>
  <si>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</si>
  <si>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</si>
  <si>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</si>
  <si>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</si>
  <si>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</si>
  <si>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</si>
  <si>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</si>
  <si>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</si>
  <si>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</si>
  <si>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</si>
  <si>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</si>
  <si>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</si>
  <si>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</si>
  <si>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</si>
  <si>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|</t>
  </si>
  <si>
    <t>Fecha de la venta</t>
  </si>
  <si>
    <t>Precio de Venta (UF/m2)</t>
  </si>
  <si>
    <t>Rol Pagador2</t>
  </si>
  <si>
    <t>Retasación Técnica Contable</t>
  </si>
  <si>
    <t>Valor Comercial Contable</t>
  </si>
  <si>
    <t>Valor Comercial UF Contable</t>
  </si>
  <si>
    <t>Observación</t>
  </si>
  <si>
    <t>60-34</t>
  </si>
  <si>
    <t>Si paga contribuciones</t>
  </si>
  <si>
    <t>HABITACIONAL</t>
  </si>
  <si>
    <t>C QUILACOYA R Q 60 10 LT 10</t>
  </si>
  <si>
    <t>60-10</t>
  </si>
  <si>
    <t>AV. COSTANERA INT 7488 BKADP 201 C.BOSQUE MAR</t>
  </si>
  <si>
    <t>17550-1</t>
  </si>
  <si>
    <t>AV. COSTANERA INT 7488 BKAB 1204 C.BOSQUE MAR</t>
  </si>
  <si>
    <t>17550-74</t>
  </si>
  <si>
    <t>AV COSTANERA INT 7488 BKAD 1208 C.BOSQUE MAR</t>
  </si>
  <si>
    <t>17550-78</t>
  </si>
  <si>
    <t>AV. COSTANERA INT 7488 BKBDP 202 C.BOSQUE MAR</t>
  </si>
  <si>
    <t>17550-80</t>
  </si>
  <si>
    <t>AV. COSTANERA INT 7488 BKBDP 207 C.BOSQUE MAR</t>
  </si>
  <si>
    <t>17550-85</t>
  </si>
  <si>
    <t>: AV. COSTANERA INT 7488 BKBDP 402 C.BOSQUE MAR</t>
  </si>
  <si>
    <t>17550-96</t>
  </si>
  <si>
    <t>AV. COSTANERA INT 7488 BKBD 1705 C.BOSQUE MAR</t>
  </si>
  <si>
    <t>17550-203</t>
  </si>
  <si>
    <t>AV. COSTANERA INT 7488 BKBD 1801 C.BOSQUE MAR</t>
  </si>
  <si>
    <t>17550-205</t>
  </si>
  <si>
    <t>AV. COSTANERA INT 7488 BKABD 70 C.BOSQUE MAR</t>
  </si>
  <si>
    <t>17550-280</t>
  </si>
  <si>
    <t>BODEGA Y ALMACENAJE</t>
  </si>
  <si>
    <t>AV. COSTANERA INT 7488 BKBBD 2 C.BOSQUE MAR</t>
  </si>
  <si>
    <t>17550-286</t>
  </si>
  <si>
    <t>AV. COSTANERA INT 7488 BKBBD 28 C.BOSQUE MAR</t>
  </si>
  <si>
    <t>17550-312</t>
  </si>
  <si>
    <t>AV. COSTANERA INT 7488 BKBBD 29 C.BOSQUE MAR</t>
  </si>
  <si>
    <t>17550-313</t>
  </si>
  <si>
    <t>AV. COSTANERA INT 7488 BKBBD 30 C.BOSQUE MAR</t>
  </si>
  <si>
    <t>17550-314</t>
  </si>
  <si>
    <t>AV. COSTANERA INT 7488 BKBBD 31 C.BOSQUE MAR</t>
  </si>
  <si>
    <t>17550-315</t>
  </si>
  <si>
    <t>AV. COSTANERA INT 7488 BKBBD 32 C.BOSQUE MAR</t>
  </si>
  <si>
    <t>17550-316</t>
  </si>
  <si>
    <t>AV. COSTANERA INT 7488 BKBBD 33 C.BOSQUE MAR</t>
  </si>
  <si>
    <t>17550-317</t>
  </si>
  <si>
    <t>AV. COSTANERA INT 7488 BKBBD 34 C.BOSQUE MAR</t>
  </si>
  <si>
    <t>17550-318</t>
  </si>
  <si>
    <t>AV. COSTANERA INT 7488 BKBBD 36 C.BOSQUE MAR</t>
  </si>
  <si>
    <t>17550-320</t>
  </si>
  <si>
    <t>AV. COSTANERA INT 7488 BKBBD 44 C.BOSQUE MAR</t>
  </si>
  <si>
    <t>17550-328</t>
  </si>
  <si>
    <t>AV. COSTANERA INT 7488 BKBBD 54 C.BOSQUE MAR</t>
  </si>
  <si>
    <t>17550-338</t>
  </si>
  <si>
    <t>AV. COSTANERA INT 7488 BKBBD 79 C.BOSQUE MAR</t>
  </si>
  <si>
    <t>17550-363</t>
  </si>
  <si>
    <t>AV. COSTANERA INT 7488 BKBBD 86 C.BOSQUE MAR</t>
  </si>
  <si>
    <t>17550-370</t>
  </si>
  <si>
    <t>AV. COSTANERA INT 7488 BKBBD 90 C.BOSQUE MAR</t>
  </si>
  <si>
    <t>17550-374</t>
  </si>
  <si>
    <t>AV. COSTANERA INT 7488 BKBBD 95 C.BOSQUE MAR</t>
  </si>
  <si>
    <t>17550-379</t>
  </si>
  <si>
    <t>AV. COSTANERA INT 7488 BKBBD 121 C.BOSQUE MAR</t>
  </si>
  <si>
    <t>17550-405</t>
  </si>
  <si>
    <t>AV. COSTANERA INT 7488 BKBBD 123 C.BOSQUE MAR</t>
  </si>
  <si>
    <t>17550-407</t>
  </si>
  <si>
    <t>AV. COSTANERA INT 7488 BKBBD 129 C.BOSQUE MAR</t>
  </si>
  <si>
    <t>17550-413</t>
  </si>
  <si>
    <t>AV COSTANERA 7578 ESTAC. 23 C.BOSQUEMAR</t>
  </si>
  <si>
    <t>17551-23</t>
  </si>
  <si>
    <t>ESTACIONAMIENTO</t>
  </si>
  <si>
    <t>AV COSTANERA 7578 ESTAC. 24 C.BOSQUEMAR</t>
  </si>
  <si>
    <t>17551-24</t>
  </si>
  <si>
    <t>AV COSTANERA 7578 ESTAC. 28 C.BOSQUEMAR</t>
  </si>
  <si>
    <t>17551-28</t>
  </si>
  <si>
    <t>AV COSTANERA 7578 ESTAC. 29 C.BOSQUEMAR</t>
  </si>
  <si>
    <t>17551-29</t>
  </si>
  <si>
    <t>AV COSTANERA 7578 ESTAC. 31 C.BOSQUEMAR</t>
  </si>
  <si>
    <t>17551-31</t>
  </si>
  <si>
    <t>AV COSTANERA 7578 ESTAC. 33 C.BOSQUEMAR</t>
  </si>
  <si>
    <t>17551-33</t>
  </si>
  <si>
    <t>AV COSTANERA 7578 ESTAC. 35 C.BOSQUEMAR</t>
  </si>
  <si>
    <t>17551-35</t>
  </si>
  <si>
    <t>AV COSTANERA 7578 ESTAC. 55 C.BOSQUEMAR</t>
  </si>
  <si>
    <t>17551-55</t>
  </si>
  <si>
    <t>AV COSTANERA 7578 ESTAC. 57 C.BOSQUEMAR</t>
  </si>
  <si>
    <t>17551-57</t>
  </si>
  <si>
    <t>AV COSTANERA 7578 ESTAC. 58 C.BOSQUEMAR</t>
  </si>
  <si>
    <t>17551-58</t>
  </si>
  <si>
    <t>AV COSTANERA 7578 ESTAC. 61 C.BOSQUEMAR</t>
  </si>
  <si>
    <t>17551-61</t>
  </si>
  <si>
    <t>AV COSTANERA 7578 ESTAC. 62 C.BOSQUEMAR</t>
  </si>
  <si>
    <t>17551-62</t>
  </si>
  <si>
    <t>AV COSTANERA 7578 ESTAC. 64 C.BOSQUEMAR</t>
  </si>
  <si>
    <t>17551-64</t>
  </si>
  <si>
    <t>AV COSTANERA 7578 ESTAC. 65 C.BOSQUEMAR</t>
  </si>
  <si>
    <t>17551-65</t>
  </si>
  <si>
    <t>AV COSTANERA 7578 ESTAC. 66 C.BOSQUEMAR</t>
  </si>
  <si>
    <t>17551-66</t>
  </si>
  <si>
    <t>AV COSTANERA 7578 ESTAC. 67 C.BOSQUEMAR</t>
  </si>
  <si>
    <t>17551-67</t>
  </si>
  <si>
    <t>AV COSTANERA 7578 ESTAC. 69 C.BOSQUEMAR</t>
  </si>
  <si>
    <t>17551-69</t>
  </si>
  <si>
    <t>AV COSTANERA 7578 ESTAC. 70 C.BOSQUEMAR</t>
  </si>
  <si>
    <t>17551-70</t>
  </si>
  <si>
    <t>AV COSTANERA 7578 ESTAC. 72 C.BOSQUEMAR</t>
  </si>
  <si>
    <t>17551-72</t>
  </si>
  <si>
    <t>AV COSTANERA 7578 ESTAC. 74 C.BOSQUEMAR</t>
  </si>
  <si>
    <t>17551-74</t>
  </si>
  <si>
    <t>AV COSTANERA 7578 ESTAC. 75 C.BOSQUEMAR</t>
  </si>
  <si>
    <t>17551-75</t>
  </si>
  <si>
    <t>AV COSTANERA 7578 ESTAC. 76 C.BOSQUEMAR</t>
  </si>
  <si>
    <t>17551-76</t>
  </si>
  <si>
    <t>AV COSTANERA 7578 ESTAC. 79 C.BOSQUEMAR</t>
  </si>
  <si>
    <t>17551-79</t>
  </si>
  <si>
    <t>: AV COSTANERA 7578 ESTAC. 80 C.BOSQUEMAR</t>
  </si>
  <si>
    <t>17551-80</t>
  </si>
  <si>
    <t>AV COSTANERA 7578 ESTAC. 81 C.BOSQUEMAR</t>
  </si>
  <si>
    <t>17551-81</t>
  </si>
  <si>
    <t>AV COSTANERA 7578 ESTAC. 82 C.BOSQUEMAR</t>
  </si>
  <si>
    <t>17551-82</t>
  </si>
  <si>
    <t>AV COSTANERA 7578 ESTAC. 83 C.BOSQUEMAR</t>
  </si>
  <si>
    <t>17551-83</t>
  </si>
  <si>
    <t>AV COSTANERA 7578 ESTAC. 84 C.BOSQUEMAR</t>
  </si>
  <si>
    <t>17551-84</t>
  </si>
  <si>
    <t>AV COSTANERA 7578 ESTAC. 85 C.BOSQUEMAR</t>
  </si>
  <si>
    <t>17551-85</t>
  </si>
  <si>
    <t xml:space="preserve"> AV COSTANERA 7578 ESTAC. 86 C.BOSQUEMAR</t>
  </si>
  <si>
    <t>17551-86</t>
  </si>
  <si>
    <t>AVDA. COSTANERA 7408 BX E− 15 ED.ESTAC.BOSQUE MAR</t>
  </si>
  <si>
    <t>17552-15</t>
  </si>
  <si>
    <t>AVDA. COSTANERA 7408 BX E− 23 ED.ESTAC.BOSQUE MAR</t>
  </si>
  <si>
    <t>17552-23</t>
  </si>
  <si>
    <t>AVDA. COSTANERA 7408 BX E− 39 ED.ESTAC.BOSQUE MAR</t>
  </si>
  <si>
    <t>17552-39</t>
  </si>
  <si>
    <t>AVDA. COSTANERA 7408 BX E− 62 ED.ESTAC.BOSQUE MAR</t>
  </si>
  <si>
    <t>17552-62</t>
  </si>
  <si>
    <t>AVDA. COSTANERA 7408 BX E− 68 ED.ESTAC.BOSQUE MAR</t>
  </si>
  <si>
    <t>17552-68</t>
  </si>
  <si>
    <t>AVDA. COSTANERA 7408 BX E− 81 ED.ESTAC.BOSQUE MAR</t>
  </si>
  <si>
    <t>17552-81</t>
  </si>
  <si>
    <t>AVDA. COSTANERA 7408 BX E− 82 ED.ESTAC.BOSQUE MAR</t>
  </si>
  <si>
    <t>17552-82</t>
  </si>
  <si>
    <t>AVDA. COSTANERA 7408 BX E− 86 ED.ESTAC.BOSQUE MAR</t>
  </si>
  <si>
    <t>17552-86</t>
  </si>
  <si>
    <t>798-20</t>
  </si>
  <si>
    <t>No paga contribuciones</t>
  </si>
  <si>
    <t>798-27</t>
  </si>
  <si>
    <t>6502-48</t>
  </si>
  <si>
    <t>6502-56</t>
  </si>
  <si>
    <t>AVDA COSTANERA 7428 LTF− 9 −A 4 CAMINO A CORONEL</t>
  </si>
  <si>
    <t>CALLE UNO INTERIOR 42 LT C 6 − 2 A COSTA NORTE</t>
  </si>
  <si>
    <t>COCHRANE 635 OF 501 TORRE A</t>
  </si>
  <si>
    <t>97-305</t>
  </si>
  <si>
    <t>COCHRANE 635 OF 502 TORRE A</t>
  </si>
  <si>
    <t>97-306</t>
  </si>
  <si>
    <t>COCHRANE 635 E336</t>
  </si>
  <si>
    <t>97-537</t>
  </si>
  <si>
    <t>COCHRANE 635 E338</t>
  </si>
  <si>
    <t>97-539</t>
  </si>
  <si>
    <t>COCHRANE 635 E412 E413</t>
  </si>
  <si>
    <t>97-556</t>
  </si>
  <si>
    <t>COCHRANE 635 B302</t>
  </si>
  <si>
    <t>97-595</t>
  </si>
  <si>
    <t>COCHRANE 635 B402</t>
  </si>
  <si>
    <t>97-604</t>
  </si>
  <si>
    <t>OUTLET AV PORTAL DE S PEDRO 4850 C 3 − 1 C−B COSTA NORTE</t>
  </si>
  <si>
    <t>: CAMINO A CORONEL INT 5980 LT 5 − 6 CAMINO A
CORONEL</t>
  </si>
  <si>
    <t>INDUSTRIA</t>
  </si>
  <si>
    <t>SAN MARTIN 640 B 94</t>
  </si>
  <si>
    <t>97-137</t>
  </si>
  <si>
    <t>SAN MARTIN 640 B 95</t>
  </si>
  <si>
    <t>97-138</t>
  </si>
  <si>
    <t>SAN MARTIN 640 B 96</t>
  </si>
  <si>
    <t>97-139</t>
  </si>
  <si>
    <t>RENTAS INMOBILIARIAS PATAGUAL LI</t>
  </si>
  <si>
    <t>AV. COSTANERA INT 7488 BKADP 207 C.BOSQUE MAR</t>
  </si>
  <si>
    <t>17550-7</t>
  </si>
  <si>
    <t>AV. COSTANERA INT 7488 BKADP 306 C.BOSQUE MAR</t>
  </si>
  <si>
    <t>17550-13</t>
  </si>
  <si>
    <t>AV. COSTANERA INT 7488 BKAD 1201 C.BOSQUE MAR</t>
  </si>
  <si>
    <t>17550-71</t>
  </si>
  <si>
    <t>AV. COSTANERA INT 7488 BKABD 26 C.BOSQUE MAR</t>
  </si>
  <si>
    <t>17550-236</t>
  </si>
  <si>
    <t>AV. COSTANERA INT 7488 BKABD 38 C.BOSQUE MAR</t>
  </si>
  <si>
    <t>17550-248</t>
  </si>
  <si>
    <t>AV. COSTANERA INT 7488 BKABD 61 C.BOSQUE MAR</t>
  </si>
  <si>
    <t>17550-271</t>
  </si>
  <si>
    <t>AV COSTANERA 7578 ESTAC. 22 C.BOSQUEMAR</t>
  </si>
  <si>
    <t>17551-22</t>
  </si>
  <si>
    <t>AV COSTANERA 7578 ESTAC. 26 C.BOSQUEMAR</t>
  </si>
  <si>
    <t>17551-26</t>
  </si>
  <si>
    <t>AV COSTANERA 7578 ESTAC. 32 C.BOSQUEMAR</t>
  </si>
  <si>
    <t>17551-32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</si>
</sst>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.00_);_(* \(#,##0.00\);_(* &quot;-&quot;??_);_(@_)"/>
    <numFmt numFmtId="166" formatCode="&quot;$&quot;#,##0"/>
    <numFmt numFmtId="167" formatCode="#,##0_ ;[Red]\-#,##0\ "/>
    <numFmt numFmtId="168" formatCode="_ * #,##0.00_ ;_ * \-#,##0.00_ ;_ * &quot;-&quot;_ ;_ @_ "/>
    <numFmt numFmtId="169" formatCode="#,##0\ &quot;m2&quot;"/>
    <numFmt numFmtId="170" formatCode="#,##0.00&quot; UF/m2&quot;"/>
    <numFmt numFmtId="171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auto="1"/>
      </bottom>
      <diagonal/>
    </border>
    <border>
      <left style="thin">
        <color theme="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66">
    <xf numFmtId="0" fontId="0" fillId="0" borderId="0" xfId="0"/>
    <xf numFmtId="165" fontId="3" fillId="4" borderId="2" xfId="1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6" borderId="0" xfId="0" applyFill="1" applyAlignment="1">
      <alignment horizontal="center"/>
    </xf>
    <xf numFmtId="6" fontId="3" fillId="7" borderId="1" xfId="0" applyNumberFormat="1" applyFont="1" applyFill="1" applyBorder="1" applyAlignment="1">
      <alignment horizontal="center" vertical="center"/>
    </xf>
    <xf numFmtId="168" fontId="3" fillId="2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9" borderId="0" xfId="0" applyFill="1"/>
    <xf numFmtId="14" fontId="0" fillId="0" borderId="0" xfId="0" applyNumberFormat="1"/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6" fontId="3" fillId="7" borderId="7" xfId="0" applyNumberFormat="1" applyFont="1" applyFill="1" applyBorder="1" applyAlignment="1">
      <alignment horizontal="center" vertical="center"/>
    </xf>
    <xf numFmtId="168" fontId="3" fillId="2" borderId="7" xfId="2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165" fontId="3" fillId="4" borderId="7" xfId="1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14" fontId="0" fillId="0" borderId="5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0" fontId="0" fillId="0" borderId="13" xfId="0" applyBorder="1"/>
    <xf numFmtId="166" fontId="3" fillId="3" borderId="7" xfId="0" applyNumberFormat="1" applyFont="1" applyFill="1" applyBorder="1" applyAlignment="1">
      <alignment horizontal="center" vertical="center"/>
    </xf>
    <xf numFmtId="167" fontId="3" fillId="3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4" fontId="0" fillId="0" borderId="5" xfId="0" applyNumberFormat="1" applyBorder="1"/>
    <xf numFmtId="169" fontId="0" fillId="0" borderId="5" xfId="2" applyNumberFormat="1" applyFont="1" applyFill="1" applyBorder="1" applyAlignment="1">
      <alignment horizontal="right"/>
    </xf>
    <xf numFmtId="166" fontId="0" fillId="0" borderId="5" xfId="2" applyNumberFormat="1" applyFont="1" applyFill="1" applyBorder="1" applyAlignment="1">
      <alignment horizontal="right"/>
    </xf>
    <xf numFmtId="6" fontId="0" fillId="0" borderId="5" xfId="2" applyNumberFormat="1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169" fontId="0" fillId="0" borderId="12" xfId="2" applyNumberFormat="1" applyFont="1" applyFill="1" applyBorder="1" applyAlignment="1">
      <alignment horizontal="right"/>
    </xf>
    <xf numFmtId="166" fontId="0" fillId="0" borderId="12" xfId="2" applyNumberFormat="1" applyFont="1" applyFill="1" applyBorder="1" applyAlignment="1">
      <alignment horizontal="right"/>
    </xf>
    <xf numFmtId="6" fontId="0" fillId="0" borderId="12" xfId="2" applyNumberFormat="1" applyFont="1" applyFill="1" applyBorder="1" applyAlignment="1">
      <alignment horizontal="right"/>
    </xf>
    <xf numFmtId="6" fontId="0" fillId="0" borderId="12" xfId="2" applyNumberFormat="1" applyFont="1" applyFill="1" applyBorder="1" applyAlignment="1">
      <alignment horizontal="center"/>
    </xf>
    <xf numFmtId="0" fontId="7" fillId="10" borderId="12" xfId="0" applyFont="1" applyFill="1" applyBorder="1"/>
    <xf numFmtId="49" fontId="0" fillId="0" borderId="12" xfId="2" applyNumberFormat="1" applyFont="1" applyFill="1" applyBorder="1" applyAlignment="1">
      <alignment horizontal="center" vertical="center"/>
    </xf>
    <xf numFmtId="0" fontId="0" fillId="0" borderId="7" xfId="0" applyBorder="1"/>
    <xf numFmtId="14" fontId="0" fillId="0" borderId="7" xfId="0" applyNumberFormat="1" applyBorder="1"/>
    <xf numFmtId="0" fontId="0" fillId="0" borderId="14" xfId="0" applyBorder="1"/>
    <xf numFmtId="6" fontId="0" fillId="0" borderId="5" xfId="2" applyNumberFormat="1" applyFont="1" applyFill="1" applyBorder="1" applyAlignment="1">
      <alignment horizontal="center"/>
    </xf>
    <xf numFmtId="49" fontId="0" fillId="0" borderId="5" xfId="2" applyNumberFormat="1" applyFont="1" applyFill="1" applyBorder="1" applyAlignment="1">
      <alignment horizontal="center" vertical="center"/>
    </xf>
    <xf numFmtId="0" fontId="0" fillId="10" borderId="5" xfId="0" applyFill="1" applyBorder="1"/>
    <xf numFmtId="169" fontId="10" fillId="0" borderId="5" xfId="2" applyNumberFormat="1" applyFont="1" applyFill="1" applyBorder="1" applyAlignment="1">
      <alignment horizontal="right"/>
    </xf>
    <xf numFmtId="0" fontId="0" fillId="11" borderId="5" xfId="0" applyFill="1" applyBorder="1"/>
    <xf numFmtId="0" fontId="10" fillId="11" borderId="5" xfId="0" applyFont="1" applyFill="1" applyBorder="1"/>
    <xf numFmtId="49" fontId="10" fillId="11" borderId="5" xfId="2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0" fillId="11" borderId="9" xfId="0" applyFill="1" applyBorder="1"/>
    <xf numFmtId="0" fontId="0" fillId="11" borderId="11" xfId="0" applyFill="1" applyBorder="1"/>
    <xf numFmtId="0" fontId="0" fillId="11" borderId="12" xfId="0" applyFill="1" applyBorder="1"/>
    <xf numFmtId="49" fontId="0" fillId="11" borderId="12" xfId="2" applyNumberFormat="1" applyFont="1" applyFill="1" applyBorder="1" applyAlignment="1">
      <alignment horizontal="center" vertical="center"/>
    </xf>
    <xf numFmtId="0" fontId="10" fillId="11" borderId="9" xfId="0" applyFont="1" applyFill="1" applyBorder="1"/>
    <xf numFmtId="169" fontId="10" fillId="0" borderId="12" xfId="2" applyNumberFormat="1" applyFont="1" applyFill="1" applyBorder="1" applyAlignment="1">
      <alignment horizontal="right"/>
    </xf>
    <xf numFmtId="0" fontId="10" fillId="0" borderId="11" xfId="0" applyFont="1" applyBorder="1"/>
    <xf numFmtId="0" fontId="10" fillId="0" borderId="12" xfId="0" applyFont="1" applyBorder="1"/>
    <xf numFmtId="49" fontId="10" fillId="0" borderId="12" xfId="2" applyNumberFormat="1" applyFont="1" applyBorder="1" applyAlignment="1">
      <alignment horizontal="center" vertical="center"/>
    </xf>
    <xf numFmtId="49" fontId="0" fillId="0" borderId="12" xfId="2" applyNumberFormat="1" applyFont="1" applyBorder="1" applyAlignment="1">
      <alignment horizontal="center" vertical="center"/>
    </xf>
    <xf numFmtId="0" fontId="0" fillId="10" borderId="12" xfId="0" applyFill="1" applyBorder="1"/>
    <xf numFmtId="0" fontId="8" fillId="13" borderId="12" xfId="0" applyFont="1" applyFill="1" applyBorder="1"/>
    <xf numFmtId="0" fontId="0" fillId="13" borderId="5" xfId="0" applyFill="1" applyBorder="1"/>
    <xf numFmtId="0" fontId="0" fillId="12" borderId="12" xfId="0" applyFill="1" applyBorder="1"/>
    <xf numFmtId="0" fontId="0" fillId="4" borderId="12" xfId="0" applyFill="1" applyBorder="1"/>
    <xf numFmtId="0" fontId="0" fillId="4" borderId="5" xfId="0" applyFill="1" applyBorder="1"/>
    <xf numFmtId="0" fontId="9" fillId="2" borderId="12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42" fontId="0" fillId="0" borderId="5" xfId="3" applyFont="1" applyBorder="1"/>
    <xf numFmtId="42" fontId="0" fillId="0" borderId="5" xfId="0" applyNumberFormat="1" applyBorder="1"/>
    <xf numFmtId="42" fontId="0" fillId="0" borderId="12" xfId="3" applyFont="1" applyBorder="1"/>
    <xf numFmtId="42" fontId="0" fillId="0" borderId="0" xfId="3" applyFont="1"/>
    <xf numFmtId="0" fontId="11" fillId="0" borderId="5" xfId="0" applyFont="1" applyBorder="1"/>
    <xf numFmtId="166" fontId="3" fillId="3" borderId="1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42" fontId="3" fillId="3" borderId="7" xfId="3" applyFont="1" applyFill="1" applyBorder="1" applyAlignment="1">
      <alignment horizontal="center" vertical="center" wrapText="1"/>
    </xf>
    <xf numFmtId="166" fontId="3" fillId="3" borderId="7" xfId="0" applyNumberFormat="1" applyFont="1" applyFill="1" applyBorder="1" applyAlignment="1">
      <alignment horizontal="center" vertical="center" wrapText="1"/>
    </xf>
    <xf numFmtId="42" fontId="3" fillId="7" borderId="7" xfId="3" applyFont="1" applyFill="1" applyBorder="1" applyAlignment="1">
      <alignment horizontal="center" vertical="center" wrapText="1"/>
    </xf>
    <xf numFmtId="168" fontId="3" fillId="2" borderId="7" xfId="2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0" fontId="0" fillId="0" borderId="5" xfId="2" applyNumberFormat="1" applyFont="1" applyFill="1" applyBorder="1" applyAlignment="1">
      <alignment horizontal="center"/>
    </xf>
    <xf numFmtId="171" fontId="0" fillId="0" borderId="5" xfId="0" applyNumberFormat="1" applyBorder="1"/>
    <xf numFmtId="0" fontId="0" fillId="0" borderId="15" xfId="0" applyBorder="1"/>
    <xf numFmtId="4" fontId="0" fillId="0" borderId="12" xfId="0" applyNumberFormat="1" applyBorder="1"/>
    <xf numFmtId="42" fontId="0" fillId="0" borderId="5" xfId="3" applyFont="1" applyFill="1" applyBorder="1"/>
    <xf numFmtId="2" fontId="0" fillId="0" borderId="5" xfId="1" applyNumberFormat="1" applyFont="1" applyFill="1" applyBorder="1"/>
    <xf numFmtId="41" fontId="0" fillId="0" borderId="5" xfId="2" applyFont="1" applyBorder="1"/>
    <xf numFmtId="41" fontId="0" fillId="0" borderId="5" xfId="2" applyFont="1" applyFill="1" applyBorder="1"/>
    <xf numFmtId="41" fontId="8" fillId="0" borderId="5" xfId="2" applyFont="1" applyBorder="1"/>
    <xf numFmtId="2" fontId="0" fillId="0" borderId="5" xfId="0" applyNumberFormat="1" applyBorder="1"/>
    <xf numFmtId="42" fontId="0" fillId="0" borderId="5" xfId="2" applyNumberFormat="1" applyFont="1" applyBorder="1"/>
    <xf numFmtId="167" fontId="3" fillId="3" borderId="7" xfId="0" applyNumberFormat="1" applyFont="1" applyFill="1" applyBorder="1" applyAlignment="1">
      <alignment horizontal="center" vertical="center" wrapText="1"/>
    </xf>
    <xf numFmtId="42" fontId="0" fillId="0" borderId="12" xfId="2" applyNumberFormat="1" applyFont="1" applyBorder="1"/>
    <xf numFmtId="42" fontId="14" fillId="0" borderId="5" xfId="0" applyNumberFormat="1" applyFont="1" applyBorder="1"/>
    <xf numFmtId="42" fontId="15" fillId="0" borderId="5" xfId="0" applyNumberFormat="1" applyFont="1" applyBorder="1"/>
    <xf numFmtId="42" fontId="13" fillId="0" borderId="5" xfId="0" applyNumberFormat="1" applyFont="1" applyBorder="1"/>
    <xf numFmtId="42" fontId="13" fillId="15" borderId="5" xfId="0" applyNumberFormat="1" applyFont="1" applyFill="1" applyBorder="1"/>
    <xf numFmtId="42" fontId="14" fillId="14" borderId="5" xfId="0" applyNumberFormat="1" applyFont="1" applyFill="1" applyBorder="1"/>
    <xf numFmtId="42" fontId="14" fillId="0" borderId="12" xfId="0" applyNumberFormat="1" applyFont="1" applyBorder="1"/>
    <xf numFmtId="42" fontId="0" fillId="0" borderId="5" xfId="2" applyNumberFormat="1" applyFont="1" applyFill="1" applyBorder="1"/>
    <xf numFmtId="3" fontId="0" fillId="0" borderId="5" xfId="0" applyNumberFormat="1" applyBorder="1"/>
    <xf numFmtId="2" fontId="0" fillId="0" borderId="0" xfId="0" applyNumberFormat="1"/>
    <xf numFmtId="41" fontId="0" fillId="0" borderId="0" xfId="2" applyFont="1"/>
    <xf numFmtId="41" fontId="0" fillId="0" borderId="0" xfId="2" applyFont="1" applyFill="1"/>
    <xf numFmtId="2" fontId="0" fillId="0" borderId="12" xfId="0" applyNumberFormat="1" applyBorder="1"/>
    <xf numFmtId="41" fontId="0" fillId="0" borderId="12" xfId="2" applyFont="1" applyBorder="1"/>
    <xf numFmtId="0" fontId="2" fillId="8" borderId="15" xfId="0" applyFont="1" applyFill="1" applyBorder="1" applyAlignment="1">
      <alignment horizontal="center" vertical="center" wrapText="1"/>
    </xf>
    <xf numFmtId="165" fontId="3" fillId="4" borderId="15" xfId="1" applyNumberFormat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14" fontId="3" fillId="4" borderId="15" xfId="0" applyNumberFormat="1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42" fontId="0" fillId="0" borderId="12" xfId="0" applyNumberFormat="1" applyBorder="1"/>
    <xf numFmtId="2" fontId="0" fillId="0" borderId="12" xfId="1" applyNumberFormat="1" applyFont="1" applyFill="1" applyBorder="1"/>
    <xf numFmtId="42" fontId="0" fillId="0" borderId="7" xfId="3" applyFont="1" applyBorder="1"/>
    <xf numFmtId="14" fontId="0" fillId="0" borderId="5" xfId="3" applyNumberFormat="1" applyFont="1" applyBorder="1"/>
    <xf numFmtId="14" fontId="0" fillId="0" borderId="12" xfId="3" applyNumberFormat="1" applyFont="1" applyBorder="1"/>
    <xf numFmtId="14" fontId="0" fillId="0" borderId="0" xfId="3" applyNumberFormat="1" applyFont="1"/>
    <xf numFmtId="1" fontId="0" fillId="0" borderId="12" xfId="0" applyNumberFormat="1" applyBorder="1"/>
    <xf numFmtId="41" fontId="0" fillId="0" borderId="0" xfId="0" applyNumberFormat="1"/>
    <xf numFmtId="10" fontId="0" fillId="0" borderId="0" xfId="0" applyNumberFormat="1"/>
    <xf numFmtId="0" fontId="0" fillId="16" borderId="11" xfId="0" applyFill="1" applyBorder="1"/>
    <xf numFmtId="0" fontId="0" fillId="16" borderId="12" xfId="0" applyFill="1" applyBorder="1"/>
    <xf numFmtId="169" fontId="0" fillId="16" borderId="12" xfId="2" applyNumberFormat="1" applyFont="1" applyFill="1" applyBorder="1" applyAlignment="1">
      <alignment horizontal="right"/>
    </xf>
    <xf numFmtId="0" fontId="0" fillId="16" borderId="9" xfId="0" applyFill="1" applyBorder="1"/>
    <xf numFmtId="0" fontId="0" fillId="16" borderId="5" xfId="0" applyFill="1" applyBorder="1"/>
    <xf numFmtId="3" fontId="0" fillId="0" borderId="12" xfId="0" applyNumberFormat="1" applyBorder="1"/>
    <xf numFmtId="169" fontId="0" fillId="0" borderId="7" xfId="2" applyNumberFormat="1" applyFont="1" applyFill="1" applyBorder="1" applyAlignment="1">
      <alignment horizontal="right"/>
    </xf>
    <xf numFmtId="14" fontId="0" fillId="0" borderId="15" xfId="0" applyNumberFormat="1" applyBorder="1"/>
    <xf numFmtId="42" fontId="0" fillId="0" borderId="15" xfId="3" applyFont="1" applyBorder="1"/>
    <xf numFmtId="1" fontId="0" fillId="0" borderId="15" xfId="0" applyNumberFormat="1" applyBorder="1"/>
    <xf numFmtId="14" fontId="0" fillId="0" borderId="15" xfId="3" applyNumberFormat="1" applyFont="1" applyBorder="1"/>
    <xf numFmtId="0" fontId="3" fillId="0" borderId="5" xfId="0" applyFont="1" applyBorder="1"/>
    <xf numFmtId="169" fontId="3" fillId="0" borderId="5" xfId="2" applyNumberFormat="1" applyFont="1" applyFill="1" applyBorder="1" applyAlignment="1">
      <alignment horizontal="right"/>
    </xf>
    <xf numFmtId="14" fontId="3" fillId="0" borderId="5" xfId="0" applyNumberFormat="1" applyFont="1" applyBorder="1"/>
    <xf numFmtId="42" fontId="3" fillId="0" borderId="5" xfId="3" applyFont="1" applyBorder="1"/>
    <xf numFmtId="0" fontId="3" fillId="0" borderId="12" xfId="0" applyFont="1" applyBorder="1"/>
    <xf numFmtId="1" fontId="3" fillId="0" borderId="12" xfId="0" applyNumberFormat="1" applyFont="1" applyBorder="1"/>
    <xf numFmtId="42" fontId="3" fillId="0" borderId="12" xfId="3" applyFont="1" applyBorder="1"/>
    <xf numFmtId="14" fontId="3" fillId="0" borderId="12" xfId="3" applyNumberFormat="1" applyFont="1" applyBorder="1"/>
    <xf numFmtId="0" fontId="3" fillId="0" borderId="0" xfId="0" applyFont="1"/>
    <xf numFmtId="4" fontId="3" fillId="0" borderId="5" xfId="0" applyNumberFormat="1" applyFont="1" applyBorder="1"/>
    <xf numFmtId="0" fontId="3" fillId="0" borderId="10" xfId="0" applyFont="1" applyBorder="1"/>
    <xf numFmtId="164" fontId="0" fillId="0" borderId="5" xfId="0" applyNumberFormat="1" applyBorder="1"/>
    <xf numFmtId="164" fontId="3" fillId="0" borderId="5" xfId="0" applyNumberFormat="1" applyFont="1" applyBorder="1"/>
    <xf numFmtId="164" fontId="0" fillId="0" borderId="9" xfId="3" applyNumberFormat="1" applyFont="1" applyBorder="1"/>
    <xf numFmtId="164" fontId="3" fillId="0" borderId="9" xfId="3" applyNumberFormat="1" applyFont="1" applyBorder="1"/>
    <xf numFmtId="164" fontId="0" fillId="0" borderId="0" xfId="0" applyNumberFormat="1"/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4">
    <cellStyle name="Millares" xfId="1" builtinId="3"/>
    <cellStyle name="Millares [0]" xfId="2" builtinId="6"/>
    <cellStyle name="Moneda [0]" xfId="3" builtinId="7"/>
    <cellStyle name="Normal" xfId="0" builtinId="0"/>
  </cellStyles>
  <dxfs count="35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#,##0\ &quot;m2&quot;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;[Red]&quot;$&quot;\-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$&quot;#,##0;[Red]&quot;$&quot;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0" formatCode="&quot;$&quot;#,##0;[Red]&quot;$&quot;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$&quot;#,##0;[Red]&quot;$&quot;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#,##0\ &quot;m2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 &quot;$&quot;* #,##0_ ;_ &quot;$&quot;* \-#,##0_ ;_ &quot;$&quot;* &quot;-&quot;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#,##0\ &quot;m2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#,##0\ &quot;m2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69" formatCode="#,##0\ &quot;m2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patagual.sharepoint.com/sites/patagual-TerrenosGP/Shared%20Documents/Terrenos%20GP/Antiguos/BBDD%20Terrenos%20Oficial%202025_Avaluos%20Construcciones%2003.07.2025.xlsx" TargetMode="External"/><Relationship Id="rId1" Type="http://schemas.openxmlformats.org/officeDocument/2006/relationships/externalLinkPath" Target="Antiguos/BBDD%20Terrenos%20Oficial%202025_Avaluos%20Construcciones%2003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BUYJehRSMEOoXAwkgXhggLzlp_0yJoBGoPPYmIndxvu7eTOcsPOBToe-dPRpyQ6F" itemId="01EHWFBP6MRYYPPKAIOFCJ6YYV2V2SM43U">
      <xxl21:absoluteUrl r:id="rId2"/>
    </xxl21:alternateUrls>
    <sheetNames>
      <sheetName val="TD Terrenos Comercial"/>
      <sheetName val="RESUMEN  ROLES"/>
      <sheetName val="BBDD TERRENOS"/>
      <sheetName val="Contraste Bases"/>
      <sheetName val="BBDD CONSTRUCCIONES"/>
      <sheetName val="Detalle1"/>
      <sheetName val="Detalle2"/>
      <sheetName val="TD Terrenos"/>
      <sheetName val="Avaluo 2021"/>
      <sheetName val="Base Jose Manuel"/>
      <sheetName val="Dinámica"/>
      <sheetName val="BBDD Terrenos Oficial 2025_A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ul  Achata" id="{2FF5494A-6209-4A77-9AEE-935BA92FCCCD}" userId="Raul  Achata" providerId="None"/>
  <person displayName="Patricio Cabrera Figueroa" id="{FB3CA61C-8AC1-46C8-935D-4225958BB2D0}" userId="S::pcabrera@grupopatagual.cl::f842ee4f-6130-4b2c-9527-c75c7776de09" providerId="AD"/>
  <person displayName="David Hernandez Lopez" id="{93BD9D14-7AF5-46C5-9170-F25677B76EA3}" userId="S::dhernandez@grupopatagual.cl::0bd49f1c-2937-42c0-ab18-4dd26bfe6a4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47AF6B2D-F735-49A6-B304-3D141E9F36C2}" autoFormatId="16" applyNumberFormats="0" applyBorderFormats="0" applyFontFormats="0" applyPatternFormats="0" applyAlignmentFormats="0" applyWidthHeightFormats="0">
  <queryTableRefresh nextId="100" unboundColumnsRight="1">
    <queryTableFields count="54">
      <queryTableField id="1" name="Propietario" tableColumnId="1"/>
      <queryTableField id="2" name="Comuna" tableColumnId="2"/>
      <queryTableField id="3" name="Identificacion Propiedad" tableColumnId="3"/>
      <queryTableField id="57" name="Detalle TGR" tableColumnId="56"/>
      <queryTableField id="4" name="Superficie (m2)" tableColumnId="4"/>
      <queryTableField id="5" name="Estatus" tableColumnId="5"/>
      <queryTableField id="6" name="Fecha de la Venta" tableColumnId="6"/>
      <queryTableField id="7" name="Cliente" tableColumnId="7"/>
      <queryTableField id="8" name="Valor de Venta UF/m2" tableColumnId="8"/>
      <queryTableField id="9" name="Avalúo Diciembre 2024" tableColumnId="9"/>
      <queryTableField id="10" name="Avalúo Exento Dic-2024" tableColumnId="10"/>
      <queryTableField id="11" name="Avalúo Afecto Dic-2024" tableColumnId="11"/>
      <queryTableField id="14" name="Avalúo Total 2025" tableColumnId="14"/>
      <queryTableField id="15" name="Avalúo Exento Dic-2025" tableColumnId="15"/>
      <queryTableField id="16" name="Avalúo Afecto Dic-2025" tableColumnId="16"/>
      <queryTableField id="17" name="Rol Matriz" tableColumnId="17"/>
      <queryTableField id="18" name="ROL Asignado" tableColumnId="18"/>
      <queryTableField id="58" name="ROL Pagador" tableColumnId="57"/>
      <queryTableField id="19" name="Estado en SII/Comentarios" tableColumnId="19"/>
      <queryTableField id="20" name="Condicion ROL" tableColumnId="20"/>
      <queryTableField id="21" name="Destino SII" tableColumnId="21"/>
      <queryTableField id="24" name="Valor Libro Contable UF" tableColumnId="24"/>
      <queryTableField id="25" name="Variación 2025-2024 Avalúo Total" tableColumnId="25"/>
      <queryTableField id="26" name="Variación 2025-2024 Avalúo Afecto" tableColumnId="26"/>
      <queryTableField id="27" name="Variación 2025-2024 Avalúo Exento" tableColumnId="27"/>
      <queryTableField id="28" name="Superficie Neta Arq" tableColumnId="28"/>
      <queryTableField id="29" name="Resolución" tableColumnId="29"/>
      <queryTableField id="30" name="Fecha Resolucion" tableColumnId="30"/>
      <queryTableField id="31" name="Dirección" tableColumnId="31"/>
      <queryTableField id="32" name="Factibilidad eléctrica" tableColumnId="32"/>
      <queryTableField id="33" name="Factibilidad Sanitaria" tableColumnId="33"/>
      <queryTableField id="34" name="Empresa Sanitaria" tableColumnId="34"/>
      <queryTableField id="35" name="Garantía" tableColumnId="35"/>
      <queryTableField id="36" name="Resolucion Garantia" tableColumnId="36"/>
      <queryTableField id="37" name="Vencimiento de la Garantía" tableColumnId="37"/>
      <queryTableField id="38" name="Modificacion de Deslindes" tableColumnId="38"/>
      <queryTableField id="39" name="Nueva superficie " tableColumnId="39"/>
      <queryTableField id="40" name="Nueva Resolucion" tableColumnId="40"/>
      <queryTableField id="41" name="Fecha" tableColumnId="41"/>
      <queryTableField id="42" name="UF/m2 (Comercial)" tableColumnId="42"/>
      <queryTableField id="43" name="UF (Comercial Total)" tableColumnId="43"/>
      <queryTableField id="44" name="UF/m2 (Tasación)" tableColumnId="44"/>
      <queryTableField id="45" name="UF (Tasación Total)" tableColumnId="45"/>
      <queryTableField id="46" name="UF (Liquidación Total)" tableColumnId="46"/>
      <queryTableField id="47" name="Fecha Tasación" tableColumnId="47"/>
      <queryTableField id="48" name="Tasador" tableColumnId="48"/>
      <queryTableField id="49" name="Mejor tasación" tableColumnId="49"/>
      <queryTableField id="50" name="Hipotecador" tableColumnId="50"/>
      <queryTableField id="61" name="ROL Pagador|" tableColumnId="13"/>
      <queryTableField id="51" name="Usufructurario" tableColumnId="51"/>
      <queryTableField id="67" name="Avalúo Total 2024" tableColumnId="58"/>
      <queryTableField id="23" name="Valor Libro Contable $" tableColumnId="23"/>
      <queryTableField id="54" name="TIPO" tableColumnId="54"/>
      <queryTableField id="56" dataBound="0" tableColumnId="5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379127F6-6BBA-490B-9087-271BC5636359}" autoFormatId="16" applyNumberFormats="0" applyBorderFormats="0" applyFontFormats="0" applyPatternFormats="0" applyAlignmentFormats="0" applyWidthHeightFormats="0">
  <queryTableRefresh nextId="53">
    <queryTableFields count="45">
      <queryTableField id="1" name="Propietario" tableColumnId="1"/>
      <queryTableField id="2" name="Comuna" tableColumnId="2"/>
      <queryTableField id="3" name="Identificacion Propiedad" tableColumnId="3"/>
      <queryTableField id="4" name="Superficie (m2)" tableColumnId="4"/>
      <queryTableField id="5" name="Estatus" tableColumnId="5"/>
      <queryTableField id="6" name="Avalúo Diciembre 2024" tableColumnId="6"/>
      <queryTableField id="7" name="Avalúo Exento Dic-2024" tableColumnId="7"/>
      <queryTableField id="8" name="Avalúo Afecto Dic-2024" tableColumnId="8"/>
      <queryTableField id="11" name="Avalúo Total 2025" tableColumnId="11"/>
      <queryTableField id="12" name="Avalúo Exento Dic-2025" tableColumnId="12"/>
      <queryTableField id="13" name="Avalúo Afecto Dic-2025" tableColumnId="13"/>
      <queryTableField id="14" name="Rol Matriz" tableColumnId="14"/>
      <queryTableField id="15" name="ROL Asignado" tableColumnId="15"/>
      <queryTableField id="51" name="ROL Pagador" tableColumnId="9"/>
      <queryTableField id="16" name="Estado en SII/Comentarios" tableColumnId="16"/>
      <queryTableField id="17" name="Condicion ROL" tableColumnId="17"/>
      <queryTableField id="18" name="Destino SII" tableColumnId="18"/>
      <queryTableField id="21" name="Valor Libro Contable UF" tableColumnId="21"/>
      <queryTableField id="23" name="Variación 2025-2024 Avalúo Total" tableColumnId="23"/>
      <queryTableField id="24" name="Variación 2025-2024 Avalúo Afecto" tableColumnId="24"/>
      <queryTableField id="25" name="Variación 2025-2024 Avalúo Exento" tableColumnId="25"/>
      <queryTableField id="26" name="Superficie Neta Arq" tableColumnId="26"/>
      <queryTableField id="27" name="Resolución" tableColumnId="27"/>
      <queryTableField id="28" name="Fecha Resolucion" tableColumnId="28"/>
      <queryTableField id="29" name="Dirección" tableColumnId="29"/>
      <queryTableField id="30" name="Factibilidad eléctrica" tableColumnId="30"/>
      <queryTableField id="31" name="Factibilidad Sanitaria" tableColumnId="31"/>
      <queryTableField id="32" name="Empresa Sanitaria" tableColumnId="32"/>
      <queryTableField id="33" name="Garantía" tableColumnId="33"/>
      <queryTableField id="34" name="Resolucion Garantia" tableColumnId="34"/>
      <queryTableField id="35" name="Vencimiento de la Garantía" tableColumnId="35"/>
      <queryTableField id="36" name="Modificacion de Deslindes" tableColumnId="36"/>
      <queryTableField id="37" name="Nueva superficie " tableColumnId="37"/>
      <queryTableField id="38" name="Nueva Resolucion" tableColumnId="38"/>
      <queryTableField id="39" name="Fecha" tableColumnId="39"/>
      <queryTableField id="40" name="UF/m2 (Comercial)" tableColumnId="40"/>
      <queryTableField id="41" name="UF (Comercial Total)" tableColumnId="41"/>
      <queryTableField id="42" name="UF/m2 (Tasación)" tableColumnId="42"/>
      <queryTableField id="43" name="UF (Tasación Total)" tableColumnId="43"/>
      <queryTableField id="44" name="UF (Liquidación Total)" tableColumnId="44"/>
      <queryTableField id="45" name="Fecha Tasación" tableColumnId="45"/>
      <queryTableField id="46" name="Tasador" tableColumnId="46"/>
      <queryTableField id="47" name="Mejor tasación" tableColumnId="47"/>
      <queryTableField id="48" name="Hipotecador" tableColumnId="48"/>
      <queryTableField id="49" name="Usufructurario" tableColumnId="4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93D4F402-9BC1-471C-A2F2-5DD7FE07D622}" autoFormatId="16" applyNumberFormats="0" applyBorderFormats="0" applyFontFormats="0" applyPatternFormats="0" applyAlignmentFormats="0" applyWidthHeightFormats="0">
  <queryTableRefresh nextId="56">
    <queryTableFields count="48">
      <queryTableField id="1" name="Propietario" tableColumnId="1"/>
      <queryTableField id="2" name="Comuna" tableColumnId="2"/>
      <queryTableField id="3" name="Identificacion Propiedad" tableColumnId="3"/>
      <queryTableField id="4" name="Superficie (m2)" tableColumnId="4"/>
      <queryTableField id="5" name="Estatus" tableColumnId="5"/>
      <queryTableField id="6" name="Fecha de la Venta" tableColumnId="6"/>
      <queryTableField id="7" name="Cliente" tableColumnId="7"/>
      <queryTableField id="8" name="Valor de Venta UF/m2" tableColumnId="8"/>
      <queryTableField id="9" name="Avalúo Diciembre 2024" tableColumnId="9"/>
      <queryTableField id="10" name="Avalúo Exento Dic-2024" tableColumnId="10"/>
      <queryTableField id="11" name="Avalúo Afecto Dic-2024" tableColumnId="11"/>
      <queryTableField id="14" name="Avalúo Total 2025" tableColumnId="14"/>
      <queryTableField id="15" name="Avalúo Exento Dic-2025" tableColumnId="15"/>
      <queryTableField id="16" name="Avalúo Afecto Dic-2025" tableColumnId="16"/>
      <queryTableField id="17" name="Rol Matriz" tableColumnId="17"/>
      <queryTableField id="18" name="ROL Asignado" tableColumnId="18"/>
      <queryTableField id="54" name="ROL Pagador" tableColumnId="13"/>
      <queryTableField id="19" name="Estado en SII/Comentarios" tableColumnId="19"/>
      <queryTableField id="20" name="Condicion ROL" tableColumnId="20"/>
      <queryTableField id="21" name="Destino SII" tableColumnId="21"/>
      <queryTableField id="24" name="Valor Libro Contable UF" tableColumnId="24"/>
      <queryTableField id="25" name="Variación 2025-2024 Avalúo Total" tableColumnId="25"/>
      <queryTableField id="26" name="Variación 2025-2024 Avalúo Afecto" tableColumnId="26"/>
      <queryTableField id="27" name="Variación 2025-2024 Avalúo Exento" tableColumnId="27"/>
      <queryTableField id="28" name="Superficie Neta Arq" tableColumnId="28"/>
      <queryTableField id="29" name="Resolución" tableColumnId="29"/>
      <queryTableField id="30" name="Fecha Resolucion" tableColumnId="30"/>
      <queryTableField id="31" name="Dirección" tableColumnId="31"/>
      <queryTableField id="32" name="Factibilidad eléctrica" tableColumnId="32"/>
      <queryTableField id="33" name="Factibilidad Sanitaria" tableColumnId="33"/>
      <queryTableField id="34" name="Empresa Sanitaria" tableColumnId="34"/>
      <queryTableField id="35" name="Garantía" tableColumnId="35"/>
      <queryTableField id="36" name="Resolucion Garantia" tableColumnId="36"/>
      <queryTableField id="37" name="Vencimiento de la Garantía" tableColumnId="37"/>
      <queryTableField id="38" name="Modificacion de Deslindes" tableColumnId="38"/>
      <queryTableField id="39" name="Nueva superficie " tableColumnId="39"/>
      <queryTableField id="40" name="Nueva Resolucion" tableColumnId="40"/>
      <queryTableField id="41" name="Fecha" tableColumnId="41"/>
      <queryTableField id="42" name="UF/m2 (Comercial)" tableColumnId="42"/>
      <queryTableField id="43" name="UF (Comercial Total)" tableColumnId="43"/>
      <queryTableField id="44" name="UF/m2 (Tasación)" tableColumnId="44"/>
      <queryTableField id="45" name="UF (Tasación Total)" tableColumnId="45"/>
      <queryTableField id="46" name="UF (Liquidación Total)" tableColumnId="46"/>
      <queryTableField id="47" name="Fecha Tasación" tableColumnId="47"/>
      <queryTableField id="48" name="Tasador" tableColumnId="48"/>
      <queryTableField id="49" name="Mejor tasación" tableColumnId="49"/>
      <queryTableField id="50" name="Hipotecador" tableColumnId="50"/>
      <queryTableField id="51" name="Usufructurario" tableColumnId="5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AB077988-2EE9-45C9-9356-D72B2EFD8AF9}" autoFormatId="16" applyNumberFormats="0" applyBorderFormats="0" applyFontFormats="0" applyPatternFormats="0" applyAlignmentFormats="0" applyWidthHeightFormats="0">
  <queryTableRefresh nextId="55">
    <queryTableFields count="45">
      <queryTableField id="1" name="Propietario" tableColumnId="1"/>
      <queryTableField id="2" name="Comuna" tableColumnId="2"/>
      <queryTableField id="3" name="Identificacion Propiedad" tableColumnId="3"/>
      <queryTableField id="4" name="Superficie (m2)" tableColumnId="4"/>
      <queryTableField id="5" name="Estatus" tableColumnId="5"/>
      <queryTableField id="6" name="Avalúo Diciembre 2024" tableColumnId="6"/>
      <queryTableField id="7" name="Avalúo Exento Dic-2024" tableColumnId="7"/>
      <queryTableField id="8" name="Avalúo Afecto Dic-2024" tableColumnId="8"/>
      <queryTableField id="11" name="Avalúo Total 2025" tableColumnId="11"/>
      <queryTableField id="12" name="Avalúo Exento Dic-2025" tableColumnId="12"/>
      <queryTableField id="13" name="Avalúo Afecto Dic-2025" tableColumnId="13"/>
      <queryTableField id="14" name="Rol Matriz" tableColumnId="14"/>
      <queryTableField id="15" name="ROL Asignado" tableColumnId="15"/>
      <queryTableField id="51" name="ROL Pagador|" tableColumnId="9"/>
      <queryTableField id="16" name="Estado en SII/Comentarios" tableColumnId="16"/>
      <queryTableField id="17" name="Condicion ROL" tableColumnId="17"/>
      <queryTableField id="18" name="Destino SII" tableColumnId="18"/>
      <queryTableField id="21" name="Valor Libro Contable UF" tableColumnId="21"/>
      <queryTableField id="23" name="Variación 2025-2024 Avalúo Total" tableColumnId="23"/>
      <queryTableField id="24" name="Variación 2025-2024 Avalúo Afecto" tableColumnId="24"/>
      <queryTableField id="25" name="Variación 2025-2024 Avalúo Exento" tableColumnId="25"/>
      <queryTableField id="26" name="Superficie Neta Arq" tableColumnId="26"/>
      <queryTableField id="27" name="Resolución" tableColumnId="27"/>
      <queryTableField id="28" name="Fecha Resolucion" tableColumnId="28"/>
      <queryTableField id="29" name="Dirección" tableColumnId="29"/>
      <queryTableField id="30" name="Factibilidad eléctrica" tableColumnId="30"/>
      <queryTableField id="31" name="Factibilidad Sanitaria" tableColumnId="31"/>
      <queryTableField id="32" name="Empresa Sanitaria" tableColumnId="32"/>
      <queryTableField id="33" name="Garantía" tableColumnId="33"/>
      <queryTableField id="34" name="Resolucion Garantia" tableColumnId="34"/>
      <queryTableField id="35" name="Vencimiento de la Garantía" tableColumnId="35"/>
      <queryTableField id="36" name="Modificacion de Deslindes" tableColumnId="36"/>
      <queryTableField id="37" name="Nueva superficie " tableColumnId="37"/>
      <queryTableField id="38" name="Nueva Resolucion" tableColumnId="38"/>
      <queryTableField id="39" name="Fecha" tableColumnId="39"/>
      <queryTableField id="40" name="UF/m2 (Comercial)" tableColumnId="40"/>
      <queryTableField id="41" name="UF (Comercial Total)" tableColumnId="41"/>
      <queryTableField id="42" name="UF/m2 (Tasación)" tableColumnId="42"/>
      <queryTableField id="43" name="UF (Tasación Total)" tableColumnId="43"/>
      <queryTableField id="44" name="UF (Liquidación Total)" tableColumnId="44"/>
      <queryTableField id="45" name="Fecha Tasación" tableColumnId="45"/>
      <queryTableField id="46" name="Tasador" tableColumnId="46"/>
      <queryTableField id="47" name="Mejor tasación" tableColumnId="47"/>
      <queryTableField id="48" name="Hipotecador" tableColumnId="48"/>
      <queryTableField id="49" name="Usufructurario" tableColumnId="4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839CD58-27D0-4DEA-84FD-F96B413360D9}" autoFormatId="16" applyNumberFormats="0" applyBorderFormats="0" applyFontFormats="0" applyPatternFormats="0" applyAlignmentFormats="0" applyWidthHeightFormats="0">
  <queryTableRefresh nextId="59">
    <queryTableFields count="47">
      <queryTableField id="1" name="Propietario" tableColumnId="1"/>
      <queryTableField id="2" name="Comuna" tableColumnId="2"/>
      <queryTableField id="3" name="Identificacion Propiedad" tableColumnId="3"/>
      <queryTableField id="51" name="Detalle TGR" tableColumnId="10"/>
      <queryTableField id="4" name="Superficie (m2)" tableColumnId="4"/>
      <queryTableField id="5" name="Estatus" tableColumnId="5"/>
      <queryTableField id="55" name="Avalúo Total 2024" tableColumnId="6"/>
      <queryTableField id="7" name="Avalúo Exento Dic-2024" tableColumnId="7"/>
      <queryTableField id="8" name="Avalúo Afecto Dic-2024" tableColumnId="8"/>
      <queryTableField id="11" name="Avalúo Total 2025" tableColumnId="11"/>
      <queryTableField id="12" name="Avalúo Exento Dic-2025" tableColumnId="12"/>
      <queryTableField id="13" name="Avalúo Afecto Dic-2025" tableColumnId="13"/>
      <queryTableField id="14" name="Rol Matriz" tableColumnId="14"/>
      <queryTableField id="15" name="ROL Asignado" tableColumnId="15"/>
      <queryTableField id="52" name="ROL Pagador" tableColumnId="19"/>
      <queryTableField id="16" name="Estado en SII/Comentarios" tableColumnId="16"/>
      <queryTableField id="17" name="Condicion ROL" tableColumnId="17"/>
      <queryTableField id="18" name="Destino SII" tableColumnId="18"/>
      <queryTableField id="56" name="Valor Libro Contable $" tableColumnId="9"/>
      <queryTableField id="23" name="Variación 2025-2024 Avalúo Total" tableColumnId="23"/>
      <queryTableField id="24" name="Variación 2025-2024 Avalúo Afecto" tableColumnId="24"/>
      <queryTableField id="25" name="Variación 2025-2024 Avalúo Exento" tableColumnId="25"/>
      <queryTableField id="26" name="Superficie Neta Arq" tableColumnId="26"/>
      <queryTableField id="27" name="Resolución" tableColumnId="27"/>
      <queryTableField id="28" name="Fecha Resolucion" tableColumnId="28"/>
      <queryTableField id="29" name="Dirección" tableColumnId="29"/>
      <queryTableField id="30" name="Factibilidad eléctrica" tableColumnId="30"/>
      <queryTableField id="31" name="Factibilidad Sanitaria" tableColumnId="31"/>
      <queryTableField id="32" name="Empresa Sanitaria" tableColumnId="32"/>
      <queryTableField id="33" name="Garantía" tableColumnId="33"/>
      <queryTableField id="34" name="Resolucion Garantia" tableColumnId="34"/>
      <queryTableField id="35" name="Vencimiento de la Garantía" tableColumnId="35"/>
      <queryTableField id="36" name="Modificacion de Deslindes" tableColumnId="36"/>
      <queryTableField id="37" name="Nueva superficie " tableColumnId="37"/>
      <queryTableField id="38" name="Nueva Resolucion" tableColumnId="38"/>
      <queryTableField id="39" name="Fecha" tableColumnId="39"/>
      <queryTableField id="40" name="UF/m2 (Comercial)" tableColumnId="40"/>
      <queryTableField id="41" name="UF (Comercial Total)" tableColumnId="41"/>
      <queryTableField id="42" name="UF/m2 (Tasación)" tableColumnId="42"/>
      <queryTableField id="43" name="UF (Tasación Total)" tableColumnId="43"/>
      <queryTableField id="44" name="UF (Liquidación Total)" tableColumnId="44"/>
      <queryTableField id="45" name="Fecha Tasación" tableColumnId="45"/>
      <queryTableField id="46" name="Tasador" tableColumnId="46"/>
      <queryTableField id="47" name="Mejor tasación" tableColumnId="47"/>
      <queryTableField id="48" name="Hipotecador" tableColumnId="48"/>
      <queryTableField id="49" name="Usufructurario" tableColumnId="49"/>
      <queryTableField id="50" name="TIPO" tableColumnId="5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E616311-65A7-4099-8AA8-FED98C629AA8}" autoFormatId="16" applyNumberFormats="0" applyBorderFormats="0" applyFontFormats="0" applyPatternFormats="0" applyAlignmentFormats="0" applyWidthHeightFormats="0">
  <queryTableRefresh nextId="84">
    <queryTableFields count="53">
      <queryTableField id="1" name="Propietario" tableColumnId="1"/>
      <queryTableField id="2" name="Comuna" tableColumnId="2"/>
      <queryTableField id="3" name="Identificacion Propiedad" tableColumnId="3"/>
      <queryTableField id="66" name="Detalle TGR" tableColumnId="25"/>
      <queryTableField id="4" name="Superficie (m2)" tableColumnId="4"/>
      <queryTableField id="5" name="Estatus" tableColumnId="5"/>
      <queryTableField id="70" name="Fecha de la venta" tableColumnId="6"/>
      <queryTableField id="71" name="Cliente" tableColumnId="7"/>
      <queryTableField id="64" name="Precio de Venta (UF/m2)" tableColumnId="64"/>
      <queryTableField id="12" name="Avalúo Diciembre 2024" tableColumnId="12"/>
      <queryTableField id="13" name="Avalúo Exento Dic-2024" tableColumnId="13"/>
      <queryTableField id="14" name="Avalúo Afecto Dic-2024" tableColumnId="14"/>
      <queryTableField id="19" name="Avalúo Total 2025" tableColumnId="19"/>
      <queryTableField id="20" name="Avalúo Exento Dic-2025" tableColumnId="20"/>
      <queryTableField id="21" name="Avalúo Afecto Dic-2025" tableColumnId="21"/>
      <queryTableField id="16" name="Rol Matriz" tableColumnId="16"/>
      <queryTableField id="17" name="ROL Asignado" tableColumnId="17"/>
      <queryTableField id="18" name="Rol Pagador2" tableColumnId="18"/>
      <queryTableField id="72" name="Estado en SII/Comentarios" tableColumnId="8"/>
      <queryTableField id="27" name="Condicion ROL" tableColumnId="27"/>
      <queryTableField id="28" name="Destino SII" tableColumnId="28"/>
      <queryTableField id="73" name="Valor Libro Contable $" tableColumnId="9"/>
      <queryTableField id="22" name="Variación 2025-2024 Avalúo Total" tableColumnId="22"/>
      <queryTableField id="23" name="Variación 2025-2024 Avalúo Afecto" tableColumnId="23"/>
      <queryTableField id="24" name="Variación 2025-2024 Avalúo Exento" tableColumnId="24"/>
      <queryTableField id="30" name="Retasación Técnica Contable" tableColumnId="30"/>
      <queryTableField id="31" name="Valor Comercial Contable" tableColumnId="31"/>
      <queryTableField id="32" name="Valor Comercial UF Contable" tableColumnId="32"/>
      <queryTableField id="40" name="UF/m2 (Comercial)" tableColumnId="40"/>
      <queryTableField id="41" name="UF (Comercial Total)" tableColumnId="41"/>
      <queryTableField id="42" name="UF/m2 (Tasación)" tableColumnId="42"/>
      <queryTableField id="43" name="UF (Tasación Total)" tableColumnId="43"/>
      <queryTableField id="44" name="UF (Liquidación Total)" tableColumnId="44"/>
      <queryTableField id="45" name="Fecha Tasación" tableColumnId="45"/>
      <queryTableField id="46" name="Tasador" tableColumnId="46"/>
      <queryTableField id="47" name="Mejor tasación" tableColumnId="47"/>
      <queryTableField id="48" name="Hipotecador" tableColumnId="48"/>
      <queryTableField id="49" name="Usufructurario" tableColumnId="49"/>
      <queryTableField id="50" name="Superficie Neta Arq" tableColumnId="50"/>
      <queryTableField id="51" name="Resolución" tableColumnId="51"/>
      <queryTableField id="52" name="Fecha Resolucion" tableColumnId="52"/>
      <queryTableField id="53" name="Dirección" tableColumnId="53"/>
      <queryTableField id="54" name="Factibilidad eléctrica" tableColumnId="54"/>
      <queryTableField id="55" name="Factibilidad Sanitaria" tableColumnId="55"/>
      <queryTableField id="56" name="Empresa Sanitaria" tableColumnId="56"/>
      <queryTableField id="57" name="Garantía" tableColumnId="57"/>
      <queryTableField id="58" name="Resolucion Garantia" tableColumnId="58"/>
      <queryTableField id="59" name="Vencimiento de la Garantía" tableColumnId="59"/>
      <queryTableField id="60" name="Modificacion de Deslindes" tableColumnId="60"/>
      <queryTableField id="61" name="Nueva superficie " tableColumnId="61"/>
      <queryTableField id="62" name="Nueva Resolucion" tableColumnId="62"/>
      <queryTableField id="63" name="Fecha" tableColumnId="63"/>
      <queryTableField id="65" name="Observación" tableColumnId="6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9090CE-8D72-43FE-879A-4979D2E0A3A8}" name="BBDD_TERRENO" displayName="BBDD_TERRENO" ref="A1:BB498" tableType="queryTable" totalsRowShown="0">
  <autoFilter ref="A1:BB498" xr:uid="{989090CE-8D72-43FE-879A-4979D2E0A3A8}"/>
  <tableColumns count="54">
    <tableColumn id="1" xr3:uid="{CECB506C-19E5-4A48-8DD4-E68D16EB496A}" uniqueName="1" name="Propietario" queryTableFieldId="1" dataDxfId="351"/>
    <tableColumn id="2" xr3:uid="{5CF4E246-DBDD-4303-8096-CD522D8E0A88}" uniqueName="2" name="Comuna" queryTableFieldId="2" dataDxfId="350"/>
    <tableColumn id="3" xr3:uid="{FBD62E4A-21CF-44F3-A855-092FBD3813A9}" uniqueName="3" name="Identificacion Propiedad" queryTableFieldId="3" dataDxfId="349"/>
    <tableColumn id="56" xr3:uid="{10F62877-7B6E-4932-B4C5-E1B14A93F14E}" uniqueName="56" name="Detalle TGR" queryTableFieldId="57" dataDxfId="348"/>
    <tableColumn id="4" xr3:uid="{23F94D7E-915A-4065-AF9E-D8135B1B60C3}" uniqueName="4" name="Superficie (m2)" queryTableFieldId="4" dataDxfId="347" dataCellStyle="Millares [0]"/>
    <tableColumn id="5" xr3:uid="{2703A56D-C614-494B-8597-E3A0F1F30C80}" uniqueName="5" name="Estatus" queryTableFieldId="5" dataDxfId="346"/>
    <tableColumn id="6" xr3:uid="{4F1413F8-52DB-4BE3-AFDA-B2FCB789A0A5}" uniqueName="6" name="Fecha de la Venta" queryTableFieldId="6" dataDxfId="345"/>
    <tableColumn id="7" xr3:uid="{0B474439-1AA4-4FA0-BB30-0F04BB5E76D8}" uniqueName="7" name="Cliente" queryTableFieldId="7" dataDxfId="344"/>
    <tableColumn id="8" xr3:uid="{9F1ADD99-DFC9-4F88-AA7B-B5065A6C88B7}" uniqueName="8" name="Valor de Venta UF/m2" queryTableFieldId="8" dataDxfId="343" dataCellStyle="Moneda [0]"/>
    <tableColumn id="9" xr3:uid="{2637EBE9-9D41-44C3-A046-AC470865B710}" uniqueName="9" name="Avalúo Diciembre 2024" queryTableFieldId="9" dataDxfId="342" dataCellStyle="Moneda [0]"/>
    <tableColumn id="10" xr3:uid="{D700CA01-D2CC-43F3-9929-148746EA872E}" uniqueName="10" name="Avalúo Exento Dic-2024" queryTableFieldId="10" dataDxfId="341" dataCellStyle="Moneda [0]"/>
    <tableColumn id="11" xr3:uid="{AA8B5B21-A435-4B02-A070-E8F773886868}" uniqueName="11" name="Avalúo Afecto Dic-2024" queryTableFieldId="11" dataDxfId="340" dataCellStyle="Moneda [0]"/>
    <tableColumn id="14" xr3:uid="{E4689DC2-28A8-4D53-9A57-2FC6CCD17238}" uniqueName="14" name="Avalúo Total 2025" queryTableFieldId="14" dataDxfId="339" dataCellStyle="Moneda [0]"/>
    <tableColumn id="15" xr3:uid="{6FBA19D9-EDD5-48A9-A46B-24561F5422AC}" uniqueName="15" name="Avalúo Exento Dic-2025" queryTableFieldId="15" dataDxfId="338" dataCellStyle="Moneda [0]"/>
    <tableColumn id="16" xr3:uid="{A9F498E3-2B1A-4D5B-9F73-ECAEC2DD18EA}" uniqueName="16" name="Avalúo Afecto Dic-2025" queryTableFieldId="16" dataDxfId="337" dataCellStyle="Moneda [0]"/>
    <tableColumn id="17" xr3:uid="{FDDB9865-AA50-4FD1-AA30-D5607CD8E2BF}" uniqueName="17" name="Rol Matriz" queryTableFieldId="17" dataDxfId="336"/>
    <tableColumn id="18" xr3:uid="{0E443020-C34B-4CBF-AA81-5A3768FD5E6C}" uniqueName="18" name="ROL Asignado" queryTableFieldId="18" dataDxfId="335"/>
    <tableColumn id="57" xr3:uid="{5150BC5A-268F-4923-AD35-001A5AF1AE58}" uniqueName="57" name="ROL Pagador" queryTableFieldId="58" dataDxfId="334"/>
    <tableColumn id="19" xr3:uid="{FF4F97AD-F304-442C-BEF9-85FF1AB6C23C}" uniqueName="19" name="Estado en SII/Comentarios" queryTableFieldId="19" dataDxfId="333"/>
    <tableColumn id="20" xr3:uid="{3BB62415-2261-4691-B3B7-C641B6D6FC88}" uniqueName="20" name="Condicion ROL" queryTableFieldId="20" dataDxfId="332"/>
    <tableColumn id="21" xr3:uid="{B48BE6C0-2938-4FA0-AE09-96E585083EE0}" uniqueName="21" name="Destino SII" queryTableFieldId="21" dataDxfId="331"/>
    <tableColumn id="24" xr3:uid="{442BB7C3-816E-4615-8733-6F4A987A05C4}" uniqueName="24" name="Valor Libro Contable UF" queryTableFieldId="24" dataDxfId="330"/>
    <tableColumn id="25" xr3:uid="{86345182-EA93-4671-BB0A-B7F2B9766E6F}" uniqueName="25" name="Variación 2025-2024 Avalúo Total" queryTableFieldId="25" dataDxfId="329" dataCellStyle="Moneda [0]"/>
    <tableColumn id="26" xr3:uid="{A0AB7524-9859-4FD3-90E3-8EC18C8C9BDE}" uniqueName="26" name="Variación 2025-2024 Avalúo Afecto" queryTableFieldId="26" dataDxfId="328" dataCellStyle="Moneda [0]"/>
    <tableColumn id="27" xr3:uid="{BE47F2B0-6D0A-4584-A4D4-543CE4DB11BD}" uniqueName="27" name="Variación 2025-2024 Avalúo Exento" queryTableFieldId="27" dataDxfId="327" dataCellStyle="Moneda [0]"/>
    <tableColumn id="28" xr3:uid="{1CDF85BC-0D3C-4F87-A481-BD926E9AA12C}" uniqueName="28" name="Superficie Neta Arq" queryTableFieldId="28" dataDxfId="326" dataCellStyle="Moneda [0]"/>
    <tableColumn id="29" xr3:uid="{F0F3580A-5A44-431C-A62F-714CB8384118}" uniqueName="29" name="Resolución" queryTableFieldId="29" dataDxfId="325"/>
    <tableColumn id="30" xr3:uid="{55538CDB-E7D9-4249-925E-4A5E87828D41}" uniqueName="30" name="Fecha Resolucion" queryTableFieldId="30" dataDxfId="324" dataCellStyle="Moneda [0]"/>
    <tableColumn id="31" xr3:uid="{974E76DD-D58F-4E25-98C2-EBC1373F3A56}" uniqueName="31" name="Dirección" queryTableFieldId="31" dataDxfId="323" dataCellStyle="Moneda [0]"/>
    <tableColumn id="32" xr3:uid="{53885404-DD32-4905-8C4A-D1714C43FB27}" uniqueName="32" name="Factibilidad eléctrica" queryTableFieldId="32" dataDxfId="322"/>
    <tableColumn id="33" xr3:uid="{64504F6B-E3B9-450F-9D8A-4D851469D490}" uniqueName="33" name="Factibilidad Sanitaria" queryTableFieldId="33" dataDxfId="321"/>
    <tableColumn id="34" xr3:uid="{1EE0D910-AD4B-436F-B598-7F8AF5F78342}" uniqueName="34" name="Empresa Sanitaria" queryTableFieldId="34" dataDxfId="320"/>
    <tableColumn id="35" xr3:uid="{A48EE656-4DF2-4B5E-9EF3-6E5ED4A8F828}" uniqueName="35" name="Garantía" queryTableFieldId="35" dataDxfId="319"/>
    <tableColumn id="36" xr3:uid="{E02D68BC-969F-4E29-A415-726F4C41CA73}" uniqueName="36" name="Resolucion Garantia" queryTableFieldId="36" dataDxfId="318"/>
    <tableColumn id="37" xr3:uid="{3DEA06A9-75C6-4421-870B-8488F5C783A4}" uniqueName="37" name="Vencimiento de la Garantía" queryTableFieldId="37" dataDxfId="317"/>
    <tableColumn id="38" xr3:uid="{7076DB6E-E46B-435B-B165-4132A13E3B59}" uniqueName="38" name="Modificacion de Deslindes" queryTableFieldId="38" dataDxfId="316"/>
    <tableColumn id="39" xr3:uid="{CEC657DC-5E3D-4889-A9E7-B885859804E8}" uniqueName="39" name="Nueva superficie " queryTableFieldId="39" dataDxfId="315"/>
    <tableColumn id="40" xr3:uid="{937D1CE5-8A54-4BC1-97DD-3BEA34475B31}" uniqueName="40" name="Nueva Resolucion" queryTableFieldId="40" dataDxfId="314"/>
    <tableColumn id="41" xr3:uid="{087B2F8C-2CED-42EC-8BC3-1D0F020DDD0E}" uniqueName="41" name="Fecha" queryTableFieldId="41" dataDxfId="313"/>
    <tableColumn id="42" xr3:uid="{E3537076-D6C4-4404-8B25-882E051F3C21}" uniqueName="42" name="UF/m2 (Comercial)" queryTableFieldId="42" dataDxfId="312"/>
    <tableColumn id="43" xr3:uid="{10F72A55-0218-4B92-82D2-4100ED63F547}" uniqueName="43" name="UF (Comercial Total)" queryTableFieldId="43" dataDxfId="311"/>
    <tableColumn id="44" xr3:uid="{BEB579F1-97DE-4894-A3BC-CC7F03706A2A}" uniqueName="44" name="UF/m2 (Tasación)" queryTableFieldId="44" dataDxfId="310"/>
    <tableColumn id="45" xr3:uid="{F833F2FC-A33C-4B86-AD18-85AF1FBEDF1E}" uniqueName="45" name="UF (Tasación Total)" queryTableFieldId="45" dataDxfId="309"/>
    <tableColumn id="46" xr3:uid="{040048B8-D9A9-4943-949B-AE8A16AC98BD}" uniqueName="46" name="UF (Liquidación Total)" queryTableFieldId="46" dataDxfId="308"/>
    <tableColumn id="47" xr3:uid="{06E1176E-B6A8-4422-B0AF-FD94CED1E23C}" uniqueName="47" name="Fecha Tasación" queryTableFieldId="47" dataDxfId="307"/>
    <tableColumn id="48" xr3:uid="{DBDD3016-07D0-4093-A846-CA4725DA794F}" uniqueName="48" name="Tasador" queryTableFieldId="48" dataDxfId="306"/>
    <tableColumn id="49" xr3:uid="{B91C4CCE-0F0A-4886-A7DF-63665E1A6581}" uniqueName="49" name="Mejor tasación" queryTableFieldId="49" dataDxfId="305"/>
    <tableColumn id="50" xr3:uid="{B1BB9515-E71B-4586-B7A7-B171B405926E}" uniqueName="50" name="Hipotecador" queryTableFieldId="50" dataDxfId="304"/>
    <tableColumn id="13" xr3:uid="{9A21D2A8-BF88-4B08-B002-53A7ADC69720}" uniqueName="13" name="ROL Pagador|" queryTableFieldId="61"/>
    <tableColumn id="51" xr3:uid="{8DEF72EE-2D1A-4A97-A4BF-6319014C4920}" uniqueName="51" name="Usufructurario" queryTableFieldId="51" dataDxfId="303"/>
    <tableColumn id="58" xr3:uid="{54793D5B-8894-438E-A978-6D280906950F}" uniqueName="58" name="Avalúo Total 2024" queryTableFieldId="67"/>
    <tableColumn id="23" xr3:uid="{CA7DB5ED-B445-427B-824A-CA2803BFE729}" uniqueName="23" name="Valor Libro Contable $" queryTableFieldId="23" dataDxfId="302" dataCellStyle="Moneda [0]"/>
    <tableColumn id="54" xr3:uid="{06904AB9-6C63-4F7B-8D5F-01031EBC1D70}" uniqueName="54" name="TIPO" queryTableFieldId="54"/>
    <tableColumn id="55" xr3:uid="{9C7472D5-CBB2-43BD-B6D7-D0F7E6EA0617}" uniqueName="55" name="otro" queryTableFieldId="56" dataDxfId="301">
      <calculatedColumnFormula>BBDD_TERRENO[[#This Row],[Comuna]]&amp;BBDD_TERRENO[[#This Row],[Identificacion Propiedad]]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B6BA09-B094-43F1-A06E-3D5D59990A90}" name="OTROS_1" displayName="OTROS_1" ref="A1:AS82" tableType="queryTable" totalsRowShown="0">
  <autoFilter ref="A1:AS82" xr:uid="{09B6BA09-B094-43F1-A06E-3D5D59990A90}"/>
  <tableColumns count="45">
    <tableColumn id="1" xr3:uid="{28D99169-F0FD-4322-8CA3-0EACC39078E4}" uniqueName="1" name="Propietario" queryTableFieldId="1"/>
    <tableColumn id="2" xr3:uid="{131C239C-957E-4A38-A5CC-FD9C6C868CF6}" uniqueName="2" name="Comuna" queryTableFieldId="2"/>
    <tableColumn id="3" xr3:uid="{32B8A7BF-0A97-413E-8D37-6CB9EBAD003C}" uniqueName="3" name="Identificacion Propiedad" queryTableFieldId="3"/>
    <tableColumn id="4" xr3:uid="{4A73AF5B-9B9A-48EA-970D-51F912DEEA08}" uniqueName="4" name="Superficie (m2)" queryTableFieldId="4"/>
    <tableColumn id="5" xr3:uid="{158BAB8C-9D57-42B7-8080-F8ED36DE9BB2}" uniqueName="5" name="Estatus" queryTableFieldId="5"/>
    <tableColumn id="6" xr3:uid="{DDC3D554-8D68-4A6C-A976-2735F99C4431}" uniqueName="6" name="Avalúo Diciembre 2024" queryTableFieldId="6"/>
    <tableColumn id="7" xr3:uid="{6552F186-876C-4039-9565-EB959DC4C65A}" uniqueName="7" name="Avalúo Exento Dic-2024" queryTableFieldId="7"/>
    <tableColumn id="8" xr3:uid="{C1059DAD-12B4-4C7E-93C6-AAC1CCD87ACD}" uniqueName="8" name="Avalúo Afecto Dic-2024" queryTableFieldId="8"/>
    <tableColumn id="11" xr3:uid="{EFC7D10F-20A7-44CF-9D99-0DD72713B0D9}" uniqueName="11" name="Avalúo Total 2025" queryTableFieldId="11"/>
    <tableColumn id="12" xr3:uid="{A3C4EE62-6231-4E3E-B113-4367EFFEE62A}" uniqueName="12" name="Avalúo Exento Dic-2025" queryTableFieldId="12"/>
    <tableColumn id="13" xr3:uid="{DF5CB290-12E5-48DC-A36D-76A335CDAAA3}" uniqueName="13" name="Avalúo Afecto Dic-2025" queryTableFieldId="13"/>
    <tableColumn id="14" xr3:uid="{74C21922-4DF8-46FA-AA3A-56D53F16210A}" uniqueName="14" name="Rol Matriz" queryTableFieldId="14"/>
    <tableColumn id="15" xr3:uid="{B613A2EF-0E49-4EB1-A605-69B824300EC5}" uniqueName="15" name="ROL Asignado" queryTableFieldId="15"/>
    <tableColumn id="9" xr3:uid="{62663135-C892-4CBA-B5F2-C507FDFB15A4}" uniqueName="9" name="ROL Pagador" queryTableFieldId="51"/>
    <tableColumn id="16" xr3:uid="{7F62F0A3-407D-4DCF-9F36-8FB61303EBB2}" uniqueName="16" name="Estado en SII/Comentarios" queryTableFieldId="16"/>
    <tableColumn id="17" xr3:uid="{BA815DD3-3A63-40F5-B596-4C15F7C0C58A}" uniqueName="17" name="Condicion ROL" queryTableFieldId="17"/>
    <tableColumn id="18" xr3:uid="{925AAADF-12FC-488D-93E0-D3572F9552CA}" uniqueName="18" name="Destino SII" queryTableFieldId="18"/>
    <tableColumn id="21" xr3:uid="{1F095743-84CE-47F2-8C3C-EAC1AF3EC27D}" uniqueName="21" name="Valor Libro Contable UF" queryTableFieldId="21"/>
    <tableColumn id="23" xr3:uid="{3ABE4365-F98D-45DC-8889-BC856A43DE9D}" uniqueName="23" name="Variación 2025-2024 Avalúo Total" queryTableFieldId="23"/>
    <tableColumn id="24" xr3:uid="{C8EC2C04-C707-45DF-9F54-53996A735196}" uniqueName="24" name="Variación 2025-2024 Avalúo Afecto" queryTableFieldId="24"/>
    <tableColumn id="25" xr3:uid="{6E609CE4-4FA2-44D3-9EA0-CB33A71EA9A9}" uniqueName="25" name="Variación 2025-2024 Avalúo Exento" queryTableFieldId="25"/>
    <tableColumn id="26" xr3:uid="{6519DA41-73FD-46FB-95B3-6015E9027490}" uniqueName="26" name="Superficie Neta Arq" queryTableFieldId="26"/>
    <tableColumn id="27" xr3:uid="{FB3FB858-613F-4475-841A-39F0999E336C}" uniqueName="27" name="Resolución" queryTableFieldId="27"/>
    <tableColumn id="28" xr3:uid="{13F8952F-2D2E-472E-A664-3315D1A63A4E}" uniqueName="28" name="Fecha Resolucion" queryTableFieldId="28"/>
    <tableColumn id="29" xr3:uid="{842B3CFA-9568-416A-8869-661D0BB5F25D}" uniqueName="29" name="Dirección" queryTableFieldId="29"/>
    <tableColumn id="30" xr3:uid="{DB3E6301-532D-47DC-A29E-6830BB90B25F}" uniqueName="30" name="Factibilidad eléctrica" queryTableFieldId="30"/>
    <tableColumn id="31" xr3:uid="{F400C7FC-5CF4-475A-AA40-0F008990CF42}" uniqueName="31" name="Factibilidad Sanitaria" queryTableFieldId="31"/>
    <tableColumn id="32" xr3:uid="{DB7C7B3F-8E3E-4BF5-B0D5-3A9A542C68F2}" uniqueName="32" name="Empresa Sanitaria" queryTableFieldId="32"/>
    <tableColumn id="33" xr3:uid="{AC0E780B-1A4F-4091-9DB6-84E930CA0724}" uniqueName="33" name="Garantía" queryTableFieldId="33"/>
    <tableColumn id="34" xr3:uid="{40FDE5A2-83D8-4A65-8B19-AB936E89AAED}" uniqueName="34" name="Resolucion Garantia" queryTableFieldId="34"/>
    <tableColumn id="35" xr3:uid="{13DAB8A5-0BC6-4BA7-BB7C-D917C7782B48}" uniqueName="35" name="Vencimiento de la Garantía" queryTableFieldId="35"/>
    <tableColumn id="36" xr3:uid="{673BA684-44E3-48AD-AD93-8610A444922C}" uniqueName="36" name="Modificacion de Deslindes" queryTableFieldId="36"/>
    <tableColumn id="37" xr3:uid="{12697883-590C-4CDB-8D7F-6ED2979D9B20}" uniqueName="37" name="Nueva superficie " queryTableFieldId="37"/>
    <tableColumn id="38" xr3:uid="{28CD989A-1D1D-48DA-A533-AD08A5CEF883}" uniqueName="38" name="Nueva Resolucion" queryTableFieldId="38"/>
    <tableColumn id="39" xr3:uid="{EB264ED1-8970-4FE6-849F-0A36656C078A}" uniqueName="39" name="Fecha" queryTableFieldId="39"/>
    <tableColumn id="40" xr3:uid="{88029C63-D048-4B90-B13A-16D1C23F4650}" uniqueName="40" name="UF/m2 (Comercial)" queryTableFieldId="40"/>
    <tableColumn id="41" xr3:uid="{694F2482-141B-424C-8931-25DBBE1154CD}" uniqueName="41" name="UF (Comercial Total)" queryTableFieldId="41"/>
    <tableColumn id="42" xr3:uid="{D552C90C-D4D4-40CB-B7DA-9299267ED6AF}" uniqueName="42" name="UF/m2 (Tasación)" queryTableFieldId="42"/>
    <tableColumn id="43" xr3:uid="{811936B1-9D7C-456E-A28A-6963425EBF9D}" uniqueName="43" name="UF (Tasación Total)" queryTableFieldId="43"/>
    <tableColumn id="44" xr3:uid="{E379A813-A6DE-4D5C-AE4D-F20EB976B66E}" uniqueName="44" name="UF (Liquidación Total)" queryTableFieldId="44"/>
    <tableColumn id="45" xr3:uid="{88DB5748-FE84-4A40-9230-3D3BA90221C5}" uniqueName="45" name="Fecha Tasación" queryTableFieldId="45"/>
    <tableColumn id="46" xr3:uid="{C312449F-2AA8-4FE6-BF29-3AA48B10B54B}" uniqueName="46" name="Tasador" queryTableFieldId="46"/>
    <tableColumn id="47" xr3:uid="{3DD5DD07-2977-400C-BC71-ECE86C226560}" uniqueName="47" name="Mejor tasación" queryTableFieldId="47"/>
    <tableColumn id="48" xr3:uid="{5D5A3C8C-47BB-4620-85DC-B07938CCBDCE}" uniqueName="48" name="Hipotecador" queryTableFieldId="48"/>
    <tableColumn id="49" xr3:uid="{073994EB-20FB-485A-A2A8-DA5342BC9599}" uniqueName="49" name="Usufructurario" queryTableFieldId="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42935-4538-4A60-B56A-58B02EE61127}" name="VENDIDOS" displayName="VENDIDOS" ref="A1:AV185" totalsRowShown="0" headerRowDxfId="300" headerRowBorderDxfId="299" tableBorderDxfId="298" totalsRowBorderDxfId="297">
  <autoFilter ref="A1:AV185" xr:uid="{0EB42935-4538-4A60-B56A-58B02EE61127}"/>
  <tableColumns count="48">
    <tableColumn id="1" xr3:uid="{81EF4C47-490D-4B35-BECF-8AA6F05DF40C}" name="Propietario" dataDxfId="296"/>
    <tableColumn id="2" xr3:uid="{A1F4A334-A0DC-4A65-BD79-825C37991A30}" name="Comuna" dataDxfId="295"/>
    <tableColumn id="3" xr3:uid="{BA9399E5-35B9-4E9F-A9C9-DE9718868271}" name="Identificacion Propiedad" dataDxfId="294"/>
    <tableColumn id="4" xr3:uid="{259673B2-E1ED-44C3-823E-A9569623FD18}" name="Superficie (m2)" dataDxfId="293" dataCellStyle="Millares [0]"/>
    <tableColumn id="5" xr3:uid="{5E2C9FFB-AB57-47F1-970E-06A7AB8E18C5}" name="Estatus" dataDxfId="292"/>
    <tableColumn id="6" xr3:uid="{FEE8B027-4D2F-45B8-834F-06DD6BA65848}" name="Fecha de la Venta" dataDxfId="291"/>
    <tableColumn id="7" xr3:uid="{93E344CA-633C-4CD1-A1FD-F9B47EE8D6E6}" name="Cliente" dataDxfId="290"/>
    <tableColumn id="8" xr3:uid="{CC8F39F5-EEEB-4065-BDF2-B480DA793EEE}" name="Valor de Venta UF/m2" dataDxfId="289"/>
    <tableColumn id="9" xr3:uid="{7F85590C-12DF-4437-9A72-4594DF4A7DE9}" name="Avalúo Diciembre 2024" dataDxfId="288" dataCellStyle="Moneda [0]"/>
    <tableColumn id="10" xr3:uid="{12DA6B2D-BF02-4D8E-A50C-C67904FC95D4}" name="Avalúo Exento Dic-2024" dataDxfId="287" dataCellStyle="Moneda [0]"/>
    <tableColumn id="11" xr3:uid="{E7480C04-DBE8-404C-AE22-3874A6827453}" name="Avalúo Afecto Dic-2024" dataDxfId="286" dataCellStyle="Moneda [0]"/>
    <tableColumn id="14" xr3:uid="{6599BAD0-D2C9-4CC2-9943-C7C6D887624D}" name="Avalúo Total 2025" dataDxfId="285" dataCellStyle="Moneda [0]"/>
    <tableColumn id="15" xr3:uid="{D87E4B83-A1C2-45CB-B132-047D77FD7CF6}" name="Avalúo Exento Dic-2025" dataDxfId="284" dataCellStyle="Moneda [0]"/>
    <tableColumn id="16" xr3:uid="{03D5F247-4ADA-497F-A2B8-935B93F1FE62}" name="Avalúo Afecto Dic-2025" dataDxfId="283" dataCellStyle="Moneda [0]"/>
    <tableColumn id="17" xr3:uid="{C98C2A76-4727-460F-9209-83DA07A5874F}" name="Rol Matriz" dataDxfId="282"/>
    <tableColumn id="18" xr3:uid="{667CF46D-453D-496D-A0A6-20388F2EC4D4}" name="ROL Asignado" dataDxfId="281"/>
    <tableColumn id="13" xr3:uid="{0B05A905-FFC7-46F4-A781-40C5001C4679}" name="ROL Pagador" dataDxfId="280"/>
    <tableColumn id="19" xr3:uid="{C59545E3-ECD4-40B6-854C-D079E336F52E}" name="Estado en SII/Comentarios" dataDxfId="279"/>
    <tableColumn id="20" xr3:uid="{CF95E409-C21A-4202-96F1-7FD75FF8E8C7}" name="Condicion ROL" dataDxfId="278"/>
    <tableColumn id="21" xr3:uid="{49758585-88B8-433B-AE31-E5B3E90700B3}" name="Destino SII" dataDxfId="277"/>
    <tableColumn id="24" xr3:uid="{D50A9697-032C-40E4-9533-C5C14377FE2F}" name="Valor Libro Contable UF" dataDxfId="276"/>
    <tableColumn id="25" xr3:uid="{17097F09-7F8F-4B4C-BE44-2A730702D741}" name="Variación 2025-2024 Avalúo Total" dataDxfId="275" dataCellStyle="Moneda [0]">
      <calculatedColumnFormula>+VENDIDOS[[#This Row],[Avalúo Total 2025]]-VENDIDOS[[#This Row],[Avalúo Diciembre 2024]]</calculatedColumnFormula>
    </tableColumn>
    <tableColumn id="26" xr3:uid="{B087000B-25D6-41EA-984D-4E30D6CD1358}" name="Variación 2025-2024 Avalúo Afecto" dataDxfId="274" dataCellStyle="Moneda [0]">
      <calculatedColumnFormula>+VENDIDOS[[#This Row],[Avalúo Afecto Dic-2025]]-VENDIDOS[[#This Row],[Avalúo Afecto Dic-2024]]</calculatedColumnFormula>
    </tableColumn>
    <tableColumn id="27" xr3:uid="{878EAB4A-6E94-47F0-94BB-6BFBD1E651DF}" name="Variación 2025-2024 Avalúo Exento" dataDxfId="273" dataCellStyle="Moneda [0]">
      <calculatedColumnFormula>+VENDIDOS[[#This Row],[Avalúo Exento Dic-2025]]-VENDIDOS[[#This Row],[Avalúo Exento Dic-2024]]</calculatedColumnFormula>
    </tableColumn>
    <tableColumn id="28" xr3:uid="{D43BD2F9-1C1F-4029-A453-3468D80A13EF}" name="Superficie Neta Arq" dataDxfId="272"/>
    <tableColumn id="29" xr3:uid="{ED3B9664-A7AF-49D6-B689-1DE5B0358239}" name="Resolución" dataDxfId="271"/>
    <tableColumn id="30" xr3:uid="{B6C18951-A172-439B-935B-D6A36E3403F5}" name="Fecha Resolucion" dataDxfId="270"/>
    <tableColumn id="31" xr3:uid="{2B09E27A-7D5B-483E-B3FA-8653851DD5EA}" name="Dirección" dataDxfId="269"/>
    <tableColumn id="32" xr3:uid="{9CC14A8A-6F9D-4C63-88CF-EAD624486370}" name="Factibilidad eléctrica" dataDxfId="268"/>
    <tableColumn id="33" xr3:uid="{381E4D1C-06BD-4897-91F0-503FE89F0C01}" name="Factibilidad Sanitaria" dataDxfId="267"/>
    <tableColumn id="34" xr3:uid="{12209726-92FF-4469-943A-CD78166588BF}" name="Empresa Sanitaria" dataDxfId="266"/>
    <tableColumn id="35" xr3:uid="{D772E1AA-C550-45F2-9523-57DA3804E036}" name="Garantía" dataDxfId="265"/>
    <tableColumn id="36" xr3:uid="{C317850C-4E57-418D-AD5F-B1ACB28604AB}" name="Resolucion Garantia" dataDxfId="264"/>
    <tableColumn id="37" xr3:uid="{DC6F6D7D-62E3-457D-8CF2-06F1BD53F5DD}" name="Vencimiento de la Garantía" dataDxfId="263"/>
    <tableColumn id="38" xr3:uid="{E28B64A4-4B6D-41A4-BCB6-5335C9C0A44E}" name="Modificacion de Deslindes" dataDxfId="262"/>
    <tableColumn id="39" xr3:uid="{7CD32ED2-A9BC-4959-A2D9-C65DB776816A}" name="Nueva superficie " dataDxfId="261"/>
    <tableColumn id="40" xr3:uid="{BB251876-32C2-4EDD-BEB4-F208C2850D93}" name="Nueva Resolucion" dataDxfId="260"/>
    <tableColumn id="41" xr3:uid="{4F0DDC7E-3D4F-4D28-BF26-4C66B9CB6170}" name="Fecha" dataDxfId="259"/>
    <tableColumn id="42" xr3:uid="{44753B4F-C06A-44A7-8B01-BFFF047F2369}" name="UF/m2 (Comercial)" dataDxfId="258"/>
    <tableColumn id="43" xr3:uid="{C52AA9AC-0603-481E-8017-23E0F36C4787}" name="UF (Comercial Total)" dataDxfId="257"/>
    <tableColumn id="44" xr3:uid="{946DA3AA-38B5-4EDF-B6E5-298F6CCF5DDB}" name="UF/m2 (Tasación)" dataDxfId="256"/>
    <tableColumn id="45" xr3:uid="{51A64A1E-A83D-4462-A7DD-674381CB5D40}" name="UF (Tasación Total)" dataDxfId="255"/>
    <tableColumn id="46" xr3:uid="{F127E679-E905-482C-87C0-9FBBD8507E51}" name="UF (Liquidación Total)" dataDxfId="254"/>
    <tableColumn id="47" xr3:uid="{D91BC488-3A34-4FFC-995A-2594747A0FA6}" name="Fecha Tasación" dataDxfId="253"/>
    <tableColumn id="48" xr3:uid="{676CDB47-6261-497D-8FBB-765DA158FB37}" name="Tasador" dataDxfId="252"/>
    <tableColumn id="49" xr3:uid="{914AC293-BA6C-4BE2-AB25-0E92F961E995}" name="Mejor tasación" dataDxfId="251"/>
    <tableColumn id="50" xr3:uid="{AB7921D5-B6D1-4061-9908-F8514C3CF38B}" name="Hipotecador" dataDxfId="250"/>
    <tableColumn id="51" xr3:uid="{C3820F85-33C9-4E77-9AFA-0003E5038BCE}" name="Usufructurario" dataDxfId="24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A66CC7-CE83-494A-80D3-8B12DA226B91}" name="VENDIDOS_1" displayName="VENDIDOS_1" ref="A1:AV185" tableType="queryTable" totalsRowShown="0">
  <autoFilter ref="A1:AV185" xr:uid="{4AA66CC7-CE83-494A-80D3-8B12DA226B91}"/>
  <tableColumns count="48">
    <tableColumn id="1" xr3:uid="{B523E076-1178-40E7-812A-8A9B2CD73A52}" uniqueName="1" name="Propietario" queryTableFieldId="1" dataDxfId="248"/>
    <tableColumn id="2" xr3:uid="{3C527921-E942-4836-B359-B06AD8548697}" uniqueName="2" name="Comuna" queryTableFieldId="2" dataDxfId="247"/>
    <tableColumn id="3" xr3:uid="{51488767-E796-4C38-88B8-0B24E90AB0AC}" uniqueName="3" name="Identificacion Propiedad" queryTableFieldId="3" dataDxfId="246"/>
    <tableColumn id="4" xr3:uid="{2C282CDC-7BD2-4778-BFED-F1D63B27C5CC}" uniqueName="4" name="Superficie (m2)" queryTableFieldId="4"/>
    <tableColumn id="5" xr3:uid="{07BDFD95-9D53-4011-B81C-E1A3E0FBF59F}" uniqueName="5" name="Estatus" queryTableFieldId="5" dataDxfId="245"/>
    <tableColumn id="6" xr3:uid="{CD388C2E-61AF-4462-9437-05C057E18B1B}" uniqueName="6" name="Fecha de la Venta" queryTableFieldId="6" dataDxfId="244"/>
    <tableColumn id="7" xr3:uid="{0DB64E04-FE24-4E11-8294-0E89A2B3CC32}" uniqueName="7" name="Cliente" queryTableFieldId="7" dataDxfId="243"/>
    <tableColumn id="8" xr3:uid="{9952489C-8EE2-4411-B08E-8B8FA6F00C12}" uniqueName="8" name="Valor de Venta UF/m2" queryTableFieldId="8"/>
    <tableColumn id="9" xr3:uid="{BE87C539-DA5D-4526-9F2A-EDF375A887AF}" uniqueName="9" name="Avalúo Diciembre 2024" queryTableFieldId="9"/>
    <tableColumn id="10" xr3:uid="{A95B3614-BB8E-475F-9832-C4AEF85E1652}" uniqueName="10" name="Avalúo Exento Dic-2024" queryTableFieldId="10"/>
    <tableColumn id="11" xr3:uid="{D5CEC30B-1FE4-4E45-B124-AD8BED440F7C}" uniqueName="11" name="Avalúo Afecto Dic-2024" queryTableFieldId="11"/>
    <tableColumn id="14" xr3:uid="{1680654D-BF47-44FD-A24E-315DE2CFFD7C}" uniqueName="14" name="Avalúo Total 2025" queryTableFieldId="14"/>
    <tableColumn id="15" xr3:uid="{F81CFC1F-AE8C-4B77-9FFB-D569712944E2}" uniqueName="15" name="Avalúo Exento Dic-2025" queryTableFieldId="15"/>
    <tableColumn id="16" xr3:uid="{E10268FB-62E8-4A11-8206-BD86455539DE}" uniqueName="16" name="Avalúo Afecto Dic-2025" queryTableFieldId="16"/>
    <tableColumn id="17" xr3:uid="{6B0E7EDE-126B-4E12-8861-3363BD756D6D}" uniqueName="17" name="Rol Matriz" queryTableFieldId="17" dataDxfId="242"/>
    <tableColumn id="18" xr3:uid="{A7885F16-8262-495E-91AC-24A194F1943C}" uniqueName="18" name="ROL Asignado" queryTableFieldId="18" dataDxfId="241"/>
    <tableColumn id="13" xr3:uid="{FD4CB431-DE1F-46A7-9500-B66ABCBC56A5}" uniqueName="13" name="ROL Pagador" queryTableFieldId="54"/>
    <tableColumn id="19" xr3:uid="{FB0E8334-D52C-4037-B494-34F973EEB6DB}" uniqueName="19" name="Estado en SII/Comentarios" queryTableFieldId="19" dataDxfId="240"/>
    <tableColumn id="20" xr3:uid="{579BE7F2-8B17-4DDC-AF72-C4E2113E5067}" uniqueName="20" name="Condicion ROL" queryTableFieldId="20" dataDxfId="239"/>
    <tableColumn id="21" xr3:uid="{22E3B13E-6625-4BB2-9206-0A02C03939ED}" uniqueName="21" name="Destino SII" queryTableFieldId="21" dataDxfId="238"/>
    <tableColumn id="24" xr3:uid="{51CE9E76-CF75-48EA-886A-90AAB5922220}" uniqueName="24" name="Valor Libro Contable UF" queryTableFieldId="24"/>
    <tableColumn id="25" xr3:uid="{1031F11B-D882-4653-8A91-78E1207FE3F3}" uniqueName="25" name="Variación 2025-2024 Avalúo Total" queryTableFieldId="25"/>
    <tableColumn id="26" xr3:uid="{77409352-FEE2-4D68-8779-70F5DFEBFF9F}" uniqueName="26" name="Variación 2025-2024 Avalúo Afecto" queryTableFieldId="26"/>
    <tableColumn id="27" xr3:uid="{4A8ADDC6-E83F-4AEC-AA98-3EA0DB49528D}" uniqueName="27" name="Variación 2025-2024 Avalúo Exento" queryTableFieldId="27"/>
    <tableColumn id="28" xr3:uid="{58705360-0614-4908-ABF4-4E6C93DE2B5C}" uniqueName="28" name="Superficie Neta Arq" queryTableFieldId="28"/>
    <tableColumn id="29" xr3:uid="{AD72374B-60EC-4A81-A2A0-B7772729B10D}" uniqueName="29" name="Resolución" queryTableFieldId="29"/>
    <tableColumn id="30" xr3:uid="{6BC0648E-12AA-4292-8AB4-12489A0FD23F}" uniqueName="30" name="Fecha Resolucion" queryTableFieldId="30"/>
    <tableColumn id="31" xr3:uid="{612D331A-436B-42E7-A8C2-BDFEA4F6B56D}" uniqueName="31" name="Dirección" queryTableFieldId="31" dataDxfId="237"/>
    <tableColumn id="32" xr3:uid="{41F2378B-32D4-4C98-9873-E765E607FD7A}" uniqueName="32" name="Factibilidad eléctrica" queryTableFieldId="32" dataDxfId="236"/>
    <tableColumn id="33" xr3:uid="{6E94834C-29E1-49A6-818E-29F7A5E5793B}" uniqueName="33" name="Factibilidad Sanitaria" queryTableFieldId="33" dataDxfId="235"/>
    <tableColumn id="34" xr3:uid="{5834D63B-4632-4F31-BCD5-EBCA45CB5820}" uniqueName="34" name="Empresa Sanitaria" queryTableFieldId="34" dataDxfId="234"/>
    <tableColumn id="35" xr3:uid="{91241526-B8F7-48FF-9719-1FC8A3B2E41B}" uniqueName="35" name="Garantía" queryTableFieldId="35"/>
    <tableColumn id="36" xr3:uid="{A07344A2-B810-440F-9EE6-4F4D0BCB575E}" uniqueName="36" name="Resolucion Garantia" queryTableFieldId="36"/>
    <tableColumn id="37" xr3:uid="{CACAE061-55BA-420E-80EB-B3D4E66017F4}" uniqueName="37" name="Vencimiento de la Garantía" queryTableFieldId="37"/>
    <tableColumn id="38" xr3:uid="{C4E5636E-289C-4CA6-B489-5982E738F0C8}" uniqueName="38" name="Modificacion de Deslindes" queryTableFieldId="38"/>
    <tableColumn id="39" xr3:uid="{AF6750CC-AF1B-4107-BF0D-033B07638451}" uniqueName="39" name="Nueva superficie " queryTableFieldId="39"/>
    <tableColumn id="40" xr3:uid="{86949461-1637-4D0E-8AF6-A1FE21464740}" uniqueName="40" name="Nueva Resolucion" queryTableFieldId="40"/>
    <tableColumn id="41" xr3:uid="{94BE39D4-C558-4708-B2BC-737ECDB76537}" uniqueName="41" name="Fecha" queryTableFieldId="41"/>
    <tableColumn id="42" xr3:uid="{EEF94DAF-664D-4D35-A651-055B3D5467E2}" uniqueName="42" name="UF/m2 (Comercial)" queryTableFieldId="42"/>
    <tableColumn id="43" xr3:uid="{084B79E7-069A-4104-9C83-7BD6696382F4}" uniqueName="43" name="UF (Comercial Total)" queryTableFieldId="43"/>
    <tableColumn id="44" xr3:uid="{5B242DC2-2ABE-43BB-A55D-31EA48A7ED8E}" uniqueName="44" name="UF/m2 (Tasación)" queryTableFieldId="44"/>
    <tableColumn id="45" xr3:uid="{8C97C5C7-8B6D-48B1-86F3-EFC0D50BDB78}" uniqueName="45" name="UF (Tasación Total)" queryTableFieldId="45"/>
    <tableColumn id="46" xr3:uid="{5E7BD082-15F4-40CC-9D1B-D901D6389D70}" uniqueName="46" name="UF (Liquidación Total)" queryTableFieldId="46"/>
    <tableColumn id="47" xr3:uid="{55B8BEF5-1BB5-4F5D-A5D3-11F9ABA51E9F}" uniqueName="47" name="Fecha Tasación" queryTableFieldId="47"/>
    <tableColumn id="48" xr3:uid="{2F8C5794-94CD-4C60-A1AF-806180AF0009}" uniqueName="48" name="Tasador" queryTableFieldId="48" dataDxfId="233"/>
    <tableColumn id="49" xr3:uid="{367C1A62-8778-4631-9E66-DDFA7F9EAF32}" uniqueName="49" name="Mejor tasación" queryTableFieldId="49"/>
    <tableColumn id="50" xr3:uid="{C30F1AAA-9C87-4ED9-B891-2EC76C1482D2}" uniqueName="50" name="Hipotecador" queryTableFieldId="50" dataDxfId="232"/>
    <tableColumn id="51" xr3:uid="{930FA220-FE25-4AD4-8FDA-E743D9D015B4}" uniqueName="51" name="Usufructurario" queryTableFieldId="51" dataDxfId="2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8AF16-CB55-4696-A39A-A846D1645F72}" name="FAMILIA_" displayName="FAMILIA_" ref="A1:AS83" tableType="queryTable" totalsRowShown="0">
  <autoFilter ref="A1:AS83" xr:uid="{04E8AF16-CB55-4696-A39A-A846D1645F72}"/>
  <tableColumns count="45">
    <tableColumn id="1" xr3:uid="{D779489B-E865-48D5-AEE4-CDFC89822FDB}" uniqueName="1" name="Propietario" queryTableFieldId="1" dataDxfId="230"/>
    <tableColumn id="2" xr3:uid="{444BB8A9-063D-4F71-A58C-792082D56ED4}" uniqueName="2" name="Comuna" queryTableFieldId="2" dataDxfId="229"/>
    <tableColumn id="3" xr3:uid="{28F00E86-6C21-45D5-9E4C-F507954EF449}" uniqueName="3" name="Identificacion Propiedad" queryTableFieldId="3" dataDxfId="228"/>
    <tableColumn id="4" xr3:uid="{9181AC6B-0CEC-477C-9276-0853FBBA79C6}" uniqueName="4" name="Superficie (m2)" queryTableFieldId="4"/>
    <tableColumn id="5" xr3:uid="{8F970200-976B-4F3A-B614-08421D30636B}" uniqueName="5" name="Estatus" queryTableFieldId="5" dataDxfId="227"/>
    <tableColumn id="6" xr3:uid="{830D5180-36E8-4129-BFCE-54AB8F2196CE}" uniqueName="6" name="Avalúo Diciembre 2024" queryTableFieldId="6"/>
    <tableColumn id="7" xr3:uid="{C26AA7F3-E5EE-4B3E-A83D-62D621BF9F3E}" uniqueName="7" name="Avalúo Exento Dic-2024" queryTableFieldId="7"/>
    <tableColumn id="8" xr3:uid="{899A3688-B7DC-4451-BF45-B4535085C5A9}" uniqueName="8" name="Avalúo Afecto Dic-2024" queryTableFieldId="8"/>
    <tableColumn id="11" xr3:uid="{41357ADD-CB86-4CCD-9311-18DF085CE0C1}" uniqueName="11" name="Avalúo Total 2025" queryTableFieldId="11"/>
    <tableColumn id="12" xr3:uid="{BA5B602E-0000-4A1D-85D5-40329D9874F9}" uniqueName="12" name="Avalúo Exento Dic-2025" queryTableFieldId="12"/>
    <tableColumn id="13" xr3:uid="{245E8486-0E4C-47D5-A36C-E6F6F3A829D7}" uniqueName="13" name="Avalúo Afecto Dic-2025" queryTableFieldId="13"/>
    <tableColumn id="14" xr3:uid="{61ED348C-F593-44C4-B49B-4AD61AD0AC56}" uniqueName="14" name="Rol Matriz" queryTableFieldId="14"/>
    <tableColumn id="15" xr3:uid="{A6B14F45-7860-4526-9A97-BD68DB67BC5B}" uniqueName="15" name="ROL Asignado" queryTableFieldId="15"/>
    <tableColumn id="9" xr3:uid="{60CC4C08-205D-4D04-B3E2-74450991BDDC}" uniqueName="9" name="ROL Pagador|" queryTableFieldId="51"/>
    <tableColumn id="16" xr3:uid="{8753AE36-5068-4211-8764-42A9DC6969D8}" uniqueName="16" name="Estado en SII/Comentarios" queryTableFieldId="16"/>
    <tableColumn id="17" xr3:uid="{B9DEEA2A-CD7C-425B-8C77-5215BBF2A934}" uniqueName="17" name="Condicion ROL" queryTableFieldId="17"/>
    <tableColumn id="18" xr3:uid="{CEC5CF6A-34B1-4811-988D-60834CEFE77F}" uniqueName="18" name="Destino SII" queryTableFieldId="18"/>
    <tableColumn id="21" xr3:uid="{759636F0-4206-4720-A966-2AC7E50811B5}" uniqueName="21" name="Valor Libro Contable UF" queryTableFieldId="21"/>
    <tableColumn id="23" xr3:uid="{8F0429EB-0A28-426F-A011-0F835CCDC701}" uniqueName="23" name="Variación 2025-2024 Avalúo Total" queryTableFieldId="23"/>
    <tableColumn id="24" xr3:uid="{297AA306-8AAB-4F2B-9680-99FAFE7ADF48}" uniqueName="24" name="Variación 2025-2024 Avalúo Afecto" queryTableFieldId="24"/>
    <tableColumn id="25" xr3:uid="{D538E109-CA4C-4E83-9933-768D227FEF93}" uniqueName="25" name="Variación 2025-2024 Avalúo Exento" queryTableFieldId="25"/>
    <tableColumn id="26" xr3:uid="{DB73DE55-5A82-498B-8EF3-A22D5D57F867}" uniqueName="26" name="Superficie Neta Arq" queryTableFieldId="26"/>
    <tableColumn id="27" xr3:uid="{595DA2C9-1552-4922-A00A-21B3433B136D}" uniqueName="27" name="Resolución" queryTableFieldId="27"/>
    <tableColumn id="28" xr3:uid="{3FFDE844-7C4F-4245-968C-520DA9C8E480}" uniqueName="28" name="Fecha Resolucion" queryTableFieldId="28"/>
    <tableColumn id="29" xr3:uid="{157B033E-76A2-4124-88A6-D0C177E48EA4}" uniqueName="29" name="Dirección" queryTableFieldId="29"/>
    <tableColumn id="30" xr3:uid="{ED5D44E2-032E-49D2-B6FB-97FBF561AD47}" uniqueName="30" name="Factibilidad eléctrica" queryTableFieldId="30"/>
    <tableColumn id="31" xr3:uid="{00244DCC-B9A6-40B7-A27A-62AE5A303EEB}" uniqueName="31" name="Factibilidad Sanitaria" queryTableFieldId="31"/>
    <tableColumn id="32" xr3:uid="{C6FE55B5-B476-4C14-B769-376910D20D47}" uniqueName="32" name="Empresa Sanitaria" queryTableFieldId="32"/>
    <tableColumn id="33" xr3:uid="{2047D8D8-3A0F-4899-B030-5E48B50B54DE}" uniqueName="33" name="Garantía" queryTableFieldId="33"/>
    <tableColumn id="34" xr3:uid="{7B43EBD5-4D6A-4277-B948-61DB1E1580DE}" uniqueName="34" name="Resolucion Garantia" queryTableFieldId="34"/>
    <tableColumn id="35" xr3:uid="{5345ED14-336E-4046-BCC9-E3C6920171EC}" uniqueName="35" name="Vencimiento de la Garantía" queryTableFieldId="35"/>
    <tableColumn id="36" xr3:uid="{D72AB4BE-6EA2-4705-A3DE-AA8058FD74E8}" uniqueName="36" name="Modificacion de Deslindes" queryTableFieldId="36"/>
    <tableColumn id="37" xr3:uid="{D500D711-37C5-4505-906F-D58C6C02E9B0}" uniqueName="37" name="Nueva superficie " queryTableFieldId="37"/>
    <tableColumn id="38" xr3:uid="{1D840C68-3683-47E1-A931-38E4584297BE}" uniqueName="38" name="Nueva Resolucion" queryTableFieldId="38"/>
    <tableColumn id="39" xr3:uid="{0415D41C-9AB2-49E6-A261-4A4F83C3E6E9}" uniqueName="39" name="Fecha" queryTableFieldId="39"/>
    <tableColumn id="40" xr3:uid="{41DAAA28-2DCD-42E7-A224-D955E4E60695}" uniqueName="40" name="UF/m2 (Comercial)" queryTableFieldId="40"/>
    <tableColumn id="41" xr3:uid="{22E12FF0-F4CB-4507-B04A-EDC2B2A5778A}" uniqueName="41" name="UF (Comercial Total)" queryTableFieldId="41"/>
    <tableColumn id="42" xr3:uid="{8A46EC06-2A8B-48C6-B336-E322358A0F2F}" uniqueName="42" name="UF/m2 (Tasación)" queryTableFieldId="42"/>
    <tableColumn id="43" xr3:uid="{E3E781B5-4477-4946-B1C2-825DE9D8C49B}" uniqueName="43" name="UF (Tasación Total)" queryTableFieldId="43"/>
    <tableColumn id="44" xr3:uid="{0B1A2989-4F88-4A42-9128-3E0A309C50F8}" uniqueName="44" name="UF (Liquidación Total)" queryTableFieldId="44"/>
    <tableColumn id="45" xr3:uid="{0A6C0A1B-92F8-4809-8A3E-A085D89B8FFA}" uniqueName="45" name="Fecha Tasación" queryTableFieldId="45"/>
    <tableColumn id="46" xr3:uid="{E4A32D2A-F88A-411A-AEA2-296A301E72CE}" uniqueName="46" name="Tasador" queryTableFieldId="46"/>
    <tableColumn id="47" xr3:uid="{C6A8896B-57E7-436B-91EE-40B5ABF9CA53}" uniqueName="47" name="Mejor tasación" queryTableFieldId="47"/>
    <tableColumn id="48" xr3:uid="{164DBE38-86D0-49BA-A222-C7B4239D096E}" uniqueName="48" name="Hipotecador" queryTableFieldId="48"/>
    <tableColumn id="49" xr3:uid="{FB8D5A51-A4C5-4AF0-B6B5-7A07E3827C2C}" uniqueName="49" name="Usufructurario" queryTableFieldId="4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093194-85FA-4FF3-B943-41DE12DF6CA1}" name="DISPONIBLES_1" displayName="DISPONIBLES_1" ref="A1:AU151" tableType="queryTable" totalsRowShown="0">
  <autoFilter ref="A1:AU151" xr:uid="{5F093194-85FA-4FF3-B943-41DE12DF6CA1}"/>
  <tableColumns count="47">
    <tableColumn id="1" xr3:uid="{45ED54D3-4344-4A85-B8B7-E5FF56B34DAB}" uniqueName="1" name="Propietario" queryTableFieldId="1" dataDxfId="226"/>
    <tableColumn id="2" xr3:uid="{7B8B58C3-D006-42A9-B0DC-5E43E63AA73E}" uniqueName="2" name="Comuna" queryTableFieldId="2" dataDxfId="225"/>
    <tableColumn id="3" xr3:uid="{6C0AADA7-F70D-4AE4-B344-47B9F3DA71AA}" uniqueName="3" name="Identificacion Propiedad" queryTableFieldId="3" dataDxfId="224"/>
    <tableColumn id="10" xr3:uid="{02EE3CF0-DCE2-4097-A966-15B17F8550F3}" uniqueName="10" name="Detalle TGR" queryTableFieldId="51"/>
    <tableColumn id="4" xr3:uid="{494F3F35-0E5E-4803-AF47-A7101AD1C61F}" uniqueName="4" name="Superficie (m2)" queryTableFieldId="4" dataDxfId="223"/>
    <tableColumn id="5" xr3:uid="{80A305CA-5A77-4C0A-8673-D0706BA256B6}" uniqueName="5" name="Estatus" queryTableFieldId="5"/>
    <tableColumn id="6" xr3:uid="{912F1827-9056-4B77-AE20-1D5BE38322DE}" uniqueName="6" name="Avalúo Total 2024" queryTableFieldId="55"/>
    <tableColumn id="7" xr3:uid="{6FD7F6A2-2095-439D-A13F-231BD8B78546}" uniqueName="7" name="Avalúo Exento Dic-2024" queryTableFieldId="7"/>
    <tableColumn id="8" xr3:uid="{1886064A-44BC-4D30-BAB1-69D145EEACD8}" uniqueName="8" name="Avalúo Afecto Dic-2024" queryTableFieldId="8"/>
    <tableColumn id="11" xr3:uid="{32CA33B9-98AE-4DBB-9A7C-8152DDE6913E}" uniqueName="11" name="Avalúo Total 2025" queryTableFieldId="11"/>
    <tableColumn id="12" xr3:uid="{5976FA08-A71E-403F-98E4-DF9955C24C99}" uniqueName="12" name="Avalúo Exento Dic-2025" queryTableFieldId="12"/>
    <tableColumn id="13" xr3:uid="{C7499ABB-3A14-4365-B2D9-9F4A8219540B}" uniqueName="13" name="Avalúo Afecto Dic-2025" queryTableFieldId="13"/>
    <tableColumn id="14" xr3:uid="{B5446957-F492-4F17-9241-4FBABC1BF749}" uniqueName="14" name="Rol Matriz" queryTableFieldId="14" dataDxfId="222"/>
    <tableColumn id="15" xr3:uid="{17D0894F-3219-4F5A-8BDD-E214F2B69572}" uniqueName="15" name="ROL Asignado" queryTableFieldId="15" dataDxfId="221"/>
    <tableColumn id="19" xr3:uid="{CCDBBFA7-746A-4E8E-8658-994DEC44502C}" uniqueName="19" name="ROL Pagador" queryTableFieldId="52"/>
    <tableColumn id="16" xr3:uid="{82AE6D7D-542E-4A50-9BF4-200234CDFA65}" uniqueName="16" name="Estado en SII/Comentarios" queryTableFieldId="16"/>
    <tableColumn id="17" xr3:uid="{DE54A323-0294-4F8A-9CC5-F751C0901951}" uniqueName="17" name="Condicion ROL" queryTableFieldId="17"/>
    <tableColumn id="18" xr3:uid="{AA6FEFC6-6FCB-4095-98F7-578F7B2DEA17}" uniqueName="18" name="Destino SII" queryTableFieldId="18"/>
    <tableColumn id="9" xr3:uid="{A083ECA0-E3D9-4557-B4A7-ACDF4B707EBF}" uniqueName="9" name="Valor Libro Contable $" queryTableFieldId="56"/>
    <tableColumn id="23" xr3:uid="{C9CBCFCA-E49C-4439-A53F-CE1534BD418A}" uniqueName="23" name="Variación 2025-2024 Avalúo Total" queryTableFieldId="23"/>
    <tableColumn id="24" xr3:uid="{A130A1C7-8A2F-4225-A07A-D5984DF9BEB2}" uniqueName="24" name="Variación 2025-2024 Avalúo Afecto" queryTableFieldId="24"/>
    <tableColumn id="25" xr3:uid="{9CFC9B46-CD1B-4514-A32B-6EFAE7A7C07C}" uniqueName="25" name="Variación 2025-2024 Avalúo Exento" queryTableFieldId="25"/>
    <tableColumn id="26" xr3:uid="{9D772EA1-5407-460F-AC82-28130EB97DE0}" uniqueName="26" name="Superficie Neta Arq" queryTableFieldId="26"/>
    <tableColumn id="27" xr3:uid="{FE3B8FAF-A793-4EF0-82AB-4EE582237F6B}" uniqueName="27" name="Resolución" queryTableFieldId="27"/>
    <tableColumn id="28" xr3:uid="{FBDFE8A5-DFD7-416D-B785-26E6F6370D78}" uniqueName="28" name="Fecha Resolucion" queryTableFieldId="28"/>
    <tableColumn id="29" xr3:uid="{AE476665-3049-45FD-8FE6-AB92333BAB8C}" uniqueName="29" name="Dirección" queryTableFieldId="29" dataDxfId="220"/>
    <tableColumn id="30" xr3:uid="{950AADA0-579F-40B4-9E90-D680FF3ED65A}" uniqueName="30" name="Factibilidad eléctrica" queryTableFieldId="30"/>
    <tableColumn id="31" xr3:uid="{78A46002-6017-43AB-98F5-9A47CA8432DE}" uniqueName="31" name="Factibilidad Sanitaria" queryTableFieldId="31"/>
    <tableColumn id="32" xr3:uid="{7D175324-63C8-4F5F-96B7-4A7C1A795C87}" uniqueName="32" name="Empresa Sanitaria" queryTableFieldId="32"/>
    <tableColumn id="33" xr3:uid="{CDD028E0-DF37-408A-9AA1-7DCC440D0AF1}" uniqueName="33" name="Garantía" queryTableFieldId="33"/>
    <tableColumn id="34" xr3:uid="{F2C34E17-4341-4000-A6CB-56120816964E}" uniqueName="34" name="Resolucion Garantia" queryTableFieldId="34"/>
    <tableColumn id="35" xr3:uid="{D9B2EB95-AB94-48AB-912D-14E56FA23E33}" uniqueName="35" name="Vencimiento de la Garantía" queryTableFieldId="35"/>
    <tableColumn id="36" xr3:uid="{883E77D8-BCE9-4ECD-B6A9-FFA46E8CED4D}" uniqueName="36" name="Modificacion de Deslindes" queryTableFieldId="36"/>
    <tableColumn id="37" xr3:uid="{20EF04C9-19A1-4D61-90D5-6890CF718225}" uniqueName="37" name="Nueva superficie " queryTableFieldId="37"/>
    <tableColumn id="38" xr3:uid="{3C514C00-AF42-4216-AF07-FB65F0497288}" uniqueName="38" name="Nueva Resolucion" queryTableFieldId="38"/>
    <tableColumn id="39" xr3:uid="{ECDBC58A-C6CD-4286-AEA2-65831B813143}" uniqueName="39" name="Fecha" queryTableFieldId="39"/>
    <tableColumn id="40" xr3:uid="{9FBABF98-7743-49B3-B320-D665933DC2F1}" uniqueName="40" name="UF/m2 (Comercial)" queryTableFieldId="40"/>
    <tableColumn id="41" xr3:uid="{9790A763-E4AE-42BB-80EC-8F9F7B4DFF22}" uniqueName="41" name="UF (Comercial Total)" queryTableFieldId="41"/>
    <tableColumn id="42" xr3:uid="{66A84618-CB79-4CDC-9D30-1BAAF638B536}" uniqueName="42" name="UF/m2 (Tasación)" queryTableFieldId="42"/>
    <tableColumn id="43" xr3:uid="{76BE403E-97D2-4FD4-93E0-505F1A8DD1AE}" uniqueName="43" name="UF (Tasación Total)" queryTableFieldId="43"/>
    <tableColumn id="44" xr3:uid="{D4CDE5C4-2491-494B-8D21-87F63DD74141}" uniqueName="44" name="UF (Liquidación Total)" queryTableFieldId="44"/>
    <tableColumn id="45" xr3:uid="{5FE9B0A8-38AB-4B50-8F26-40A995998A07}" uniqueName="45" name="Fecha Tasación" queryTableFieldId="45"/>
    <tableColumn id="46" xr3:uid="{0BD6B85D-1B79-4D52-B637-AEF4BD0F76F5}" uniqueName="46" name="Tasador" queryTableFieldId="46"/>
    <tableColumn id="47" xr3:uid="{2BFE2E10-CE29-4190-B4A3-5F3F0DD7979C}" uniqueName="47" name="Mejor tasación" queryTableFieldId="47"/>
    <tableColumn id="48" xr3:uid="{552956CF-731E-4F44-9B29-BCBE7596C5A2}" uniqueName="48" name="Hipotecador" queryTableFieldId="48"/>
    <tableColumn id="49" xr3:uid="{7493D6EB-F01B-4FBE-93D1-3295AFCFC0A6}" uniqueName="49" name="Usufructurario" queryTableFieldId="49"/>
    <tableColumn id="50" xr3:uid="{8983B566-5FAC-40F7-BED7-9334F97DB0B3}" uniqueName="50" name="TIPO" queryTableFieldId="5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A32B6-CB7A-4FF4-BAFE-7838AEEC9A2F}" name="DISPONIBLES" displayName="DISPONIBLES" ref="A1:AT151" totalsRowShown="0" headerRowDxfId="219" headerRowBorderDxfId="218" tableBorderDxfId="217" totalsRowBorderDxfId="216">
  <autoFilter ref="A1:AT151" xr:uid="{F3EA32B6-CB7A-4FF4-BAFE-7838AEEC9A2F}"/>
  <tableColumns count="46">
    <tableColumn id="1" xr3:uid="{2BDDC559-2D25-4619-8ED1-011DF39770DC}" name="Propietario" dataDxfId="215"/>
    <tableColumn id="2" xr3:uid="{D5668728-EF98-4E84-8F5B-FF508249CC84}" name="Comuna" dataDxfId="214"/>
    <tableColumn id="3" xr3:uid="{7ED1BED0-AE07-4B98-8937-5590E0997431}" name="Identificacion Propiedad" dataDxfId="213"/>
    <tableColumn id="51" xr3:uid="{CC804069-4FE3-4649-9034-3C43A43BE171}" name="Detalle TGR" dataDxfId="212"/>
    <tableColumn id="4" xr3:uid="{48D10B71-A74A-4DB5-AB61-41ED0361CB5A}" name="Superficie (m2)" dataDxfId="211" dataCellStyle="Millares [0]"/>
    <tableColumn id="5" xr3:uid="{1534F430-BF66-49BF-A8A6-4EFBB6764D79}" name="Estatus" dataDxfId="210"/>
    <tableColumn id="6" xr3:uid="{E9F1C92B-064B-4F28-BDF0-546412DFF11E}" name="Avalúo Total 2024" dataDxfId="209" dataCellStyle="Millares [0]"/>
    <tableColumn id="7" xr3:uid="{1C9B34E4-B0D1-4E9F-BA4C-7219C234DA49}" name="Avalúo Exento Dic-2024" dataDxfId="208" dataCellStyle="Millares [0]"/>
    <tableColumn id="8" xr3:uid="{A31936F8-FB93-4155-B6BD-803C6A2A4E61}" name="Avalúo Afecto Dic-2024" dataDxfId="207" dataCellStyle="Millares [0]"/>
    <tableColumn id="11" xr3:uid="{8CABE6A8-4F62-4A19-9DA7-6121B5AD73A3}" name="Avalúo Total 2025" dataDxfId="206" dataCellStyle="Millares [0]"/>
    <tableColumn id="12" xr3:uid="{69013801-74A1-4292-840D-92167C293276}" name="Avalúo Exento Dic-2025" dataDxfId="205" dataCellStyle="Millares [0]"/>
    <tableColumn id="13" xr3:uid="{DACF27B2-8302-40E8-80C3-8FAFA4766148}" name="Avalúo Afecto Dic-2025" dataDxfId="204" dataCellStyle="Millares [0]"/>
    <tableColumn id="14" xr3:uid="{8B7119C5-7108-46AA-8DA6-411557861B66}" name="Rol Matriz" dataDxfId="203"/>
    <tableColumn id="15" xr3:uid="{6EF912A5-287D-438E-A827-857AAAF02A1C}" name="ROL Asignado" dataDxfId="202"/>
    <tableColumn id="50" xr3:uid="{57563FB8-E2EE-41E7-88E9-63145881B621}" name="ROL Pagador" dataDxfId="201"/>
    <tableColumn id="16" xr3:uid="{034A6766-7F5D-448D-B157-C4B99CCAB5FD}" name="Estado en SII/Comentarios" dataDxfId="200"/>
    <tableColumn id="17" xr3:uid="{40EC95CE-E123-49ED-862D-DC3C6E228BFC}" name="Condicion ROL" dataDxfId="199"/>
    <tableColumn id="18" xr3:uid="{5CBC18D1-FC50-4586-B38D-16CF4BEF70CB}" name="Destino SII" dataDxfId="198"/>
    <tableColumn id="21" xr3:uid="{1A8EA536-61F4-426B-A946-751B557105A6}" name="Valor Libro Contable $" dataDxfId="197"/>
    <tableColumn id="23" xr3:uid="{1DCA747C-63FE-48C3-99CE-2DECDF093775}" name="Variación 2025-2024 Avalúo Total" dataDxfId="196" dataCellStyle="Moneda [0]">
      <calculatedColumnFormula>+DISPONIBLES[[#This Row],[Avalúo Total 2025]]-DISPONIBLES[[#This Row],[Avalúo Total 2024]]</calculatedColumnFormula>
    </tableColumn>
    <tableColumn id="24" xr3:uid="{95BEE3E6-9432-46A9-9DDD-9CEA45CB2267}" name="Variación 2025-2024 Avalúo Afecto" dataDxfId="195" dataCellStyle="Moneda [0]">
      <calculatedColumnFormula>+DISPONIBLES[[#This Row],[Avalúo Afecto Dic-2025]]-DISPONIBLES[[#This Row],[Avalúo Afecto Dic-2024]]</calculatedColumnFormula>
    </tableColumn>
    <tableColumn id="25" xr3:uid="{03F94B28-5167-489D-B5C1-08F38ACCC462}" name="Variación 2025-2024 Avalúo Exento" dataDxfId="194" dataCellStyle="Moneda [0]">
      <calculatedColumnFormula>+DISPONIBLES[[#This Row],[Avalúo Exento Dic-2025]]-DISPONIBLES[[#This Row],[Avalúo Exento Dic-2024]]</calculatedColumnFormula>
    </tableColumn>
    <tableColumn id="26" xr3:uid="{C66A8D85-E02E-4E18-90C5-302371B458C3}" name="Superficie Neta Arq" dataDxfId="193"/>
    <tableColumn id="27" xr3:uid="{84B1988E-E4E4-4FE4-B7D3-24795ABCFFAB}" name="Resolución" dataDxfId="192"/>
    <tableColumn id="28" xr3:uid="{E9B3086E-CA79-4253-BFAA-F2D5B2122FB0}" name="Fecha Resolucion" dataDxfId="191"/>
    <tableColumn id="29" xr3:uid="{D39AD0C4-201D-4208-AADF-5665BB5376B3}" name="Dirección" dataDxfId="190"/>
    <tableColumn id="30" xr3:uid="{9F41881F-5B0E-49BC-B57C-A4802CFBF62D}" name="Factibilidad eléctrica" dataDxfId="189"/>
    <tableColumn id="31" xr3:uid="{55F4FE83-7E45-493C-A296-0A963C0823B3}" name="Factibilidad Sanitaria" dataDxfId="188"/>
    <tableColumn id="32" xr3:uid="{0D6EC111-8DDE-450A-BBDD-81359067473F}" name="Empresa Sanitaria" dataDxfId="187"/>
    <tableColumn id="33" xr3:uid="{E2EF36C9-669B-4A2E-AD5F-9BD01B563311}" name="Garantía" dataDxfId="186"/>
    <tableColumn id="34" xr3:uid="{70CB111F-FD93-4EA1-A0CC-C944A5E93F5A}" name="Resolucion Garantia" dataDxfId="185"/>
    <tableColumn id="35" xr3:uid="{F780658E-BC0A-4677-973E-0E62F22079CA}" name="Vencimiento de la Garantía" dataDxfId="184"/>
    <tableColumn id="36" xr3:uid="{53EB292D-E5E3-480D-9E48-5E17D8FED54C}" name="Modificacion de Deslindes" dataDxfId="183"/>
    <tableColumn id="37" xr3:uid="{3165934D-2BA7-4500-AAC6-BEF7812288E1}" name="Nueva superficie " dataDxfId="182"/>
    <tableColumn id="38" xr3:uid="{D258D5F3-A694-4147-ACF9-EDE2D287A823}" name="Nueva Resolucion" dataDxfId="181"/>
    <tableColumn id="39" xr3:uid="{14F22939-08E2-436F-86C8-947922C20E49}" name="Fecha" dataDxfId="180"/>
    <tableColumn id="40" xr3:uid="{C4F62A0C-5772-4297-A1FA-16E3F761067F}" name="UF/m2 (Comercial)" dataDxfId="179"/>
    <tableColumn id="41" xr3:uid="{0AEF53AA-057E-41F7-8DA4-B1BA19AA0740}" name="UF (Comercial Total)" dataDxfId="178" dataCellStyle="Millares [0]"/>
    <tableColumn id="42" xr3:uid="{ED7DDD5E-AC49-4C6E-9076-2C8C560F0ECD}" name="UF/m2 (Tasación)" dataDxfId="177" dataCellStyle="Millares"/>
    <tableColumn id="43" xr3:uid="{C9B394CC-67F3-4441-84D3-3B5DD1177AB4}" name="UF (Tasación Total)" dataDxfId="176" dataCellStyle="Millares [0]"/>
    <tableColumn id="44" xr3:uid="{858BF567-03D2-4162-8397-9C5BD2AADA02}" name="UF (Liquidación Total)" dataDxfId="175" dataCellStyle="Millares [0]"/>
    <tableColumn id="45" xr3:uid="{5FD529C9-7107-447E-8146-4C2B192D16C2}" name="Fecha Tasación" dataDxfId="174"/>
    <tableColumn id="46" xr3:uid="{F1156787-416E-4574-8DAB-A8290A1473E5}" name="Tasador" dataDxfId="173"/>
    <tableColumn id="47" xr3:uid="{202681D1-C9F5-4454-9604-594BA36EA22E}" name="Mejor tasación" dataDxfId="172" dataCellStyle="Millares [0]"/>
    <tableColumn id="48" xr3:uid="{07A404E0-2996-4078-AD35-EA842F8452DB}" name="Hipotecador" dataDxfId="171"/>
    <tableColumn id="49" xr3:uid="{59626637-B9DE-43A1-9E47-70BB4153A270}" name="Usufructurario" dataDxfId="17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0618BD-3347-4DBD-9651-152E2A65CF6A}" name="OTROS" displayName="OTROS" ref="A1:AS82" totalsRowShown="0" headerRowDxfId="169" headerRowBorderDxfId="168" tableBorderDxfId="167" totalsRowBorderDxfId="166">
  <autoFilter ref="A1:AS82" xr:uid="{C10618BD-3347-4DBD-9651-152E2A65CF6A}"/>
  <tableColumns count="45">
    <tableColumn id="1" xr3:uid="{1AF9844B-2D8B-47E1-B7E5-88A5EB19CAD4}" name="Propietario" dataDxfId="165"/>
    <tableColumn id="2" xr3:uid="{E2E41B41-4B8D-4FF8-B523-D03C4B674500}" name="Comuna" dataDxfId="164"/>
    <tableColumn id="3" xr3:uid="{C77782EF-459A-4436-9DBF-9EDBD51856EA}" name="Identificacion Propiedad" dataDxfId="163"/>
    <tableColumn id="4" xr3:uid="{01B25B4B-6B70-4A2C-ADA1-E2D2BD146F22}" name="Superficie (m2)" dataDxfId="162" dataCellStyle="Millares [0]"/>
    <tableColumn id="5" xr3:uid="{7EDFF34A-249C-4AD5-8C00-2169622A69BF}" name="Estatus" dataDxfId="161"/>
    <tableColumn id="6" xr3:uid="{BBA4DE2A-BE5C-463B-B5C2-A7CD1B49EA90}" name="Avalúo Diciembre 2024" dataDxfId="160"/>
    <tableColumn id="7" xr3:uid="{E0C9FB73-FA18-4F8B-9689-C4095EC8FC33}" name="Avalúo Exento Dic-2024" dataDxfId="159"/>
    <tableColumn id="8" xr3:uid="{22CF8C25-85BE-4AC0-8732-65FA3C53A7F8}" name="Avalúo Afecto Dic-2024" dataDxfId="158"/>
    <tableColumn id="11" xr3:uid="{0DC8EF6D-3EF5-4A1C-A3F9-988AE4472F98}" name="Avalúo Total 2025" dataDxfId="157" dataCellStyle="Millares [0]"/>
    <tableColumn id="12" xr3:uid="{5CC159DA-D11A-41A5-BF38-EC7C36FB2C3C}" name="Avalúo Exento Dic-2025" dataDxfId="156" dataCellStyle="Millares [0]"/>
    <tableColumn id="13" xr3:uid="{C81F5584-C5D7-4B16-9AC6-61729B9FD387}" name="Avalúo Afecto Dic-2025" dataDxfId="155" dataCellStyle="Millares [0]"/>
    <tableColumn id="14" xr3:uid="{7830E93C-06CE-4C60-BEBE-600CF217EF5D}" name="Rol Matriz" dataDxfId="154" dataCellStyle="Millares [0]"/>
    <tableColumn id="15" xr3:uid="{71E674E1-5C0C-40FF-828D-B63EA34C99B4}" name="ROL Asignado" dataDxfId="153" dataCellStyle="Millares [0]"/>
    <tableColumn id="19" xr3:uid="{306722EA-74F6-4684-B476-1186985407A6}" name="ROL Pagador" dataDxfId="152" dataCellStyle="Millares [0]"/>
    <tableColumn id="16" xr3:uid="{F67A3A9D-210F-400F-80DD-B3E98F9D5CD0}" name="Estado en SII/Comentarios" dataDxfId="151" dataCellStyle="Millares [0]"/>
    <tableColumn id="17" xr3:uid="{833B4961-7892-4D0E-9F55-F8C197A9F0F7}" name="Condicion ROL" dataDxfId="150"/>
    <tableColumn id="18" xr3:uid="{6B492011-A9EB-4C5B-A3AD-BE75ABE913E8}" name="Destino SII" dataDxfId="149"/>
    <tableColumn id="21" xr3:uid="{9FDBE834-ADC0-41DB-8AB5-C3B8968CF6ED}" name="Valor Libro Contable UF" dataDxfId="148"/>
    <tableColumn id="23" xr3:uid="{993D53C7-C5D1-4738-895C-D80CCB502745}" name="Variación 2025-2024 Avalúo Total" dataDxfId="147">
      <calculatedColumnFormula>+OTROS[[#This Row],[Avalúo Total 2025]]-OTROS[[#This Row],[Avalúo Diciembre 2024]]</calculatedColumnFormula>
    </tableColumn>
    <tableColumn id="24" xr3:uid="{7FAB39D4-81D4-4F30-AF5E-2DCF599606CE}" name="Variación 2025-2024 Avalúo Afecto" dataDxfId="146">
      <calculatedColumnFormula>+OTROS[[#This Row],[Avalúo Afecto Dic-2025]]-OTROS[[#This Row],[Avalúo Afecto Dic-2024]]</calculatedColumnFormula>
    </tableColumn>
    <tableColumn id="25" xr3:uid="{1132B62A-2F47-42F2-99D1-5C4BD834166D}" name="Variación 2025-2024 Avalúo Exento" dataDxfId="145">
      <calculatedColumnFormula>+OTROS[[#This Row],[Avalúo Exento Dic-2025]]-OTROS[[#This Row],[Avalúo Exento Dic-2024]]</calculatedColumnFormula>
    </tableColumn>
    <tableColumn id="26" xr3:uid="{A6CFE3ED-999A-4B3F-8362-E45CE7C22BF2}" name="Superficie Neta Arq" dataDxfId="144"/>
    <tableColumn id="27" xr3:uid="{5579CA92-AC26-44E7-A311-F451C35CB94F}" name="Resolución" dataDxfId="143"/>
    <tableColumn id="28" xr3:uid="{8C0DDD57-51E2-4AC4-850F-DA8377C2FBB6}" name="Fecha Resolucion" dataDxfId="142"/>
    <tableColumn id="29" xr3:uid="{71F3A463-539E-41E1-AFF8-5390FEAD5910}" name="Dirección" dataDxfId="141"/>
    <tableColumn id="30" xr3:uid="{EE44CC13-6E2A-4821-9E54-BD044E800DF6}" name="Factibilidad eléctrica" dataDxfId="140"/>
    <tableColumn id="31" xr3:uid="{43F324B7-6C3A-42DA-AF67-AB4B4F36CDEF}" name="Factibilidad Sanitaria" dataDxfId="139"/>
    <tableColumn id="32" xr3:uid="{88E0E956-7FEE-4541-8FF4-5C03D34A0CE0}" name="Empresa Sanitaria" dataDxfId="138"/>
    <tableColumn id="33" xr3:uid="{EA86A897-1D0B-4B93-A1D2-27C5D974D0AF}" name="Garantía" dataDxfId="137"/>
    <tableColumn id="34" xr3:uid="{C3F5C08B-62C1-4631-A909-0B6058DF19C4}" name="Resolucion Garantia" dataDxfId="136"/>
    <tableColumn id="35" xr3:uid="{874899E1-EDC9-4212-9816-5C51430C9DA7}" name="Vencimiento de la Garantía" dataDxfId="135"/>
    <tableColumn id="36" xr3:uid="{33BAE8E0-F0E1-46E9-910A-A06B641CA8B8}" name="Modificacion de Deslindes" dataDxfId="134"/>
    <tableColumn id="37" xr3:uid="{4906DCF9-BE56-4723-ACB7-C3920311FBBF}" name="Nueva superficie " dataDxfId="133"/>
    <tableColumn id="38" xr3:uid="{937525FB-93BA-4706-8A3C-84ECADC0A1AB}" name="Nueva Resolucion" dataDxfId="132"/>
    <tableColumn id="39" xr3:uid="{B5C3B37D-09C4-40D1-B2B5-63F29F14D69C}" name="Fecha" dataDxfId="131"/>
    <tableColumn id="40" xr3:uid="{36CC3100-F46D-437D-A287-BE5A2AD46B3D}" name="UF/m2 (Comercial)" dataDxfId="130"/>
    <tableColumn id="41" xr3:uid="{FEBBCC15-9CA8-49CD-B816-3537E11167E8}" name="UF (Comercial Total)" dataDxfId="129"/>
    <tableColumn id="42" xr3:uid="{4C7B8525-F7EA-4804-A598-DEAA56744DED}" name="UF/m2 (Tasación)" dataDxfId="128"/>
    <tableColumn id="43" xr3:uid="{EFE3CE1B-E999-4B6B-BC52-EEE56E2D5EFD}" name="UF (Tasación Total)" dataDxfId="127"/>
    <tableColumn id="44" xr3:uid="{1CD7A5C7-46E2-4A89-A170-DDEF3DA9ABF0}" name="UF (Liquidación Total)" dataDxfId="126"/>
    <tableColumn id="45" xr3:uid="{DCDBE9E6-8B0F-4230-9235-16AE5A5913D3}" name="Fecha Tasación" dataDxfId="125"/>
    <tableColumn id="46" xr3:uid="{32452212-97DF-4829-A43B-14DB9A353DF2}" name="Tasador" dataDxfId="124"/>
    <tableColumn id="47" xr3:uid="{FF317EF1-8E2F-4F57-AB27-F9024E966FC6}" name="Mejor tasación" dataDxfId="123"/>
    <tableColumn id="48" xr3:uid="{568C317C-AC9F-4E4A-9FB6-9FD1586C0317}" name="Hipotecador" dataDxfId="122"/>
    <tableColumn id="49" xr3:uid="{C93984EE-DE8B-480F-947C-69AF59810EDB}" name="Usufructurario" dataDxfId="12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8186F4-1274-4B0F-9B1A-0268922DF8DE}" name="FAMILIA" displayName="FAMILIA" ref="A1:AS83" totalsRowShown="0" headerRowDxfId="120" headerRowBorderDxfId="119" tableBorderDxfId="118" totalsRowBorderDxfId="117">
  <autoFilter ref="A1:AS83" xr:uid="{5B8186F4-1274-4B0F-9B1A-0268922DF8DE}"/>
  <tableColumns count="45">
    <tableColumn id="1" xr3:uid="{6132F23D-ED7F-4F40-9B94-D0161332769C}" name="Propietario" dataDxfId="116"/>
    <tableColumn id="2" xr3:uid="{F7E47FDC-527A-4EB1-8850-33A4F7C105FA}" name="Comuna" dataDxfId="115"/>
    <tableColumn id="3" xr3:uid="{78FEFCE7-30E3-4C59-9025-2F424C85D712}" name="Identificacion Propiedad" dataDxfId="114"/>
    <tableColumn id="4" xr3:uid="{54105F94-A501-46F0-9F02-7C928E9AFBFC}" name="Superficie (m2)" dataDxfId="113"/>
    <tableColumn id="5" xr3:uid="{5658C920-CE88-4DB2-94F4-F411A289105B}" name="Estatus" dataDxfId="112"/>
    <tableColumn id="6" xr3:uid="{5AFCD47F-62DE-47E8-82E4-F1DF9CBE5D42}" name="Avalúo Diciembre 2024" dataDxfId="111" dataCellStyle="Moneda [0]"/>
    <tableColumn id="7" xr3:uid="{9B0772A6-1688-46BD-8BA3-A09FC54F8E57}" name="Avalúo Exento Dic-2024" dataDxfId="110" dataCellStyle="Moneda [0]"/>
    <tableColumn id="8" xr3:uid="{91F8BEC9-CFE6-44B7-AE03-440424D0BC34}" name="Avalúo Afecto Dic-2024" dataDxfId="109" dataCellStyle="Moneda [0]"/>
    <tableColumn id="11" xr3:uid="{8FC16FE4-68F2-4445-972F-EB73D5FFD5A0}" name="Avalúo Total 2025" dataDxfId="108" dataCellStyle="Moneda [0]"/>
    <tableColumn id="12" xr3:uid="{5ED23FE8-92BD-4329-9FCC-50462EB23887}" name="Avalúo Exento Dic-2025" dataDxfId="107" dataCellStyle="Moneda [0]"/>
    <tableColumn id="13" xr3:uid="{F448C9BD-E6BD-4AB8-8C9C-9E935CBC720D}" name="Avalúo Afecto Dic-2025" dataDxfId="106" dataCellStyle="Moneda [0]"/>
    <tableColumn id="14" xr3:uid="{16E67E2A-C8E6-4EEF-832A-D1D790CC07C9}" name="Rol Matriz" dataDxfId="105"/>
    <tableColumn id="15" xr3:uid="{4F4C6A56-4180-4A5C-B054-705C88D5B918}" name="ROL Asignado" dataDxfId="104"/>
    <tableColumn id="9" xr3:uid="{11CD687C-7036-4C22-ADC0-1F81FE05647A}" name="ROL Pagador|" dataDxfId="103">
      <calculatedColumnFormula>_xlfn.XLOOKUP(FAMILIA[[#This Row],[Identificacion Propiedad]],[1]!BBDD_Terrenos[Identificacion Propiedad],[1]!BBDD_Terrenos[Rol Pagador2],"no")</calculatedColumnFormula>
    </tableColumn>
    <tableColumn id="16" xr3:uid="{4479EE7D-B3F9-40BB-80B4-A1BE02306C13}" name="Estado en SII/Comentarios" dataDxfId="102"/>
    <tableColumn id="17" xr3:uid="{706A7EA7-0235-4D0B-A940-84624E27AD72}" name="Condicion ROL" dataDxfId="101"/>
    <tableColumn id="18" xr3:uid="{8AF31649-38D3-436C-813C-A6D39582DE79}" name="Destino SII" dataDxfId="100"/>
    <tableColumn id="21" xr3:uid="{46399615-E858-4605-AC6F-CA65B10F3303}" name="Valor Libro Contable UF" dataDxfId="99"/>
    <tableColumn id="23" xr3:uid="{B9C13E51-769A-47C1-BA24-1096200AC875}" name="Variación 2025-2024 Avalúo Total" dataDxfId="98"/>
    <tableColumn id="24" xr3:uid="{17950F66-B7DD-412C-B205-4A55EEE8BBB4}" name="Variación 2025-2024 Avalúo Afecto" dataDxfId="97"/>
    <tableColumn id="25" xr3:uid="{A6A24832-3C71-4C22-96A3-4C92A6903CB4}" name="Variación 2025-2024 Avalúo Exento" dataDxfId="96"/>
    <tableColumn id="26" xr3:uid="{53EFB199-887D-4982-9243-E3659D7EC13E}" name="Superficie Neta Arq" dataDxfId="95"/>
    <tableColumn id="27" xr3:uid="{533E0342-08D3-4CBD-A36E-5CFC80B8B6D8}" name="Resolución" dataDxfId="94"/>
    <tableColumn id="28" xr3:uid="{3E8262C9-6A59-4946-BC78-804B08739EF5}" name="Fecha Resolucion" dataDxfId="93"/>
    <tableColumn id="29" xr3:uid="{5B607292-F9CF-4FDD-8440-AC6A03B781B9}" name="Dirección" dataDxfId="92"/>
    <tableColumn id="30" xr3:uid="{B074B1D2-1735-4975-8BA4-D78990F9A89A}" name="Factibilidad eléctrica" dataDxfId="91"/>
    <tableColumn id="31" xr3:uid="{F3A1C135-2FD6-468F-85CB-4E5C3DF9A49E}" name="Factibilidad Sanitaria" dataDxfId="90"/>
    <tableColumn id="32" xr3:uid="{437BC2E9-7D7A-4EE1-9FF0-7ADE7620C9EA}" name="Empresa Sanitaria" dataDxfId="89"/>
    <tableColumn id="33" xr3:uid="{DBB643FD-B379-4FDF-BED2-C4A1D077612F}" name="Garantía" dataDxfId="88"/>
    <tableColumn id="34" xr3:uid="{CF0E3BBE-D3C6-4005-BE8D-FA3419746AB9}" name="Resolucion Garantia" dataDxfId="87"/>
    <tableColumn id="35" xr3:uid="{BF797A32-8B35-4FFA-B97A-E52392D5FCA3}" name="Vencimiento de la Garantía" dataDxfId="86"/>
    <tableColumn id="36" xr3:uid="{882C30F3-A1C5-4F43-8836-6DB8B4037B7C}" name="Modificacion de Deslindes" dataDxfId="85"/>
    <tableColumn id="37" xr3:uid="{F67C75F1-AD1A-410C-A5C5-F85A89D56246}" name="Nueva superficie " dataDxfId="84"/>
    <tableColumn id="38" xr3:uid="{545D0B15-090B-458A-8B11-24EEAB225340}" name="Nueva Resolucion" dataDxfId="83"/>
    <tableColumn id="39" xr3:uid="{83FF4C05-85E1-4691-80F9-52367521BDAC}" name="Fecha" dataDxfId="82"/>
    <tableColumn id="40" xr3:uid="{F9630A36-EA05-42C1-BB52-44243F4E0D00}" name="UF/m2 (Comercial)" dataDxfId="81"/>
    <tableColumn id="41" xr3:uid="{435CCDFC-3E24-4BEF-81A6-D8A724094167}" name="UF (Comercial Total)" dataDxfId="80"/>
    <tableColumn id="42" xr3:uid="{9B87A2E5-AFEC-4470-A208-02E425560A49}" name="UF/m2 (Tasación)" dataDxfId="79"/>
    <tableColumn id="43" xr3:uid="{4E0037BB-1D68-432C-B310-1C2008C90DCB}" name="UF (Tasación Total)" dataDxfId="78"/>
    <tableColumn id="44" xr3:uid="{51053A16-B8DB-4722-BC60-5EFCE943D7AC}" name="UF (Liquidación Total)" dataDxfId="77"/>
    <tableColumn id="45" xr3:uid="{3D60B7FB-70C2-41B0-8158-7E50796CCE40}" name="Fecha Tasación" dataDxfId="76"/>
    <tableColumn id="46" xr3:uid="{CBD70AA5-86B9-49C2-8972-DF7117860515}" name="Tasador" dataDxfId="75"/>
    <tableColumn id="47" xr3:uid="{DEEBBE52-4A64-4548-898F-DBC1979C379A}" name="Mejor tasación" dataDxfId="74"/>
    <tableColumn id="48" xr3:uid="{CEE48425-4146-4282-96EA-E31AB03D4FDB}" name="Hipotecador" dataDxfId="73"/>
    <tableColumn id="49" xr3:uid="{2C97BBE0-492F-4DCF-99A7-8B4832A061EA}" name="Usufructurario" dataDxfId="7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4FB614-9508-47DE-AD8C-21C4D85DB772}" name="CONSTRUCCIONES" displayName="CONSTRUCCIONES" ref="A1:BA95" tableType="queryTable" totalsRowShown="0">
  <autoFilter ref="A1:BA95" xr:uid="{1E4FB614-9508-47DE-AD8C-21C4D85DB772}"/>
  <tableColumns count="53">
    <tableColumn id="1" xr3:uid="{CE62B288-4DEF-4279-8794-52A9EFA0F1BB}" uniqueName="1" name="Propietario" queryTableFieldId="1" dataDxfId="71"/>
    <tableColumn id="2" xr3:uid="{4BB3A3FC-F2F9-47AB-A437-E11DE02821A0}" uniqueName="2" name="Comuna" queryTableFieldId="2" dataDxfId="70"/>
    <tableColumn id="3" xr3:uid="{EE47691E-8CBB-4A8D-9A14-33E8823BE734}" uniqueName="3" name="Identificacion Propiedad" queryTableFieldId="3" dataDxfId="69"/>
    <tableColumn id="25" xr3:uid="{2F82EFE7-76E3-4A9D-BDAD-E16BFDE05520}" uniqueName="25" name="Detalle TGR" queryTableFieldId="66"/>
    <tableColumn id="4" xr3:uid="{C75F669B-084C-407A-8758-044068F8EB76}" uniqueName="4" name="Superficie (m2)" queryTableFieldId="4"/>
    <tableColumn id="5" xr3:uid="{6E3C98FF-7E48-4BA4-81EC-F3BEF7B4BB87}" uniqueName="5" name="Estatus" queryTableFieldId="5"/>
    <tableColumn id="6" xr3:uid="{F3A527D8-F87C-4386-8BC9-2588FF1B949F}" uniqueName="6" name="Fecha de la venta" queryTableFieldId="70"/>
    <tableColumn id="7" xr3:uid="{5804F55F-6F01-4233-B631-3CCBC9145058}" uniqueName="7" name="Cliente" queryTableFieldId="71"/>
    <tableColumn id="64" xr3:uid="{9D32AB16-4B20-47BE-B998-9F6E52CCE47E}" uniqueName="64" name="Precio de Venta (UF/m2)" queryTableFieldId="64"/>
    <tableColumn id="12" xr3:uid="{0CB138F2-062B-4E27-8331-AF08BB7B6DDE}" uniqueName="12" name="Avalúo Diciembre 2024" queryTableFieldId="12"/>
    <tableColumn id="13" xr3:uid="{31522F86-717C-4A34-B141-8BA549FD7B17}" uniqueName="13" name="Avalúo Exento Dic-2024" queryTableFieldId="13"/>
    <tableColumn id="14" xr3:uid="{567EEA6D-1F7A-4401-B006-1A90D45CC82A}" uniqueName="14" name="Avalúo Afecto Dic-2024" queryTableFieldId="14"/>
    <tableColumn id="19" xr3:uid="{E860547E-5638-4062-8A56-9D3A2EB6E31D}" uniqueName="19" name="Avalúo Total 2025" queryTableFieldId="19"/>
    <tableColumn id="20" xr3:uid="{731F30EB-0119-4521-9B5C-2EB87C94E2F3}" uniqueName="20" name="Avalúo Exento Dic-2025" queryTableFieldId="20"/>
    <tableColumn id="21" xr3:uid="{881EFD68-D8E4-4178-B9C1-771B3A7E3AFA}" uniqueName="21" name="Avalúo Afecto Dic-2025" queryTableFieldId="21"/>
    <tableColumn id="16" xr3:uid="{19EF3738-843A-4D48-9950-2A7B57B636D5}" uniqueName="16" name="Rol Matriz" queryTableFieldId="16" dataDxfId="68"/>
    <tableColumn id="17" xr3:uid="{E5526725-D828-4636-9AD2-21C5361089D0}" uniqueName="17" name="ROL Asignado" queryTableFieldId="17" dataDxfId="67"/>
    <tableColumn id="18" xr3:uid="{138F6BD0-7AC1-4634-A4E4-5D1DC3F67D8A}" uniqueName="18" name="Rol Pagador2" queryTableFieldId="18" dataDxfId="66"/>
    <tableColumn id="8" xr3:uid="{7962E587-562B-4122-A2BA-53842F05D72A}" uniqueName="8" name="Estado en SII/Comentarios" queryTableFieldId="72"/>
    <tableColumn id="27" xr3:uid="{BFF907F9-371E-4A7D-B72C-A08698C442CA}" uniqueName="27" name="Condicion ROL" queryTableFieldId="27" dataDxfId="65"/>
    <tableColumn id="28" xr3:uid="{80404DA7-01CA-49F0-9F03-D62C1924FF70}" uniqueName="28" name="Destino SII" queryTableFieldId="28" dataDxfId="64"/>
    <tableColumn id="9" xr3:uid="{E809604E-D74D-4A8A-B6B7-3A09C3374986}" uniqueName="9" name="Valor Libro Contable $" queryTableFieldId="73"/>
    <tableColumn id="22" xr3:uid="{C1868ABC-50EE-4FA5-85F3-3375ED82FC79}" uniqueName="22" name="Variación 2025-2024 Avalúo Total" queryTableFieldId="22"/>
    <tableColumn id="23" xr3:uid="{357A6FD7-FFB9-44BA-AFF4-4EB33CFAFDFD}" uniqueName="23" name="Variación 2025-2024 Avalúo Afecto" queryTableFieldId="23"/>
    <tableColumn id="24" xr3:uid="{D636CA34-3252-495E-B4BB-1BCBC1125639}" uniqueName="24" name="Variación 2025-2024 Avalúo Exento" queryTableFieldId="24"/>
    <tableColumn id="30" xr3:uid="{9569E28F-64BC-45E8-87C8-3AD58A4902D6}" uniqueName="30" name="Retasación Técnica Contable" queryTableFieldId="30"/>
    <tableColumn id="31" xr3:uid="{AC2D0642-044D-4E3B-933C-5E1A986CA687}" uniqueName="31" name="Valor Comercial Contable" queryTableFieldId="31"/>
    <tableColumn id="32" xr3:uid="{90EA02BB-3CC2-4EDB-BA0B-5C2C57B04E59}" uniqueName="32" name="Valor Comercial UF Contable" queryTableFieldId="32"/>
    <tableColumn id="40" xr3:uid="{DE3CA11F-7469-4665-AA3D-639DFE8D8259}" uniqueName="40" name="UF/m2 (Comercial)" queryTableFieldId="40"/>
    <tableColumn id="41" xr3:uid="{A300C9BB-E608-40E7-9AB3-F027BCD1DBA2}" uniqueName="41" name="UF (Comercial Total)" queryTableFieldId="41"/>
    <tableColumn id="42" xr3:uid="{C5D7CE8E-28A6-4969-BFE2-C38007BD45C3}" uniqueName="42" name="UF/m2 (Tasación)" queryTableFieldId="42"/>
    <tableColumn id="43" xr3:uid="{BFFD76E0-5987-41EC-ADC7-A89B0169363C}" uniqueName="43" name="UF (Tasación Total)" queryTableFieldId="43"/>
    <tableColumn id="44" xr3:uid="{95702CD0-7D6A-4504-A3CD-A60276C9B22C}" uniqueName="44" name="UF (Liquidación Total)" queryTableFieldId="44"/>
    <tableColumn id="45" xr3:uid="{12F4951D-739D-422E-81A2-529625D3E7EE}" uniqueName="45" name="Fecha Tasación" queryTableFieldId="45"/>
    <tableColumn id="46" xr3:uid="{BC8F016E-F3BD-4D15-9EC3-F0A02EC58E6A}" uniqueName="46" name="Tasador" queryTableFieldId="46"/>
    <tableColumn id="47" xr3:uid="{5E998D66-AC8D-41E6-A4C1-30DBEC4C848B}" uniqueName="47" name="Mejor tasación" queryTableFieldId="47"/>
    <tableColumn id="48" xr3:uid="{2F5878F3-A3CF-4CB3-9E5B-BCFC2F3D27F8}" uniqueName="48" name="Hipotecador" queryTableFieldId="48"/>
    <tableColumn id="49" xr3:uid="{5C1AB7BB-6F95-4701-9BD2-490CF347BC68}" uniqueName="49" name="Usufructurario" queryTableFieldId="49"/>
    <tableColumn id="50" xr3:uid="{60013BF6-5A32-4F6D-9F93-E769D76B2AE2}" uniqueName="50" name="Superficie Neta Arq" queryTableFieldId="50"/>
    <tableColumn id="51" xr3:uid="{E4406B3F-DBA1-4FC0-99EB-95A341E7CF35}" uniqueName="51" name="Resolución" queryTableFieldId="51"/>
    <tableColumn id="52" xr3:uid="{5DABB0D6-CEE9-4CE6-9751-5F6514F1C690}" uniqueName="52" name="Fecha Resolucion" queryTableFieldId="52"/>
    <tableColumn id="53" xr3:uid="{3869BA91-B9E9-4768-8667-E3C91630F828}" uniqueName="53" name="Dirección" queryTableFieldId="53"/>
    <tableColumn id="54" xr3:uid="{27F64029-BDF6-4408-BB71-68F170E9CF82}" uniqueName="54" name="Factibilidad eléctrica" queryTableFieldId="54"/>
    <tableColumn id="55" xr3:uid="{F2F43DFD-77F3-407F-887B-65337F1C7C0D}" uniqueName="55" name="Factibilidad Sanitaria" queryTableFieldId="55"/>
    <tableColumn id="56" xr3:uid="{86787917-602A-4173-B2EB-0D1EDDB63DB5}" uniqueName="56" name="Empresa Sanitaria" queryTableFieldId="56"/>
    <tableColumn id="57" xr3:uid="{E6CE37B4-006D-4E4F-B153-FAA338037B34}" uniqueName="57" name="Garantía" queryTableFieldId="57"/>
    <tableColumn id="58" xr3:uid="{F1F41A8B-E27E-4949-BF32-00563D2A4ECA}" uniqueName="58" name="Resolucion Garantia" queryTableFieldId="58"/>
    <tableColumn id="59" xr3:uid="{8B9F9E90-1105-401E-BDFD-1782BECDE9C3}" uniqueName="59" name="Vencimiento de la Garantía" queryTableFieldId="59"/>
    <tableColumn id="60" xr3:uid="{7B2B70BE-366C-4898-AEF4-A7D1C4E999F1}" uniqueName="60" name="Modificacion de Deslindes" queryTableFieldId="60"/>
    <tableColumn id="61" xr3:uid="{DD326D97-7F43-495E-874F-8BCAF248AB43}" uniqueName="61" name="Nueva superficie " queryTableFieldId="61"/>
    <tableColumn id="62" xr3:uid="{A1FAC6B8-442F-4DD6-AB32-26E5A9E55223}" uniqueName="62" name="Nueva Resolucion" queryTableFieldId="62"/>
    <tableColumn id="63" xr3:uid="{0591B72D-B729-4B91-9009-6560A2E73942}" uniqueName="63" name="Fecha" queryTableFieldId="63"/>
    <tableColumn id="65" xr3:uid="{FFF2F55D-63BA-48E9-A443-2FA8AF09D29A}" uniqueName="65" name="Observación" queryTableFieldId="6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765AFC-6374-4B41-B18A-3D2B2EF38DEF}" name="Tabla10" displayName="Tabla10" ref="A1:BA95" totalsRowShown="0" dataDxfId="63">
  <autoFilter ref="A1:BA95" xr:uid="{B6765AFC-6374-4B41-B18A-3D2B2EF38DEF}"/>
  <tableColumns count="53">
    <tableColumn id="1" xr3:uid="{07C525CB-274B-46B6-912D-35C91A51F9CE}" name="Propietario" dataDxfId="62"/>
    <tableColumn id="2" xr3:uid="{BD49611A-D209-45EB-9654-A926765622BE}" name="Comuna" dataDxfId="61"/>
    <tableColumn id="3" xr3:uid="{79A3285B-6F94-4E7E-857C-D0B2772C2BC4}" name="Identificacion Propiedad" dataDxfId="60"/>
    <tableColumn id="25" xr3:uid="{B703F694-E3E6-40DC-96FA-A9805C4F4940}" name="Detalle TGR" dataDxfId="59"/>
    <tableColumn id="4" xr3:uid="{909CD4EF-21A4-4A3B-A5AC-E20A48935B6C}" name="Superficie (m2)" dataDxfId="58" dataCellStyle="Millares [0]"/>
    <tableColumn id="5" xr3:uid="{74DB6106-8A49-4F0D-B5C8-800751F6D9F4}" name="Estatus" dataDxfId="57"/>
    <tableColumn id="40" xr3:uid="{1D493DD5-F846-40C8-A5C9-A53B4F3E4F39}" name="Fecha de la venta" dataDxfId="56"/>
    <tableColumn id="41" xr3:uid="{87E7F3C3-1F29-4434-A765-A3C801059FE0}" name="Cliente" dataDxfId="55"/>
    <tableColumn id="42" xr3:uid="{CDCBDD8A-EABA-4409-9CDD-44B32137046D}" name="Precio de Venta (UF/m2)" dataDxfId="54"/>
    <tableColumn id="12" xr3:uid="{04EC5FE1-1887-45E8-A0A8-147BBD21DB0E}" name="Avalúo Diciembre 2024" dataDxfId="53" dataCellStyle="Moneda [0]"/>
    <tableColumn id="13" xr3:uid="{81CCEA91-CF80-4284-BCDA-F257AE07DDD8}" name="Avalúo Exento Dic-2024" dataDxfId="52" dataCellStyle="Moneda [0]"/>
    <tableColumn id="14" xr3:uid="{FA1B959A-B7EB-443D-8E8E-C275BBC1AE5D}" name="Avalúo Afecto Dic-2024" dataDxfId="51" dataCellStyle="Moneda [0]"/>
    <tableColumn id="27" xr3:uid="{0F3EFE38-1F0A-429B-81EF-CACD5FF56A7E}" name="Avalúo Total 2025" dataDxfId="50" dataCellStyle="Moneda [0]"/>
    <tableColumn id="28" xr3:uid="{98A5286A-AFDC-46E3-AE12-EDDDB2874EC7}" name="Avalúo Exento Dic-2025" dataDxfId="49" dataCellStyle="Moneda [0]"/>
    <tableColumn id="29" xr3:uid="{8D40E712-B832-45BC-93F4-153419DD884E}" name="Avalúo Afecto Dic-2025" dataDxfId="48" dataCellStyle="Moneda [0]"/>
    <tableColumn id="16" xr3:uid="{A50D1922-A610-4461-9240-EA147A1C4501}" name="Rol Matriz" dataDxfId="47"/>
    <tableColumn id="17" xr3:uid="{A911A549-E39E-4236-A4D2-60CDD6AB714A}" name="ROL Asignado" dataDxfId="46"/>
    <tableColumn id="18" xr3:uid="{3DB2BFF8-3EF0-4494-9840-E7DD3EF8DBBD}" name="Rol Pagador2" dataDxfId="45"/>
    <tableColumn id="38" xr3:uid="{381A6ABF-7AA4-426B-BD9C-1114D6C63F1C}" name="Estado en SII/Comentarios" dataDxfId="44"/>
    <tableColumn id="33" xr3:uid="{338A8FB0-AA6D-43E5-9E7C-94458A769A46}" name="Condicion ROL" dataDxfId="43"/>
    <tableColumn id="34" xr3:uid="{84893462-DFF5-4441-9052-82EBC3B72883}" name="Destino SII" dataDxfId="42"/>
    <tableColumn id="39" xr3:uid="{A398BE1F-CEE7-4B7C-9CB5-367A7EEDA4B1}" name="Valor Libro Contable $" dataDxfId="41"/>
    <tableColumn id="22" xr3:uid="{21D483F0-8145-4304-9ECD-2ADAF57D3CE0}" name="Variación 2025-2024 Avalúo Total" dataDxfId="40">
      <calculatedColumnFormula>Tabla10[[#This Row],[Avalúo Total 2025]]-Tabla10[[#This Row],[Avalúo Diciembre 2024]]</calculatedColumnFormula>
    </tableColumn>
    <tableColumn id="23" xr3:uid="{4FB158BA-D426-4B22-8610-B74D332E1AF5}" name="Variación 2025-2024 Avalúo Afecto" dataDxfId="39">
      <calculatedColumnFormula>Tabla10[[#This Row],[Avalúo Afecto Dic-2025]]-Tabla10[[#This Row],[Avalúo Afecto Dic-2024]]</calculatedColumnFormula>
    </tableColumn>
    <tableColumn id="24" xr3:uid="{54539CAE-F1D1-4EE1-87FF-C7D7CB5B4984}" name="Variación 2025-2024 Avalúo Exento" dataDxfId="38">
      <calculatedColumnFormula>Tabla10[[#This Row],[Avalúo Exento Dic-2025]]-Tabla10[[#This Row],[Avalúo Exento Dic-2024]]</calculatedColumnFormula>
    </tableColumn>
    <tableColumn id="35" xr3:uid="{97B3B03B-7A89-428D-A661-EDDE334E3E75}" name="Retasación Técnica Contable" dataDxfId="37"/>
    <tableColumn id="36" xr3:uid="{CB40D0FA-7BE5-4895-9581-03F4E2D4AF66}" name="Valor Comercial Contable" dataDxfId="36"/>
    <tableColumn id="37" xr3:uid="{6232870C-E6DB-4F23-90C8-CF7AF9897C44}" name="Valor Comercial UF Contable" dataDxfId="35"/>
    <tableColumn id="45" xr3:uid="{A796B158-352D-42DF-957A-6F782838AAC9}" name="UF/m2 (Comercial)" dataDxfId="34"/>
    <tableColumn id="46" xr3:uid="{FE2764F6-E2FC-4837-BD1C-703E5212960C}" name="UF (Comercial Total)" dataDxfId="33"/>
    <tableColumn id="47" xr3:uid="{523586B7-1E22-4BCC-B3C0-E4275EEF6690}" name="UF/m2 (Tasación)" dataDxfId="32"/>
    <tableColumn id="48" xr3:uid="{EB081D40-4C43-45F7-AA12-4FF3258956D7}" name="UF (Tasación Total)" dataDxfId="31"/>
    <tableColumn id="49" xr3:uid="{2B015B12-1CAF-4A96-AEAC-5A5391D4CE75}" name="UF (Liquidación Total)" dataDxfId="30"/>
    <tableColumn id="50" xr3:uid="{23E61B89-B787-4D9B-BCEB-13FE9B48EAFF}" name="Fecha Tasación" dataDxfId="29"/>
    <tableColumn id="51" xr3:uid="{3602AD22-8AA0-424C-B237-C889B13A33F7}" name="Tasador" dataDxfId="28"/>
    <tableColumn id="52" xr3:uid="{10E946BF-A441-49C1-A747-82AE91B82488}" name="Mejor tasación" dataDxfId="27"/>
    <tableColumn id="53" xr3:uid="{FF34180D-6385-4EF1-8EFB-B851336BBD31}" name="Hipotecador" dataDxfId="26"/>
    <tableColumn id="54" xr3:uid="{64BC1630-5C04-4AFC-92EC-FB1A0B6F54BC}" name="Usufructurario" dataDxfId="25"/>
    <tableColumn id="55" xr3:uid="{94E8E504-5B4B-40AB-B90B-C8581F2DD5E4}" name="Superficie Neta Arq" dataDxfId="24"/>
    <tableColumn id="56" xr3:uid="{60E2BC7B-9639-4233-A970-A9258FDE69D9}" name="Resolución" dataDxfId="23"/>
    <tableColumn id="57" xr3:uid="{05AF7749-E8F4-46C6-8E76-AF98EDC3757A}" name="Fecha Resolucion" dataDxfId="22"/>
    <tableColumn id="58" xr3:uid="{AA37648E-1EDA-421A-A546-BD272E440C89}" name="Dirección" dataDxfId="21"/>
    <tableColumn id="59" xr3:uid="{5C6C17BE-47DC-4C6B-AB2A-1D4AB784725E}" name="Factibilidad eléctrica" dataDxfId="20"/>
    <tableColumn id="60" xr3:uid="{3BFD017B-D024-42DD-9B6E-D1824E0E7D2D}" name="Factibilidad Sanitaria" dataDxfId="19"/>
    <tableColumn id="61" xr3:uid="{C9D86EA0-E43C-4771-AE01-59D70FE55B89}" name="Empresa Sanitaria" dataDxfId="18"/>
    <tableColumn id="62" xr3:uid="{F0D86E2E-96CA-4EBD-BCF2-BD038BFBE2E9}" name="Garantía" dataDxfId="17"/>
    <tableColumn id="63" xr3:uid="{629F2433-A999-4CA0-8062-5BD9D8416925}" name="Resolucion Garantia" dataDxfId="16"/>
    <tableColumn id="64" xr3:uid="{52D15C04-409B-4728-BCC9-4AB1A630798C}" name="Vencimiento de la Garantía" dataDxfId="15"/>
    <tableColumn id="65" xr3:uid="{5695E3F1-8EC1-428C-BBC9-80C50123DF7B}" name="Modificacion de Deslindes" dataDxfId="14"/>
    <tableColumn id="66" xr3:uid="{B7F1D1BF-4FAC-4B2C-BCA7-D322F31ED97C}" name="Nueva superficie " dataDxfId="13"/>
    <tableColumn id="67" xr3:uid="{C51918B8-1E47-4F76-BE47-B30E13041CB4}" name="Nueva Resolucion" dataDxfId="12"/>
    <tableColumn id="68" xr3:uid="{47D2563F-E20D-4A7D-8FD8-1EAF161F8EE1}" name="Fecha" dataDxfId="11"/>
    <tableColumn id="70" xr3:uid="{555FF813-C5A2-4A89-947D-99A6CCFF6717}" name="Observación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3" dT="2025-10-14T21:39:47.22" personId="{93BD9D14-7AF5-46C5-9170-F25677B76EA3}" id="{D48EE120-D8BC-4EC9-A125-86E09F960038}">
    <text>Buscar rol matriz</text>
  </threadedComment>
  <threadedComment ref="M72" dT="2025-08-08T13:25:23.10" personId="{93BD9D14-7AF5-46C5-9170-F25677B76EA3}" id="{71B8CE7F-212C-41CF-8765-394C979EDBC1}">
    <text>En BBDD de CDG tiene Rol matriz 206-571</text>
  </threadedComment>
  <threadedComment ref="M72" dT="2025-08-08T19:39:16.04" personId="{FB3CA61C-8AC1-46C8-935D-4225958BB2D0}" id="{76A30DD9-CCB0-4FCC-8F2F-A5E38994D0A8}" parentId="{71B8CE7F-212C-41CF-8765-394C979EDBC1}">
    <text>EN CDG aparece que el ROL no se encuentra en el SII, revisar con contabilidad si el ROL asignado es el mismo que el ROL Matriz</text>
  </threadedComment>
  <threadedComment ref="N111" dT="2025-08-08T13:45:17.00" personId="{93BD9D14-7AF5-46C5-9170-F25677B76EA3}" id="{FD4C45DB-0E61-4AE8-8C48-CA821AB28444}">
    <text xml:space="preserve">BBDD Francesa no está. Además tiene el mismo Rol que lote </text>
  </threadedComment>
  <threadedComment ref="N111" dT="2025-08-08T19:35:29.96" personId="{FB3CA61C-8AC1-46C8-935D-4225958BB2D0}" id="{531309B2-92DB-476A-9181-CFD666FF3C39}" parentId="{FD4C45DB-0E61-4AE8-8C48-CA821AB28444}">
    <text xml:space="preserve">Corroborar con Contabilidad, Rol repetido 4 veces
</text>
  </threadedComment>
  <threadedComment ref="N117" dT="2025-08-08T13:54:52.55" personId="{93BD9D14-7AF5-46C5-9170-F25677B76EA3}" id="{97B428FA-86EE-4F3D-9ACA-391731A8AF0F}">
    <text>ROL Repetido, mismo que lote 34. En BBDD Francesa tambien está asi</text>
  </threadedComment>
  <threadedComment ref="N117" dT="2025-08-08T19:34:35.48" personId="{FB3CA61C-8AC1-46C8-935D-4225958BB2D0}" id="{7B47D797-D6FD-456D-9487-A4864BEF2E4C}" parentId="{97B428FA-86EE-4F3D-9ACA-391731A8AF0F}">
    <text>Corroborar con Contabilidad, Rol repetido 4 veces</text>
  </threadedComment>
  <threadedComment ref="N118" dT="2025-08-08T13:58:21.13" personId="{93BD9D14-7AF5-46C5-9170-F25677B76EA3}" id="{FC59442B-2071-43AC-A057-86A2164175FA}">
    <text>Rol repetido.</text>
  </threadedComment>
  <threadedComment ref="N118" dT="2025-08-08T19:34:18.39" personId="{FB3CA61C-8AC1-46C8-935D-4225958BB2D0}" id="{981D17AA-B546-457B-A6AE-A06C132CBBCF}" parentId="{FC59442B-2071-43AC-A057-86A2164175FA}">
    <text>Corroborar con Contabilidad, Rol repetido 4 veces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2-03-28T16:09:42.35" personId="{2FF5494A-6209-4A77-9AEE-935BA92FCCCD}" id="{415015CA-08A5-4B1D-B062-6FB050CEBA87}">
    <text>Se fusionan Lotes 19 a 59 en uno solo llamado Lote A de 217.400 m2</text>
  </threadedComment>
  <threadedComment ref="C5" dT="2025-08-08T14:22:53.57" personId="{93BD9D14-7AF5-46C5-9170-F25677B76EA3}" id="{8731EB45-C6C0-430E-B6C7-5A646DBF46B3}">
    <text xml:space="preserve">No está en BBDD de Francesca
</text>
  </threadedComment>
  <threadedComment ref="C6" dT="2025-08-08T14:23:21.47" personId="{93BD9D14-7AF5-46C5-9170-F25677B76EA3}" id="{692DDB55-CAC7-4DAC-A0D4-0047E1E93883}">
    <text>NO está en BBDD de Francesca</text>
  </threadedComment>
  <threadedComment ref="C7" dT="2025-08-08T14:21:38.08" personId="{93BD9D14-7AF5-46C5-9170-F25677B76EA3}" id="{640AFAEB-2FE8-4537-A40B-34C9D608B7B2}">
    <text>No está en bbdd de Francesca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3EF2-4667-492B-8979-10ED78132FFD}">
  <dimension ref="B1:P105"/>
  <sheetViews>
    <sheetView tabSelected="1" topLeftCell="D1" zoomScale="130" zoomScaleNormal="130" workbookViewId="0">
      <selection activeCell="H11" sqref="H11"/>
    </sheetView>
  </sheetViews>
  <sheetFormatPr baseColWidth="10" defaultColWidth="11.44140625" defaultRowHeight="14.4" outlineLevelRow="1" x14ac:dyDescent="0.3"/>
  <cols>
    <col min="1" max="1" width="4.6640625" customWidth="1"/>
    <col min="2" max="2" width="13.6640625" bestFit="1" customWidth="1"/>
    <col min="3" max="3" width="57.5546875" bestFit="1" customWidth="1"/>
    <col min="4" max="4" width="4.88671875" customWidth="1"/>
    <col min="5" max="5" width="5.109375" bestFit="1" customWidth="1"/>
    <col min="6" max="6" width="21" customWidth="1"/>
    <col min="7" max="7" width="4.33203125" customWidth="1"/>
    <col min="9" max="9" width="21" customWidth="1"/>
    <col min="10" max="10" width="5.109375" customWidth="1"/>
    <col min="11" max="12" width="23.6640625" bestFit="1" customWidth="1"/>
    <col min="13" max="13" width="5.5546875" customWidth="1"/>
    <col min="15" max="15" width="30" bestFit="1" customWidth="1"/>
  </cols>
  <sheetData>
    <row r="1" spans="2:16" ht="18" x14ac:dyDescent="0.35">
      <c r="B1" s="164" t="s">
        <v>0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</row>
    <row r="2" spans="2:16" ht="15" outlineLevel="1" thickBot="1" x14ac:dyDescent="0.35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" t="s">
        <v>1</v>
      </c>
    </row>
    <row r="3" spans="2:16" ht="15" customHeight="1" outlineLevel="1" thickBot="1" x14ac:dyDescent="0.35">
      <c r="B3" s="10" t="s">
        <v>2</v>
      </c>
      <c r="C3" s="5" t="s">
        <v>3</v>
      </c>
      <c r="E3" s="1" t="s">
        <v>4</v>
      </c>
      <c r="F3" s="1" t="s">
        <v>5</v>
      </c>
      <c r="H3" s="15" t="s">
        <v>6</v>
      </c>
      <c r="I3" s="15" t="s">
        <v>7</v>
      </c>
      <c r="K3" s="13" t="s">
        <v>8</v>
      </c>
      <c r="L3" s="13" t="s">
        <v>9</v>
      </c>
      <c r="N3" s="12" t="s">
        <v>10</v>
      </c>
      <c r="O3" s="12" t="s">
        <v>11</v>
      </c>
      <c r="P3" s="17" t="s">
        <v>12</v>
      </c>
    </row>
    <row r="4" spans="2:16" ht="15" outlineLevel="1" thickBot="1" x14ac:dyDescent="0.35">
      <c r="B4" s="9"/>
      <c r="C4" s="5" t="s">
        <v>13</v>
      </c>
      <c r="F4" s="2" t="s">
        <v>14</v>
      </c>
      <c r="I4" s="15" t="s">
        <v>15</v>
      </c>
      <c r="L4" s="14" t="s">
        <v>16</v>
      </c>
      <c r="O4" s="12" t="s">
        <v>17</v>
      </c>
      <c r="P4" s="17" t="s">
        <v>18</v>
      </c>
    </row>
    <row r="5" spans="2:16" ht="15" outlineLevel="1" thickBot="1" x14ac:dyDescent="0.35">
      <c r="B5" s="9"/>
      <c r="C5" s="5" t="s">
        <v>19</v>
      </c>
      <c r="F5" s="2" t="s">
        <v>20</v>
      </c>
      <c r="L5" s="14" t="s">
        <v>21</v>
      </c>
      <c r="O5" s="12" t="s">
        <v>22</v>
      </c>
      <c r="P5" s="17" t="s">
        <v>23</v>
      </c>
    </row>
    <row r="6" spans="2:16" ht="15" outlineLevel="1" thickBot="1" x14ac:dyDescent="0.35">
      <c r="B6" s="9"/>
      <c r="C6" s="5" t="s">
        <v>24</v>
      </c>
      <c r="F6" s="3" t="s">
        <v>25</v>
      </c>
      <c r="L6" s="14" t="s">
        <v>26</v>
      </c>
      <c r="P6" s="17"/>
    </row>
    <row r="7" spans="2:16" ht="15" outlineLevel="1" thickBot="1" x14ac:dyDescent="0.35">
      <c r="B7" s="9"/>
      <c r="C7" s="5" t="s">
        <v>27</v>
      </c>
      <c r="F7" s="2" t="s">
        <v>28</v>
      </c>
      <c r="L7" s="14" t="s">
        <v>29</v>
      </c>
      <c r="P7" s="17"/>
    </row>
    <row r="8" spans="2:16" ht="15" outlineLevel="1" thickBot="1" x14ac:dyDescent="0.35">
      <c r="B8" s="9"/>
      <c r="C8" s="5" t="s">
        <v>30</v>
      </c>
      <c r="F8" s="2" t="s">
        <v>31</v>
      </c>
      <c r="L8" s="14" t="s">
        <v>32</v>
      </c>
      <c r="P8" s="17"/>
    </row>
    <row r="9" spans="2:16" ht="15" outlineLevel="1" thickBot="1" x14ac:dyDescent="0.35">
      <c r="B9" s="9"/>
      <c r="C9" s="6" t="s">
        <v>33</v>
      </c>
      <c r="F9" s="4" t="s">
        <v>34</v>
      </c>
      <c r="L9" s="14" t="s">
        <v>35</v>
      </c>
      <c r="P9" s="17"/>
    </row>
    <row r="10" spans="2:16" ht="15" outlineLevel="1" thickBot="1" x14ac:dyDescent="0.35">
      <c r="B10" s="9"/>
      <c r="C10" s="6" t="s">
        <v>36</v>
      </c>
      <c r="F10" s="2" t="s">
        <v>37</v>
      </c>
      <c r="L10" s="14" t="s">
        <v>38</v>
      </c>
      <c r="P10" s="17"/>
    </row>
    <row r="11" spans="2:16" ht="15" outlineLevel="1" thickBot="1" x14ac:dyDescent="0.35">
      <c r="B11" s="9"/>
      <c r="C11" s="6" t="s">
        <v>39</v>
      </c>
      <c r="L11" s="14" t="s">
        <v>40</v>
      </c>
      <c r="P11" s="17"/>
    </row>
    <row r="12" spans="2:16" ht="15" outlineLevel="1" thickBot="1" x14ac:dyDescent="0.35">
      <c r="B12" s="9"/>
      <c r="C12" s="7" t="s">
        <v>41</v>
      </c>
      <c r="L12" s="14" t="s">
        <v>42</v>
      </c>
      <c r="P12" s="17"/>
    </row>
    <row r="13" spans="2:16" ht="15" outlineLevel="1" thickBot="1" x14ac:dyDescent="0.35">
      <c r="B13" s="9"/>
      <c r="C13" s="7" t="s">
        <v>43</v>
      </c>
      <c r="L13" s="14" t="s">
        <v>44</v>
      </c>
      <c r="P13" s="17"/>
    </row>
    <row r="14" spans="2:16" ht="15" outlineLevel="1" thickBot="1" x14ac:dyDescent="0.35">
      <c r="B14" s="9"/>
      <c r="C14" s="7" t="s">
        <v>45</v>
      </c>
      <c r="L14" s="14" t="s">
        <v>46</v>
      </c>
      <c r="P14" s="17"/>
    </row>
    <row r="15" spans="2:16" ht="15" outlineLevel="1" thickBot="1" x14ac:dyDescent="0.35">
      <c r="B15" s="9"/>
      <c r="C15" s="5" t="s">
        <v>47</v>
      </c>
      <c r="L15" s="14" t="s">
        <v>48</v>
      </c>
      <c r="P15" s="17"/>
    </row>
    <row r="16" spans="2:16" ht="15" outlineLevel="1" thickBot="1" x14ac:dyDescent="0.35">
      <c r="B16" s="9"/>
      <c r="C16" s="5" t="s">
        <v>49</v>
      </c>
      <c r="L16" s="14" t="s">
        <v>50</v>
      </c>
      <c r="P16" s="17"/>
    </row>
    <row r="17" spans="2:16" ht="15" outlineLevel="1" thickBot="1" x14ac:dyDescent="0.35">
      <c r="B17" s="9"/>
      <c r="C17" s="88" t="s">
        <v>51</v>
      </c>
      <c r="P17" s="17"/>
    </row>
    <row r="18" spans="2:16" ht="15" outlineLevel="1" thickBot="1" x14ac:dyDescent="0.35">
      <c r="B18" s="9"/>
      <c r="C18" s="5" t="s">
        <v>52</v>
      </c>
      <c r="P18" s="17"/>
    </row>
    <row r="19" spans="2:16" ht="15" outlineLevel="1" thickBot="1" x14ac:dyDescent="0.35">
      <c r="B19" s="9"/>
      <c r="C19" s="5" t="s">
        <v>53</v>
      </c>
      <c r="P19" s="17"/>
    </row>
    <row r="20" spans="2:16" ht="15" outlineLevel="1" thickBot="1" x14ac:dyDescent="0.35">
      <c r="C20" s="5" t="s">
        <v>54</v>
      </c>
      <c r="P20" s="17"/>
    </row>
    <row r="21" spans="2:16" ht="15" outlineLevel="1" thickBot="1" x14ac:dyDescent="0.35">
      <c r="C21" s="8" t="s">
        <v>55</v>
      </c>
      <c r="P21" s="17"/>
    </row>
    <row r="22" spans="2:16" outlineLevel="1" x14ac:dyDescent="0.3">
      <c r="P22" s="17"/>
    </row>
    <row r="23" spans="2:16" outlineLevel="1" x14ac:dyDescent="0.3">
      <c r="P23" s="17"/>
    </row>
    <row r="24" spans="2:16" outlineLevel="1" x14ac:dyDescent="0.3">
      <c r="O24" s="17"/>
    </row>
    <row r="25" spans="2:16" outlineLevel="1" x14ac:dyDescent="0.3"/>
    <row r="26" spans="2:16" ht="18" x14ac:dyDescent="0.35">
      <c r="B26" s="164" t="s">
        <v>56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</row>
    <row r="27" spans="2:16" ht="15" outlineLevel="1" thickBot="1" x14ac:dyDescent="0.3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 t="s">
        <v>1</v>
      </c>
    </row>
    <row r="28" spans="2:16" ht="15" outlineLevel="1" thickBot="1" x14ac:dyDescent="0.35">
      <c r="B28" s="10" t="s">
        <v>2</v>
      </c>
      <c r="C28" s="5" t="s">
        <v>3</v>
      </c>
      <c r="E28" s="1" t="s">
        <v>4</v>
      </c>
      <c r="F28" s="1" t="s">
        <v>5</v>
      </c>
      <c r="H28" s="15" t="s">
        <v>6</v>
      </c>
      <c r="I28" s="15" t="s">
        <v>7</v>
      </c>
      <c r="K28" s="13" t="s">
        <v>57</v>
      </c>
      <c r="L28" s="13" t="s">
        <v>9</v>
      </c>
      <c r="N28" s="12" t="s">
        <v>10</v>
      </c>
      <c r="O28" s="12" t="s">
        <v>11</v>
      </c>
      <c r="P28" s="17" t="s">
        <v>12</v>
      </c>
    </row>
    <row r="29" spans="2:16" ht="15" outlineLevel="1" thickBot="1" x14ac:dyDescent="0.35">
      <c r="B29" s="9"/>
      <c r="C29" s="5" t="s">
        <v>13</v>
      </c>
      <c r="F29" s="2" t="s">
        <v>14</v>
      </c>
      <c r="I29" s="15" t="s">
        <v>15</v>
      </c>
      <c r="L29" s="14" t="s">
        <v>16</v>
      </c>
      <c r="O29" s="12" t="s">
        <v>17</v>
      </c>
      <c r="P29" s="17" t="s">
        <v>18</v>
      </c>
    </row>
    <row r="30" spans="2:16" ht="15" outlineLevel="1" thickBot="1" x14ac:dyDescent="0.35">
      <c r="B30" s="9"/>
      <c r="C30" s="5" t="s">
        <v>19</v>
      </c>
      <c r="F30" s="2" t="s">
        <v>20</v>
      </c>
      <c r="L30" s="14" t="s">
        <v>21</v>
      </c>
      <c r="O30" s="12" t="s">
        <v>22</v>
      </c>
      <c r="P30" s="17" t="s">
        <v>23</v>
      </c>
    </row>
    <row r="31" spans="2:16" ht="15" outlineLevel="1" thickBot="1" x14ac:dyDescent="0.35">
      <c r="B31" s="9"/>
      <c r="C31" s="5" t="s">
        <v>27</v>
      </c>
      <c r="F31" s="3" t="s">
        <v>25</v>
      </c>
      <c r="L31" s="14" t="s">
        <v>26</v>
      </c>
      <c r="P31" s="17"/>
    </row>
    <row r="32" spans="2:16" ht="15" outlineLevel="1" thickBot="1" x14ac:dyDescent="0.35">
      <c r="B32" s="9"/>
      <c r="C32" s="5" t="s">
        <v>30</v>
      </c>
      <c r="F32" s="2" t="s">
        <v>28</v>
      </c>
      <c r="L32" s="14" t="s">
        <v>29</v>
      </c>
      <c r="P32" s="17"/>
    </row>
    <row r="33" spans="2:16" ht="15" outlineLevel="1" thickBot="1" x14ac:dyDescent="0.35">
      <c r="B33" s="9"/>
      <c r="C33" s="6" t="s">
        <v>33</v>
      </c>
      <c r="F33" s="2" t="s">
        <v>31</v>
      </c>
      <c r="L33" s="14" t="s">
        <v>32</v>
      </c>
      <c r="P33" s="17"/>
    </row>
    <row r="34" spans="2:16" ht="15" outlineLevel="1" thickBot="1" x14ac:dyDescent="0.35">
      <c r="B34" s="9"/>
      <c r="C34" s="6" t="s">
        <v>36</v>
      </c>
      <c r="F34" s="4" t="s">
        <v>34</v>
      </c>
      <c r="L34" s="14" t="s">
        <v>35</v>
      </c>
      <c r="P34" s="17"/>
    </row>
    <row r="35" spans="2:16" ht="15" outlineLevel="1" thickBot="1" x14ac:dyDescent="0.35">
      <c r="B35" s="9"/>
      <c r="C35" s="6" t="s">
        <v>39</v>
      </c>
      <c r="F35" s="2" t="s">
        <v>37</v>
      </c>
      <c r="L35" s="14" t="s">
        <v>38</v>
      </c>
      <c r="P35" s="17"/>
    </row>
    <row r="36" spans="2:16" ht="15" outlineLevel="1" thickBot="1" x14ac:dyDescent="0.35">
      <c r="B36" s="9"/>
      <c r="C36" s="6" t="s">
        <v>41</v>
      </c>
      <c r="L36" s="14" t="s">
        <v>40</v>
      </c>
      <c r="P36" s="17"/>
    </row>
    <row r="37" spans="2:16" ht="15" outlineLevel="1" thickBot="1" x14ac:dyDescent="0.35">
      <c r="B37" s="9"/>
      <c r="C37" s="6" t="s">
        <v>43</v>
      </c>
      <c r="L37" s="14" t="s">
        <v>42</v>
      </c>
      <c r="P37" s="17"/>
    </row>
    <row r="38" spans="2:16" ht="15" outlineLevel="1" thickBot="1" x14ac:dyDescent="0.35">
      <c r="B38" s="9"/>
      <c r="C38" s="7" t="s">
        <v>45</v>
      </c>
      <c r="L38" s="14" t="s">
        <v>44</v>
      </c>
      <c r="P38" s="17"/>
    </row>
    <row r="39" spans="2:16" ht="15" outlineLevel="1" thickBot="1" x14ac:dyDescent="0.35">
      <c r="B39" s="9"/>
      <c r="C39" s="7" t="s">
        <v>47</v>
      </c>
      <c r="L39" s="14" t="s">
        <v>46</v>
      </c>
      <c r="P39" s="17"/>
    </row>
    <row r="40" spans="2:16" ht="15" outlineLevel="1" thickBot="1" x14ac:dyDescent="0.35">
      <c r="B40" s="9"/>
      <c r="C40" s="7" t="s">
        <v>49</v>
      </c>
      <c r="L40" s="14" t="s">
        <v>48</v>
      </c>
      <c r="P40" s="17"/>
    </row>
    <row r="41" spans="2:16" ht="15" outlineLevel="1" thickBot="1" x14ac:dyDescent="0.35">
      <c r="B41" s="9"/>
      <c r="C41" s="88" t="s">
        <v>51</v>
      </c>
      <c r="L41" s="14" t="s">
        <v>50</v>
      </c>
      <c r="P41" s="17"/>
    </row>
    <row r="42" spans="2:16" ht="15" outlineLevel="1" thickBot="1" x14ac:dyDescent="0.35">
      <c r="B42" s="9"/>
      <c r="C42" s="5" t="s">
        <v>52</v>
      </c>
      <c r="P42" s="17"/>
    </row>
    <row r="43" spans="2:16" ht="15" outlineLevel="1" thickBot="1" x14ac:dyDescent="0.35">
      <c r="B43" s="9"/>
      <c r="C43" s="5" t="s">
        <v>53</v>
      </c>
      <c r="P43" s="17"/>
    </row>
    <row r="44" spans="2:16" ht="15" outlineLevel="1" thickBot="1" x14ac:dyDescent="0.35">
      <c r="B44" s="9"/>
      <c r="C44" s="5" t="s">
        <v>54</v>
      </c>
      <c r="P44" s="17"/>
    </row>
    <row r="45" spans="2:16" ht="15" outlineLevel="1" thickBot="1" x14ac:dyDescent="0.35">
      <c r="C45" s="5" t="s">
        <v>55</v>
      </c>
      <c r="P45" s="17"/>
    </row>
    <row r="46" spans="2:16" outlineLevel="1" x14ac:dyDescent="0.3">
      <c r="P46" s="17"/>
    </row>
    <row r="47" spans="2:16" outlineLevel="1" x14ac:dyDescent="0.3">
      <c r="P47" s="17"/>
    </row>
    <row r="48" spans="2:16" outlineLevel="1" x14ac:dyDescent="0.3">
      <c r="P48" s="17"/>
    </row>
    <row r="49" spans="2:16" outlineLevel="1" x14ac:dyDescent="0.3">
      <c r="P49" s="17"/>
    </row>
    <row r="50" spans="2:16" outlineLevel="1" x14ac:dyDescent="0.3"/>
    <row r="51" spans="2:16" outlineLevel="1" x14ac:dyDescent="0.3"/>
    <row r="52" spans="2:16" outlineLevel="1" x14ac:dyDescent="0.3"/>
    <row r="53" spans="2:16" ht="18" x14ac:dyDescent="0.35">
      <c r="B53" s="164" t="s">
        <v>58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</row>
    <row r="54" spans="2:16" ht="15" thickBot="1" x14ac:dyDescent="0.35"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" t="s">
        <v>1</v>
      </c>
    </row>
    <row r="55" spans="2:16" ht="15" outlineLevel="1" thickBot="1" x14ac:dyDescent="0.35">
      <c r="B55" s="10" t="s">
        <v>2</v>
      </c>
      <c r="C55" s="5" t="s">
        <v>3</v>
      </c>
      <c r="E55" s="1" t="s">
        <v>4</v>
      </c>
      <c r="F55" s="1" t="s">
        <v>5</v>
      </c>
      <c r="H55" s="15" t="s">
        <v>6</v>
      </c>
      <c r="I55" s="15" t="s">
        <v>7</v>
      </c>
      <c r="K55" s="13" t="s">
        <v>59</v>
      </c>
      <c r="L55" s="13" t="s">
        <v>9</v>
      </c>
      <c r="N55" s="12" t="s">
        <v>10</v>
      </c>
      <c r="O55" s="12" t="s">
        <v>11</v>
      </c>
      <c r="P55" s="17" t="s">
        <v>12</v>
      </c>
    </row>
    <row r="56" spans="2:16" ht="15" outlineLevel="1" thickBot="1" x14ac:dyDescent="0.35">
      <c r="B56" s="9"/>
      <c r="C56" s="5" t="s">
        <v>13</v>
      </c>
      <c r="F56" s="2" t="s">
        <v>14</v>
      </c>
      <c r="I56" s="15" t="s">
        <v>15</v>
      </c>
      <c r="L56" s="14" t="s">
        <v>16</v>
      </c>
      <c r="O56" s="12" t="s">
        <v>17</v>
      </c>
      <c r="P56" s="17" t="s">
        <v>18</v>
      </c>
    </row>
    <row r="57" spans="2:16" ht="15" outlineLevel="1" thickBot="1" x14ac:dyDescent="0.35">
      <c r="B57" s="9"/>
      <c r="C57" s="5" t="s">
        <v>19</v>
      </c>
      <c r="F57" s="2" t="s">
        <v>20</v>
      </c>
      <c r="L57" s="14" t="s">
        <v>21</v>
      </c>
      <c r="O57" s="12" t="s">
        <v>22</v>
      </c>
      <c r="P57" s="17" t="s">
        <v>23</v>
      </c>
    </row>
    <row r="58" spans="2:16" ht="15" outlineLevel="1" thickBot="1" x14ac:dyDescent="0.35">
      <c r="B58" s="9"/>
      <c r="C58" s="5" t="s">
        <v>27</v>
      </c>
      <c r="F58" s="3" t="s">
        <v>25</v>
      </c>
      <c r="L58" s="14" t="s">
        <v>26</v>
      </c>
      <c r="P58" s="17"/>
    </row>
    <row r="59" spans="2:16" ht="15" outlineLevel="1" thickBot="1" x14ac:dyDescent="0.35">
      <c r="B59" s="9"/>
      <c r="C59" s="5" t="s">
        <v>30</v>
      </c>
      <c r="F59" s="2" t="s">
        <v>28</v>
      </c>
      <c r="L59" s="14" t="s">
        <v>29</v>
      </c>
      <c r="P59" s="17"/>
    </row>
    <row r="60" spans="2:16" ht="15" outlineLevel="1" thickBot="1" x14ac:dyDescent="0.35">
      <c r="B60" s="9"/>
      <c r="C60" s="6" t="s">
        <v>60</v>
      </c>
      <c r="F60" s="2" t="s">
        <v>31</v>
      </c>
      <c r="L60" s="14" t="s">
        <v>32</v>
      </c>
      <c r="P60" s="17"/>
    </row>
    <row r="61" spans="2:16" ht="15" outlineLevel="1" thickBot="1" x14ac:dyDescent="0.35">
      <c r="B61" s="9"/>
      <c r="C61" s="6" t="s">
        <v>61</v>
      </c>
      <c r="F61" s="4" t="s">
        <v>34</v>
      </c>
      <c r="L61" s="14" t="s">
        <v>35</v>
      </c>
      <c r="P61" s="17"/>
    </row>
    <row r="62" spans="2:16" ht="15" outlineLevel="1" thickBot="1" x14ac:dyDescent="0.35">
      <c r="B62" s="9"/>
      <c r="C62" s="6" t="s">
        <v>62</v>
      </c>
      <c r="F62" s="2" t="s">
        <v>37</v>
      </c>
      <c r="L62" s="14" t="s">
        <v>38</v>
      </c>
      <c r="P62" s="17"/>
    </row>
    <row r="63" spans="2:16" ht="15" outlineLevel="1" thickBot="1" x14ac:dyDescent="0.35">
      <c r="B63" s="9"/>
      <c r="C63" s="5" t="s">
        <v>33</v>
      </c>
      <c r="L63" s="14" t="s">
        <v>40</v>
      </c>
      <c r="P63" s="17"/>
    </row>
    <row r="64" spans="2:16" ht="15" outlineLevel="1" thickBot="1" x14ac:dyDescent="0.35">
      <c r="B64" s="9"/>
      <c r="C64" s="5" t="s">
        <v>36</v>
      </c>
      <c r="L64" s="14" t="s">
        <v>42</v>
      </c>
      <c r="P64" s="17"/>
    </row>
    <row r="65" spans="2:16" ht="15" outlineLevel="1" thickBot="1" x14ac:dyDescent="0.35">
      <c r="B65" s="9"/>
      <c r="C65" s="5" t="s">
        <v>39</v>
      </c>
      <c r="L65" s="14" t="s">
        <v>44</v>
      </c>
      <c r="P65" s="17"/>
    </row>
    <row r="66" spans="2:16" ht="15" outlineLevel="1" thickBot="1" x14ac:dyDescent="0.35">
      <c r="B66" s="9"/>
      <c r="C66" s="5" t="s">
        <v>41</v>
      </c>
      <c r="L66" s="14" t="s">
        <v>46</v>
      </c>
      <c r="P66" s="17"/>
    </row>
    <row r="67" spans="2:16" ht="15" outlineLevel="1" thickBot="1" x14ac:dyDescent="0.35">
      <c r="B67" s="9"/>
      <c r="C67" s="5" t="s">
        <v>43</v>
      </c>
      <c r="L67" s="14" t="s">
        <v>48</v>
      </c>
      <c r="P67" s="17"/>
    </row>
    <row r="68" spans="2:16" ht="15" outlineLevel="1" thickBot="1" x14ac:dyDescent="0.35">
      <c r="B68" s="9"/>
      <c r="C68" s="5" t="s">
        <v>45</v>
      </c>
      <c r="L68" s="14" t="s">
        <v>50</v>
      </c>
      <c r="P68" s="17"/>
    </row>
    <row r="69" spans="2:16" ht="15" outlineLevel="1" thickBot="1" x14ac:dyDescent="0.35">
      <c r="B69" s="9"/>
      <c r="C69" s="5" t="s">
        <v>47</v>
      </c>
      <c r="P69" s="17"/>
    </row>
    <row r="70" spans="2:16" ht="15" outlineLevel="1" thickBot="1" x14ac:dyDescent="0.35">
      <c r="B70" s="9"/>
      <c r="C70" s="5" t="s">
        <v>49</v>
      </c>
      <c r="P70" s="17"/>
    </row>
    <row r="71" spans="2:16" ht="15" outlineLevel="1" thickBot="1" x14ac:dyDescent="0.35">
      <c r="B71" s="9"/>
      <c r="C71" s="6" t="s">
        <v>51</v>
      </c>
      <c r="P71" s="17"/>
    </row>
    <row r="72" spans="2:16" ht="15" outlineLevel="1" thickBot="1" x14ac:dyDescent="0.35">
      <c r="B72" s="9"/>
      <c r="C72" s="5" t="s">
        <v>52</v>
      </c>
      <c r="P72" s="17"/>
    </row>
    <row r="73" spans="2:16" ht="15" outlineLevel="1" thickBot="1" x14ac:dyDescent="0.35">
      <c r="B73" s="9"/>
      <c r="C73" s="5" t="s">
        <v>53</v>
      </c>
      <c r="P73" s="17"/>
    </row>
    <row r="74" spans="2:16" ht="15" outlineLevel="1" thickBot="1" x14ac:dyDescent="0.35">
      <c r="B74" s="9"/>
      <c r="C74" s="5" t="s">
        <v>54</v>
      </c>
      <c r="P74" s="17"/>
    </row>
    <row r="75" spans="2:16" ht="15" outlineLevel="1" thickBot="1" x14ac:dyDescent="0.35">
      <c r="B75" s="9"/>
      <c r="C75" s="6" t="s">
        <v>55</v>
      </c>
      <c r="P75" s="17"/>
    </row>
    <row r="76" spans="2:16" outlineLevel="1" x14ac:dyDescent="0.3">
      <c r="P76" s="17"/>
    </row>
    <row r="77" spans="2:16" outlineLevel="1" x14ac:dyDescent="0.3">
      <c r="P77" s="17"/>
    </row>
    <row r="78" spans="2:16" outlineLevel="1" x14ac:dyDescent="0.3">
      <c r="P78" s="17"/>
    </row>
    <row r="79" spans="2:16" outlineLevel="1" x14ac:dyDescent="0.3">
      <c r="P79" s="17"/>
    </row>
    <row r="80" spans="2:16" outlineLevel="1" x14ac:dyDescent="0.3"/>
    <row r="81" spans="2:16" outlineLevel="1" x14ac:dyDescent="0.3"/>
    <row r="82" spans="2:16" ht="18" x14ac:dyDescent="0.35">
      <c r="B82" s="164" t="s">
        <v>63</v>
      </c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</row>
    <row r="83" spans="2:16" ht="15" thickBot="1" x14ac:dyDescent="0.35"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" t="s">
        <v>1</v>
      </c>
    </row>
    <row r="84" spans="2:16" ht="15" thickBot="1" x14ac:dyDescent="0.35">
      <c r="B84" s="10" t="s">
        <v>2</v>
      </c>
      <c r="C84" s="5" t="s">
        <v>3</v>
      </c>
      <c r="E84" s="1" t="s">
        <v>4</v>
      </c>
      <c r="F84" s="1" t="s">
        <v>5</v>
      </c>
      <c r="H84" s="15" t="s">
        <v>6</v>
      </c>
      <c r="I84" s="15" t="s">
        <v>7</v>
      </c>
      <c r="K84" s="13" t="s">
        <v>64</v>
      </c>
      <c r="L84" s="13" t="s">
        <v>9</v>
      </c>
      <c r="N84" s="12" t="s">
        <v>10</v>
      </c>
      <c r="O84" s="12" t="s">
        <v>11</v>
      </c>
      <c r="P84" s="17" t="s">
        <v>12</v>
      </c>
    </row>
    <row r="85" spans="2:16" ht="15" thickBot="1" x14ac:dyDescent="0.35">
      <c r="B85" s="9"/>
      <c r="C85" s="5" t="s">
        <v>13</v>
      </c>
      <c r="F85" s="2" t="s">
        <v>14</v>
      </c>
      <c r="I85" s="15" t="s">
        <v>15</v>
      </c>
      <c r="L85" s="14" t="s">
        <v>16</v>
      </c>
      <c r="O85" s="12" t="s">
        <v>17</v>
      </c>
      <c r="P85" s="17" t="s">
        <v>18</v>
      </c>
    </row>
    <row r="86" spans="2:16" ht="15" thickBot="1" x14ac:dyDescent="0.35">
      <c r="B86" s="9"/>
      <c r="C86" s="5" t="s">
        <v>19</v>
      </c>
      <c r="F86" s="2" t="s">
        <v>20</v>
      </c>
      <c r="L86" s="14" t="s">
        <v>21</v>
      </c>
      <c r="O86" s="12" t="s">
        <v>22</v>
      </c>
      <c r="P86" s="17" t="s">
        <v>23</v>
      </c>
    </row>
    <row r="87" spans="2:16" ht="15" thickBot="1" x14ac:dyDescent="0.35">
      <c r="B87" s="9"/>
      <c r="C87" s="5" t="s">
        <v>27</v>
      </c>
      <c r="F87" s="3" t="s">
        <v>25</v>
      </c>
      <c r="L87" s="14" t="s">
        <v>26</v>
      </c>
      <c r="P87" s="17"/>
    </row>
    <row r="88" spans="2:16" ht="15" thickBot="1" x14ac:dyDescent="0.35">
      <c r="B88" s="9"/>
      <c r="C88" s="5" t="s">
        <v>30</v>
      </c>
      <c r="F88" s="2" t="s">
        <v>28</v>
      </c>
      <c r="L88" s="14" t="s">
        <v>29</v>
      </c>
      <c r="P88" s="17"/>
    </row>
    <row r="89" spans="2:16" ht="15" thickBot="1" x14ac:dyDescent="0.35">
      <c r="B89" s="9"/>
      <c r="C89" s="6" t="s">
        <v>33</v>
      </c>
      <c r="F89" s="2" t="s">
        <v>31</v>
      </c>
      <c r="L89" s="14" t="s">
        <v>32</v>
      </c>
      <c r="P89" s="17"/>
    </row>
    <row r="90" spans="2:16" ht="15" thickBot="1" x14ac:dyDescent="0.35">
      <c r="B90" s="9"/>
      <c r="C90" s="6" t="s">
        <v>36</v>
      </c>
      <c r="F90" s="4" t="s">
        <v>34</v>
      </c>
      <c r="L90" s="14" t="s">
        <v>35</v>
      </c>
      <c r="P90" s="17"/>
    </row>
    <row r="91" spans="2:16" ht="15" thickBot="1" x14ac:dyDescent="0.35">
      <c r="B91" s="9"/>
      <c r="C91" s="6" t="s">
        <v>39</v>
      </c>
      <c r="F91" s="2" t="s">
        <v>37</v>
      </c>
      <c r="L91" s="14" t="s">
        <v>38</v>
      </c>
      <c r="P91" s="17"/>
    </row>
    <row r="92" spans="2:16" ht="15" thickBot="1" x14ac:dyDescent="0.35">
      <c r="B92" s="9"/>
      <c r="C92" s="6" t="s">
        <v>41</v>
      </c>
      <c r="L92" s="14" t="s">
        <v>40</v>
      </c>
      <c r="P92" s="17"/>
    </row>
    <row r="93" spans="2:16" ht="15" thickBot="1" x14ac:dyDescent="0.35">
      <c r="B93" s="9"/>
      <c r="C93" s="6" t="s">
        <v>43</v>
      </c>
      <c r="L93" s="14" t="s">
        <v>42</v>
      </c>
      <c r="P93" s="17"/>
    </row>
    <row r="94" spans="2:16" ht="15" thickBot="1" x14ac:dyDescent="0.35">
      <c r="B94" s="9"/>
      <c r="C94" s="7" t="s">
        <v>45</v>
      </c>
      <c r="L94" s="14" t="s">
        <v>44</v>
      </c>
      <c r="P94" s="17"/>
    </row>
    <row r="95" spans="2:16" ht="15" thickBot="1" x14ac:dyDescent="0.35">
      <c r="B95" s="9"/>
      <c r="C95" s="7" t="s">
        <v>47</v>
      </c>
      <c r="L95" s="14" t="s">
        <v>46</v>
      </c>
      <c r="P95" s="17"/>
    </row>
    <row r="96" spans="2:16" ht="15" thickBot="1" x14ac:dyDescent="0.35">
      <c r="B96" s="9"/>
      <c r="C96" s="7" t="s">
        <v>49</v>
      </c>
      <c r="L96" s="14" t="s">
        <v>48</v>
      </c>
      <c r="P96" s="17"/>
    </row>
    <row r="97" spans="2:16" ht="15" thickBot="1" x14ac:dyDescent="0.35">
      <c r="B97" s="9"/>
      <c r="C97" s="88" t="s">
        <v>51</v>
      </c>
      <c r="L97" s="14" t="s">
        <v>50</v>
      </c>
      <c r="P97" s="17"/>
    </row>
    <row r="98" spans="2:16" ht="15" thickBot="1" x14ac:dyDescent="0.35">
      <c r="B98" s="9"/>
      <c r="C98" s="5" t="s">
        <v>52</v>
      </c>
      <c r="P98" s="17"/>
    </row>
    <row r="99" spans="2:16" ht="15" thickBot="1" x14ac:dyDescent="0.35">
      <c r="B99" s="9"/>
      <c r="C99" s="5" t="s">
        <v>53</v>
      </c>
      <c r="P99" s="17"/>
    </row>
    <row r="100" spans="2:16" ht="15" thickBot="1" x14ac:dyDescent="0.35">
      <c r="B100" s="9"/>
      <c r="C100" s="5" t="s">
        <v>54</v>
      </c>
      <c r="P100" s="17"/>
    </row>
    <row r="101" spans="2:16" ht="15" thickBot="1" x14ac:dyDescent="0.35">
      <c r="C101" s="5" t="s">
        <v>55</v>
      </c>
      <c r="P101" s="17"/>
    </row>
    <row r="102" spans="2:16" x14ac:dyDescent="0.3">
      <c r="P102" s="17"/>
    </row>
    <row r="103" spans="2:16" x14ac:dyDescent="0.3">
      <c r="P103" s="17"/>
    </row>
    <row r="104" spans="2:16" x14ac:dyDescent="0.3">
      <c r="P104" s="17"/>
    </row>
    <row r="105" spans="2:16" x14ac:dyDescent="0.3">
      <c r="P105" s="17"/>
    </row>
  </sheetData>
  <mergeCells count="7">
    <mergeCell ref="B82:P82"/>
    <mergeCell ref="B83:O83"/>
    <mergeCell ref="B54:O54"/>
    <mergeCell ref="B1:P1"/>
    <mergeCell ref="B2:O2"/>
    <mergeCell ref="B26:P26"/>
    <mergeCell ref="B53:P53"/>
  </mergeCells>
  <conditionalFormatting sqref="C6">
    <cfRule type="cellIs" dxfId="9" priority="1" operator="equal">
      <formula>"Disponible"</formula>
    </cfRule>
  </conditionalFormatting>
  <conditionalFormatting sqref="C8">
    <cfRule type="cellIs" dxfId="8" priority="6" operator="equal">
      <formula>"Disponible"</formula>
    </cfRule>
  </conditionalFormatting>
  <conditionalFormatting sqref="C32">
    <cfRule type="cellIs" dxfId="7" priority="3" operator="equal">
      <formula>"Disponible"</formula>
    </cfRule>
  </conditionalFormatting>
  <conditionalFormatting sqref="C59">
    <cfRule type="cellIs" dxfId="6" priority="4" operator="equal">
      <formula>"Disponible"</formula>
    </cfRule>
  </conditionalFormatting>
  <conditionalFormatting sqref="C88">
    <cfRule type="cellIs" dxfId="5" priority="2" operator="equal">
      <formula>"Disponible"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65E3-C582-4E2F-BE9F-4F6B0943FCAC}">
  <sheetPr>
    <tabColor theme="6" tint="0.39997558519241921"/>
  </sheetPr>
  <dimension ref="A1:BB3500"/>
  <sheetViews>
    <sheetView workbookViewId="0">
      <selection activeCell="C17" sqref="C17"/>
    </sheetView>
  </sheetViews>
  <sheetFormatPr baseColWidth="10" defaultColWidth="11.44140625" defaultRowHeight="14.4" x14ac:dyDescent="0.3"/>
  <cols>
    <col min="1" max="1" width="46.33203125" bestFit="1" customWidth="1"/>
    <col min="2" max="2" width="19.44140625" bestFit="1" customWidth="1"/>
    <col min="3" max="3" width="35.109375" bestFit="1" customWidth="1"/>
    <col min="4" max="4" width="37.109375" style="31" bestFit="1" customWidth="1"/>
    <col min="5" max="5" width="16.109375" bestFit="1" customWidth="1"/>
    <col min="6" max="6" width="13" bestFit="1" customWidth="1"/>
    <col min="7" max="7" width="18.33203125" bestFit="1" customWidth="1"/>
    <col min="8" max="8" width="80.88671875" bestFit="1" customWidth="1"/>
    <col min="9" max="9" width="22.44140625" style="86" bestFit="1" customWidth="1"/>
    <col min="10" max="10" width="23.5546875" style="86" bestFit="1" customWidth="1"/>
    <col min="11" max="11" width="23.88671875" style="86" bestFit="1" customWidth="1"/>
    <col min="12" max="12" width="23.5546875" style="86" bestFit="1" customWidth="1"/>
    <col min="13" max="13" width="19" bestFit="1" customWidth="1"/>
    <col min="14" max="14" width="23.88671875" style="86" bestFit="1" customWidth="1"/>
    <col min="15" max="15" width="23.5546875" style="86" bestFit="1" customWidth="1"/>
    <col min="16" max="16" width="26.33203125" style="86" bestFit="1" customWidth="1"/>
    <col min="17" max="17" width="15" bestFit="1" customWidth="1"/>
    <col min="18" max="18" width="14.109375" bestFit="1" customWidth="1"/>
    <col min="19" max="19" width="31.33203125" bestFit="1" customWidth="1"/>
    <col min="20" max="20" width="15.6640625" bestFit="1" customWidth="1"/>
    <col min="21" max="21" width="24.109375" bestFit="1" customWidth="1"/>
    <col min="22" max="22" width="23.44140625" bestFit="1" customWidth="1"/>
    <col min="23" max="23" width="32.6640625" style="86" bestFit="1" customWidth="1"/>
    <col min="24" max="24" width="33.6640625" bestFit="1" customWidth="1"/>
    <col min="25" max="25" width="34" bestFit="1" customWidth="1"/>
    <col min="26" max="26" width="19.5546875" style="86" bestFit="1" customWidth="1"/>
    <col min="27" max="27" width="23.5546875" style="86" bestFit="1" customWidth="1"/>
    <col min="28" max="28" width="18.44140625" style="86" bestFit="1" customWidth="1"/>
    <col min="29" max="29" width="66.6640625" bestFit="1" customWidth="1"/>
    <col min="30" max="30" width="21.33203125" bestFit="1" customWidth="1"/>
    <col min="31" max="31" width="21.6640625" style="133" bestFit="1" customWidth="1"/>
    <col min="32" max="32" width="19" bestFit="1" customWidth="1"/>
    <col min="33" max="33" width="10.6640625" bestFit="1" customWidth="1"/>
    <col min="34" max="34" width="20.6640625" bestFit="1" customWidth="1"/>
    <col min="35" max="35" width="26.6640625" bestFit="1" customWidth="1"/>
    <col min="36" max="36" width="26.109375" bestFit="1" customWidth="1"/>
    <col min="37" max="37" width="18" bestFit="1" customWidth="1"/>
    <col min="38" max="38" width="18.6640625" bestFit="1" customWidth="1"/>
    <col min="39" max="39" width="8.33203125" bestFit="1" customWidth="1"/>
    <col min="40" max="40" width="19.44140625" bestFit="1" customWidth="1"/>
    <col min="41" max="41" width="20.6640625" bestFit="1" customWidth="1"/>
    <col min="42" max="42" width="18.5546875" bestFit="1" customWidth="1"/>
    <col min="43" max="43" width="20" bestFit="1" customWidth="1"/>
    <col min="44" max="44" width="22.33203125" bestFit="1" customWidth="1"/>
    <col min="45" max="45" width="16.6640625" bestFit="1" customWidth="1"/>
    <col min="46" max="46" width="13.88671875" bestFit="1" customWidth="1"/>
    <col min="47" max="47" width="16" bestFit="1" customWidth="1"/>
    <col min="48" max="48" width="13.6640625" bestFit="1" customWidth="1"/>
    <col min="49" max="49" width="15.109375" style="31" bestFit="1" customWidth="1"/>
    <col min="50" max="50" width="15.6640625" style="31" bestFit="1" customWidth="1"/>
    <col min="51" max="51" width="18.33203125" style="159" bestFit="1" customWidth="1"/>
    <col min="52" max="52" width="27.6640625" style="163" bestFit="1" customWidth="1"/>
    <col min="53" max="53" width="12.44140625" bestFit="1" customWidth="1"/>
    <col min="54" max="54" width="49.33203125" bestFit="1" customWidth="1"/>
    <col min="55" max="55" width="23.6640625" bestFit="1" customWidth="1"/>
    <col min="56" max="56" width="17.109375" bestFit="1" customWidth="1"/>
    <col min="57" max="57" width="11.6640625" customWidth="1"/>
    <col min="58" max="58" width="47" bestFit="1" customWidth="1"/>
    <col min="59" max="59" width="21.33203125" bestFit="1" customWidth="1"/>
    <col min="60" max="60" width="51.109375" bestFit="1" customWidth="1"/>
  </cols>
  <sheetData>
    <row r="1" spans="1:54" x14ac:dyDescent="0.3">
      <c r="A1" s="31" t="s">
        <v>3</v>
      </c>
      <c r="B1" s="31" t="s">
        <v>13</v>
      </c>
      <c r="C1" s="31" t="s">
        <v>19</v>
      </c>
      <c r="D1" s="31" t="s">
        <v>24</v>
      </c>
      <c r="E1" s="31" t="s">
        <v>27</v>
      </c>
      <c r="F1" s="31" t="s">
        <v>30</v>
      </c>
      <c r="G1" s="31" t="s">
        <v>60</v>
      </c>
      <c r="H1" s="31" t="s">
        <v>61</v>
      </c>
      <c r="I1" s="83" t="s">
        <v>62</v>
      </c>
      <c r="J1" s="83" t="s">
        <v>33</v>
      </c>
      <c r="K1" s="83" t="s">
        <v>36</v>
      </c>
      <c r="L1" s="83" t="s">
        <v>39</v>
      </c>
      <c r="M1" s="83" t="s">
        <v>41</v>
      </c>
      <c r="N1" s="83" t="s">
        <v>43</v>
      </c>
      <c r="O1" s="83" t="s">
        <v>45</v>
      </c>
      <c r="P1" s="31" t="s">
        <v>47</v>
      </c>
      <c r="Q1" s="31" t="s">
        <v>49</v>
      </c>
      <c r="R1" t="s">
        <v>51</v>
      </c>
      <c r="S1" s="31" t="s">
        <v>52</v>
      </c>
      <c r="T1" s="31" t="s">
        <v>53</v>
      </c>
      <c r="U1" s="31" t="s">
        <v>54</v>
      </c>
      <c r="V1" s="31" t="s">
        <v>55</v>
      </c>
      <c r="W1" s="83" t="s">
        <v>11</v>
      </c>
      <c r="X1" s="83" t="s">
        <v>17</v>
      </c>
      <c r="Y1" s="83" t="s">
        <v>22</v>
      </c>
      <c r="Z1" s="31" t="s">
        <v>9</v>
      </c>
      <c r="AA1" s="31" t="s">
        <v>16</v>
      </c>
      <c r="AB1" s="131" t="s">
        <v>21</v>
      </c>
      <c r="AC1" s="31" t="s">
        <v>26</v>
      </c>
      <c r="AD1" s="31" t="s">
        <v>29</v>
      </c>
      <c r="AE1" s="31" t="s">
        <v>32</v>
      </c>
      <c r="AF1" s="31" t="s">
        <v>35</v>
      </c>
      <c r="AG1" s="31" t="s">
        <v>38</v>
      </c>
      <c r="AH1" s="31" t="s">
        <v>40</v>
      </c>
      <c r="AI1" s="31" t="s">
        <v>42</v>
      </c>
      <c r="AJ1" s="31" t="s">
        <v>44</v>
      </c>
      <c r="AK1" s="31" t="s">
        <v>46</v>
      </c>
      <c r="AL1" s="31" t="s">
        <v>48</v>
      </c>
      <c r="AM1" s="31" t="s">
        <v>50</v>
      </c>
      <c r="AN1" s="31" t="s">
        <v>7</v>
      </c>
      <c r="AO1" s="31" t="s">
        <v>15</v>
      </c>
      <c r="AP1" s="31" t="s">
        <v>5</v>
      </c>
      <c r="AQ1" s="31" t="s">
        <v>14</v>
      </c>
      <c r="AR1" s="31" t="s">
        <v>20</v>
      </c>
      <c r="AS1" s="31" t="s">
        <v>25</v>
      </c>
      <c r="AT1" s="31" t="s">
        <v>28</v>
      </c>
      <c r="AU1" s="31" t="s">
        <v>31</v>
      </c>
      <c r="AV1" s="33" t="s">
        <v>34</v>
      </c>
      <c r="AW1" s="31" t="s">
        <v>65</v>
      </c>
      <c r="AX1" s="31" t="s">
        <v>37</v>
      </c>
      <c r="AY1" s="159" t="s">
        <v>66</v>
      </c>
      <c r="AZ1" s="161" t="s">
        <v>67</v>
      </c>
      <c r="BA1" t="s">
        <v>68</v>
      </c>
      <c r="BB1" t="s">
        <v>69</v>
      </c>
    </row>
    <row r="2" spans="1:54" x14ac:dyDescent="0.3">
      <c r="A2" s="52" t="s">
        <v>70</v>
      </c>
      <c r="B2" s="52" t="s">
        <v>71</v>
      </c>
      <c r="C2" s="52" t="s">
        <v>72</v>
      </c>
      <c r="D2" s="52"/>
      <c r="E2" s="143">
        <v>15857</v>
      </c>
      <c r="F2" s="52" t="s">
        <v>73</v>
      </c>
      <c r="G2" s="53">
        <v>45054</v>
      </c>
      <c r="H2" s="52" t="s">
        <v>74</v>
      </c>
      <c r="I2" s="130">
        <v>2.2734104811755063</v>
      </c>
      <c r="J2" s="130"/>
      <c r="K2" s="130"/>
      <c r="L2" s="130"/>
      <c r="M2" s="130"/>
      <c r="N2" s="130"/>
      <c r="O2" s="130"/>
      <c r="P2" s="52" t="s">
        <v>75</v>
      </c>
      <c r="Q2" s="52" t="s">
        <v>76</v>
      </c>
      <c r="R2" s="52" t="s">
        <v>76</v>
      </c>
      <c r="S2" s="52"/>
      <c r="T2" s="52" t="s">
        <v>77</v>
      </c>
      <c r="U2" s="99" t="s">
        <v>78</v>
      </c>
      <c r="V2" s="146">
        <v>0</v>
      </c>
      <c r="W2" s="145">
        <v>0</v>
      </c>
      <c r="X2" s="130">
        <v>0</v>
      </c>
      <c r="Y2" s="130">
        <v>0</v>
      </c>
      <c r="Z2" s="130"/>
      <c r="AA2" s="52"/>
      <c r="AB2" s="147"/>
      <c r="AC2" s="130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/>
      <c r="AX2" s="52"/>
      <c r="AY2"/>
      <c r="AZ2" s="130"/>
      <c r="BB2" s="52" t="str">
        <f>BBDD_TERRENO[[#This Row],[Comuna]]&amp;BBDD_TERRENO[[#This Row],[Identificacion Propiedad]]</f>
        <v>Puerto MonttLote A (Fusión 7-A, I11 y B09)</v>
      </c>
    </row>
    <row r="3" spans="1:54" x14ac:dyDescent="0.3">
      <c r="A3" s="31" t="s">
        <v>79</v>
      </c>
      <c r="B3" s="31" t="s">
        <v>80</v>
      </c>
      <c r="C3" s="31" t="s">
        <v>81</v>
      </c>
      <c r="E3" s="42">
        <v>91338.55</v>
      </c>
      <c r="F3" s="31" t="s">
        <v>73</v>
      </c>
      <c r="G3" s="32"/>
      <c r="H3" s="31" t="s">
        <v>82</v>
      </c>
      <c r="I3" s="83"/>
      <c r="J3" s="83">
        <v>16081312316</v>
      </c>
      <c r="K3" s="83">
        <v>0</v>
      </c>
      <c r="L3" s="83">
        <v>16081312316</v>
      </c>
      <c r="M3" s="83"/>
      <c r="N3" s="83"/>
      <c r="O3" s="83"/>
      <c r="P3" s="31" t="s">
        <v>75</v>
      </c>
      <c r="Q3" s="31" t="s">
        <v>83</v>
      </c>
      <c r="R3" s="31" t="s">
        <v>83</v>
      </c>
      <c r="S3" s="31" t="s">
        <v>84</v>
      </c>
      <c r="T3" s="31" t="s">
        <v>77</v>
      </c>
      <c r="U3" s="35" t="s">
        <v>85</v>
      </c>
      <c r="V3" s="134">
        <v>106245.26258384377</v>
      </c>
      <c r="W3" s="85">
        <v>-16081312316</v>
      </c>
      <c r="X3" s="83">
        <v>-16081312316</v>
      </c>
      <c r="Y3" s="83">
        <v>0</v>
      </c>
      <c r="Z3" s="83">
        <v>91338.55</v>
      </c>
      <c r="AA3" s="31">
        <v>173</v>
      </c>
      <c r="AB3" s="132">
        <v>41207</v>
      </c>
      <c r="AC3" s="83" t="s">
        <v>86</v>
      </c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41">
        <v>3</v>
      </c>
      <c r="AO3" s="41">
        <v>274015.65000000002</v>
      </c>
      <c r="AP3" s="41">
        <v>2.6999990693962186</v>
      </c>
      <c r="AQ3" s="41">
        <v>246614</v>
      </c>
      <c r="AR3" s="41"/>
      <c r="AS3" s="32">
        <v>43893</v>
      </c>
      <c r="AT3" s="31" t="s">
        <v>87</v>
      </c>
      <c r="AU3" s="41">
        <v>246614</v>
      </c>
      <c r="AV3" s="33" t="s">
        <v>88</v>
      </c>
      <c r="AZ3" s="161"/>
      <c r="BB3" s="31" t="str">
        <f>BBDD_TERRENO[[#This Row],[Comuna]]&amp;BBDD_TERRENO[[#This Row],[Identificacion Propiedad]]</f>
        <v>San Pedro de la PazLote C3-1C-D</v>
      </c>
    </row>
    <row r="4" spans="1:54" x14ac:dyDescent="0.3">
      <c r="A4" s="31" t="s">
        <v>89</v>
      </c>
      <c r="B4" s="31" t="s">
        <v>80</v>
      </c>
      <c r="C4" s="31" t="s">
        <v>90</v>
      </c>
      <c r="E4" s="42">
        <v>7150.47</v>
      </c>
      <c r="F4" s="31" t="s">
        <v>73</v>
      </c>
      <c r="G4" s="32">
        <v>45657</v>
      </c>
      <c r="H4" s="31" t="s">
        <v>91</v>
      </c>
      <c r="I4" s="83">
        <v>3</v>
      </c>
      <c r="J4" s="83">
        <v>370509599</v>
      </c>
      <c r="K4" s="83">
        <v>0</v>
      </c>
      <c r="L4" s="83">
        <v>370509599</v>
      </c>
      <c r="M4" s="83"/>
      <c r="N4" s="83"/>
      <c r="O4" s="83"/>
      <c r="P4" s="31" t="s">
        <v>75</v>
      </c>
      <c r="Q4" s="31" t="s">
        <v>92</v>
      </c>
      <c r="R4" s="31" t="s">
        <v>92</v>
      </c>
      <c r="S4" s="31"/>
      <c r="T4" s="31" t="s">
        <v>77</v>
      </c>
      <c r="U4" s="35" t="s">
        <v>78</v>
      </c>
      <c r="V4" s="134">
        <v>6380.787003832038</v>
      </c>
      <c r="W4" s="85">
        <v>-370509599</v>
      </c>
      <c r="X4" s="83">
        <v>-370509599</v>
      </c>
      <c r="Y4" s="83">
        <v>0</v>
      </c>
      <c r="Z4" s="83">
        <v>7150.47</v>
      </c>
      <c r="AA4" s="31">
        <v>69</v>
      </c>
      <c r="AB4" s="132">
        <v>41947</v>
      </c>
      <c r="AC4" s="83" t="s">
        <v>93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41">
        <v>3</v>
      </c>
      <c r="AO4" s="41">
        <v>21451.41</v>
      </c>
      <c r="AP4" s="41">
        <v>3</v>
      </c>
      <c r="AQ4" s="41">
        <v>21451.41</v>
      </c>
      <c r="AR4" s="41"/>
      <c r="AS4" s="32">
        <v>43423</v>
      </c>
      <c r="AT4" s="31" t="s">
        <v>94</v>
      </c>
      <c r="AU4" s="41">
        <v>21451.41</v>
      </c>
      <c r="AV4" s="33" t="s">
        <v>88</v>
      </c>
      <c r="AZ4" s="161"/>
      <c r="BB4" s="31" t="str">
        <f>BBDD_TERRENO[[#This Row],[Comuna]]&amp;BBDD_TERRENO[[#This Row],[Identificacion Propiedad]]</f>
        <v>San Pedro de la PazLote F-1A-A</v>
      </c>
    </row>
    <row r="5" spans="1:54" x14ac:dyDescent="0.3">
      <c r="A5" s="31" t="s">
        <v>89</v>
      </c>
      <c r="B5" s="31" t="s">
        <v>80</v>
      </c>
      <c r="C5" s="31" t="s">
        <v>95</v>
      </c>
      <c r="E5" s="42">
        <v>9728.7559999999994</v>
      </c>
      <c r="F5" s="31" t="s">
        <v>73</v>
      </c>
      <c r="G5" s="32"/>
      <c r="H5" s="31"/>
      <c r="I5" s="83"/>
      <c r="J5" s="83"/>
      <c r="K5" s="83"/>
      <c r="L5" s="83"/>
      <c r="M5" s="83"/>
      <c r="N5" s="83"/>
      <c r="O5" s="83"/>
      <c r="P5" s="31" t="s">
        <v>96</v>
      </c>
      <c r="Q5" s="31" t="s">
        <v>97</v>
      </c>
      <c r="R5" s="31"/>
      <c r="S5" s="31"/>
      <c r="T5" s="31" t="s">
        <v>77</v>
      </c>
      <c r="U5" s="35" t="s">
        <v>98</v>
      </c>
      <c r="V5" s="134">
        <v>5399.9309281668866</v>
      </c>
      <c r="W5" s="85">
        <v>0</v>
      </c>
      <c r="X5" s="83">
        <v>0</v>
      </c>
      <c r="Y5" s="83">
        <v>0</v>
      </c>
      <c r="Z5" s="83">
        <v>9728.76</v>
      </c>
      <c r="AA5" s="31" t="s">
        <v>99</v>
      </c>
      <c r="AB5" s="132">
        <v>42648</v>
      </c>
      <c r="AC5" s="83" t="s">
        <v>100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41">
        <v>2.4</v>
      </c>
      <c r="AO5" s="41">
        <v>23349.014399999996</v>
      </c>
      <c r="AP5" s="41">
        <v>2.4</v>
      </c>
      <c r="AQ5" s="41">
        <v>23349.014399999996</v>
      </c>
      <c r="AR5" s="41"/>
      <c r="AS5" s="32">
        <v>44286</v>
      </c>
      <c r="AT5" s="31" t="s">
        <v>101</v>
      </c>
      <c r="AU5" s="41">
        <v>23349.014399999996</v>
      </c>
      <c r="AV5" s="33" t="s">
        <v>101</v>
      </c>
      <c r="AZ5" s="161"/>
      <c r="BB5" s="31" t="str">
        <f>BBDD_TERRENO[[#This Row],[Comuna]]&amp;BBDD_TERRENO[[#This Row],[Identificacion Propiedad]]</f>
        <v>San Pedro de la PazLote A-C5-B-5</v>
      </c>
    </row>
    <row r="6" spans="1:54" x14ac:dyDescent="0.3">
      <c r="A6" s="31" t="s">
        <v>89</v>
      </c>
      <c r="B6" s="31" t="s">
        <v>80</v>
      </c>
      <c r="C6" s="31" t="s">
        <v>102</v>
      </c>
      <c r="E6" s="42">
        <v>9777.3580000000002</v>
      </c>
      <c r="F6" s="31" t="s">
        <v>73</v>
      </c>
      <c r="G6" s="32">
        <v>45657</v>
      </c>
      <c r="H6" s="31" t="s">
        <v>103</v>
      </c>
      <c r="I6" s="83">
        <v>3.0001104633323106</v>
      </c>
      <c r="J6" s="83">
        <v>464791152</v>
      </c>
      <c r="K6" s="83">
        <v>0</v>
      </c>
      <c r="L6" s="83">
        <v>464791152</v>
      </c>
      <c r="M6" s="83"/>
      <c r="N6" s="83"/>
      <c r="O6" s="83"/>
      <c r="P6" s="31" t="s">
        <v>96</v>
      </c>
      <c r="Q6" s="31" t="s">
        <v>104</v>
      </c>
      <c r="R6" s="31"/>
      <c r="S6" s="31" t="s">
        <v>105</v>
      </c>
      <c r="T6" s="31" t="s">
        <v>106</v>
      </c>
      <c r="U6" s="35" t="s">
        <v>78</v>
      </c>
      <c r="V6" s="134">
        <v>5426.9062335074095</v>
      </c>
      <c r="W6" s="85">
        <v>-464791152</v>
      </c>
      <c r="X6" s="83">
        <v>-464791152</v>
      </c>
      <c r="Y6" s="83">
        <v>0</v>
      </c>
      <c r="Z6" s="83">
        <v>9777.36</v>
      </c>
      <c r="AA6" s="31" t="s">
        <v>99</v>
      </c>
      <c r="AB6" s="132">
        <v>42648</v>
      </c>
      <c r="AC6" s="83" t="s">
        <v>107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1">
        <v>2.2999999999999998</v>
      </c>
      <c r="AO6" s="41">
        <v>22487.9234</v>
      </c>
      <c r="AP6" s="41">
        <v>1.9999656675936417</v>
      </c>
      <c r="AQ6" s="41">
        <v>19554.380319772034</v>
      </c>
      <c r="AR6" s="41">
        <v>13688.08</v>
      </c>
      <c r="AS6" s="32">
        <v>44235</v>
      </c>
      <c r="AT6" s="31" t="s">
        <v>108</v>
      </c>
      <c r="AU6" s="41">
        <v>19554.380319772034</v>
      </c>
      <c r="AV6" s="33" t="s">
        <v>108</v>
      </c>
      <c r="AX6" s="31" t="s">
        <v>109</v>
      </c>
      <c r="AZ6" s="161"/>
      <c r="BB6" s="31" t="str">
        <f>BBDD_TERRENO[[#This Row],[Comuna]]&amp;BBDD_TERRENO[[#This Row],[Identificacion Propiedad]]</f>
        <v>San Pedro de la PazLote A-C5-B-6</v>
      </c>
    </row>
    <row r="7" spans="1:54" x14ac:dyDescent="0.3">
      <c r="A7" s="31" t="s">
        <v>89</v>
      </c>
      <c r="B7" s="31" t="s">
        <v>80</v>
      </c>
      <c r="C7" s="31" t="s">
        <v>110</v>
      </c>
      <c r="E7" s="42">
        <v>5234.5510000000004</v>
      </c>
      <c r="F7" s="31" t="s">
        <v>73</v>
      </c>
      <c r="G7" s="32">
        <v>45657</v>
      </c>
      <c r="H7" s="31" t="s">
        <v>103</v>
      </c>
      <c r="I7" s="83">
        <v>3.0001104633323106</v>
      </c>
      <c r="J7" s="83">
        <v>248867923</v>
      </c>
      <c r="K7" s="83">
        <v>0</v>
      </c>
      <c r="L7" s="83">
        <v>247867923</v>
      </c>
      <c r="M7" s="83"/>
      <c r="N7" s="83"/>
      <c r="O7" s="83"/>
      <c r="P7" s="31" t="s">
        <v>96</v>
      </c>
      <c r="Q7" s="31" t="s">
        <v>111</v>
      </c>
      <c r="R7" s="31"/>
      <c r="S7" s="31" t="s">
        <v>105</v>
      </c>
      <c r="T7" s="31" t="s">
        <v>106</v>
      </c>
      <c r="U7" s="35" t="s">
        <v>78</v>
      </c>
      <c r="V7" s="134">
        <v>2905.4276283342947</v>
      </c>
      <c r="W7" s="85">
        <v>-248867923</v>
      </c>
      <c r="X7" s="83">
        <v>-247867923</v>
      </c>
      <c r="Y7" s="83">
        <v>0</v>
      </c>
      <c r="Z7" s="83">
        <v>5234.55</v>
      </c>
      <c r="AA7" s="31" t="s">
        <v>99</v>
      </c>
      <c r="AB7" s="132">
        <v>42648</v>
      </c>
      <c r="AC7" s="83" t="s">
        <v>112</v>
      </c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41">
        <v>2.2999999999999998</v>
      </c>
      <c r="AO7" s="41">
        <v>12039.4673</v>
      </c>
      <c r="AP7" s="41">
        <v>1.9999656675936417</v>
      </c>
      <c r="AQ7" s="41">
        <v>10468.922285267963</v>
      </c>
      <c r="AR7" s="41">
        <v>7328.24</v>
      </c>
      <c r="AS7" s="32">
        <v>44235</v>
      </c>
      <c r="AT7" s="31" t="s">
        <v>108</v>
      </c>
      <c r="AU7" s="41">
        <v>10468.922285267963</v>
      </c>
      <c r="AV7" s="33" t="s">
        <v>108</v>
      </c>
      <c r="AX7" s="31" t="s">
        <v>109</v>
      </c>
      <c r="AZ7" s="161"/>
      <c r="BB7" s="31" t="str">
        <f>BBDD_TERRENO[[#This Row],[Comuna]]&amp;BBDD_TERRENO[[#This Row],[Identificacion Propiedad]]</f>
        <v>San Pedro de la PazLote A-C5-B-7</v>
      </c>
    </row>
    <row r="8" spans="1:54" x14ac:dyDescent="0.3">
      <c r="A8" s="31" t="s">
        <v>89</v>
      </c>
      <c r="B8" s="31" t="s">
        <v>80</v>
      </c>
      <c r="C8" s="31" t="s">
        <v>113</v>
      </c>
      <c r="E8" s="42">
        <v>8561.26</v>
      </c>
      <c r="F8" s="31" t="s">
        <v>73</v>
      </c>
      <c r="G8" s="32">
        <v>44551</v>
      </c>
      <c r="H8" s="31" t="s">
        <v>103</v>
      </c>
      <c r="I8" s="83">
        <v>2.85</v>
      </c>
      <c r="J8" s="83"/>
      <c r="K8" s="83"/>
      <c r="L8" s="83"/>
      <c r="M8" s="83"/>
      <c r="N8" s="83"/>
      <c r="O8" s="83"/>
      <c r="P8" s="31" t="s">
        <v>96</v>
      </c>
      <c r="Q8" s="31" t="s">
        <v>114</v>
      </c>
      <c r="R8" s="31"/>
      <c r="S8" s="31"/>
      <c r="T8" s="31" t="s">
        <v>106</v>
      </c>
      <c r="U8" s="35" t="s">
        <v>78</v>
      </c>
      <c r="V8" s="134">
        <v>0</v>
      </c>
      <c r="W8" s="85">
        <v>0</v>
      </c>
      <c r="X8" s="83">
        <v>0</v>
      </c>
      <c r="Y8" s="83">
        <v>0</v>
      </c>
      <c r="Z8" s="83">
        <v>8561.26</v>
      </c>
      <c r="AA8" s="31" t="s">
        <v>99</v>
      </c>
      <c r="AB8" s="132">
        <v>42648</v>
      </c>
      <c r="AC8" s="83" t="s">
        <v>115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41">
        <v>1.9999649584290164</v>
      </c>
      <c r="AO8" s="41">
        <v>17122.22</v>
      </c>
      <c r="AP8" s="41">
        <v>1.9999649584290164</v>
      </c>
      <c r="AQ8" s="41">
        <v>17122.22</v>
      </c>
      <c r="AR8" s="41"/>
      <c r="AS8" s="32">
        <v>44235</v>
      </c>
      <c r="AT8" s="31" t="s">
        <v>108</v>
      </c>
      <c r="AU8" s="41"/>
      <c r="AV8" s="33"/>
      <c r="AZ8" s="161"/>
      <c r="BB8" s="31" t="str">
        <f>BBDD_TERRENO[[#This Row],[Comuna]]&amp;BBDD_TERRENO[[#This Row],[Identificacion Propiedad]]</f>
        <v>San Pedro de la PazLote A-C5-B-4</v>
      </c>
    </row>
    <row r="9" spans="1:54" x14ac:dyDescent="0.3">
      <c r="A9" s="31" t="s">
        <v>89</v>
      </c>
      <c r="B9" s="31" t="s">
        <v>80</v>
      </c>
      <c r="C9" s="31" t="s">
        <v>116</v>
      </c>
      <c r="E9" s="42">
        <v>28469.481</v>
      </c>
      <c r="F9" s="31" t="s">
        <v>73</v>
      </c>
      <c r="G9" s="32">
        <v>42853</v>
      </c>
      <c r="H9" s="31" t="s">
        <v>117</v>
      </c>
      <c r="I9" s="83">
        <v>1.5800000007025066</v>
      </c>
      <c r="J9" s="83"/>
      <c r="K9" s="83"/>
      <c r="L9" s="83"/>
      <c r="M9" s="83"/>
      <c r="N9" s="83"/>
      <c r="O9" s="83"/>
      <c r="P9" s="31" t="s">
        <v>96</v>
      </c>
      <c r="Q9" s="31" t="s">
        <v>118</v>
      </c>
      <c r="R9" s="31"/>
      <c r="S9" s="31"/>
      <c r="T9" s="31"/>
      <c r="U9" s="35"/>
      <c r="V9" s="134">
        <v>0</v>
      </c>
      <c r="W9" s="85">
        <v>0</v>
      </c>
      <c r="X9" s="83">
        <v>0</v>
      </c>
      <c r="Y9" s="83">
        <v>0</v>
      </c>
      <c r="Z9" s="83"/>
      <c r="AA9" s="31"/>
      <c r="AB9" s="132"/>
      <c r="AC9" s="83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41"/>
      <c r="AO9" s="41"/>
      <c r="AP9" s="41"/>
      <c r="AQ9" s="41"/>
      <c r="AR9" s="41"/>
      <c r="AS9" s="32"/>
      <c r="AT9" s="31"/>
      <c r="AU9" s="41"/>
      <c r="AV9" s="33"/>
      <c r="AZ9" s="161"/>
      <c r="BB9" s="31" t="str">
        <f>BBDD_TERRENO[[#This Row],[Comuna]]&amp;BBDD_TERRENO[[#This Row],[Identificacion Propiedad]]</f>
        <v>San Pedro de la PazLote A-C5-B-3</v>
      </c>
    </row>
    <row r="10" spans="1:54" x14ac:dyDescent="0.3">
      <c r="A10" s="31" t="s">
        <v>89</v>
      </c>
      <c r="B10" s="31" t="s">
        <v>80</v>
      </c>
      <c r="C10" s="31" t="s">
        <v>119</v>
      </c>
      <c r="E10" s="42">
        <v>10359.56</v>
      </c>
      <c r="F10" s="31" t="s">
        <v>73</v>
      </c>
      <c r="G10" s="32">
        <v>42731</v>
      </c>
      <c r="H10" s="31" t="s">
        <v>120</v>
      </c>
      <c r="I10" s="83">
        <v>1.5000028958758869</v>
      </c>
      <c r="J10" s="83"/>
      <c r="K10" s="83"/>
      <c r="L10" s="83"/>
      <c r="M10" s="83"/>
      <c r="N10" s="83"/>
      <c r="O10" s="83"/>
      <c r="P10" s="31" t="s">
        <v>96</v>
      </c>
      <c r="Q10" s="31" t="s">
        <v>121</v>
      </c>
      <c r="R10" s="31"/>
      <c r="S10" s="31"/>
      <c r="T10" s="31"/>
      <c r="U10" s="35"/>
      <c r="V10" s="134">
        <v>0</v>
      </c>
      <c r="W10" s="85">
        <v>0</v>
      </c>
      <c r="X10" s="83">
        <v>0</v>
      </c>
      <c r="Y10" s="83">
        <v>0</v>
      </c>
      <c r="Z10" s="83"/>
      <c r="AA10" s="31"/>
      <c r="AB10" s="132"/>
      <c r="AC10" s="83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41"/>
      <c r="AO10" s="41"/>
      <c r="AP10" s="41"/>
      <c r="AQ10" s="41"/>
      <c r="AR10" s="41"/>
      <c r="AS10" s="32"/>
      <c r="AT10" s="31"/>
      <c r="AU10" s="41"/>
      <c r="AV10" s="33"/>
      <c r="AZ10" s="161"/>
      <c r="BB10" s="31" t="str">
        <f>BBDD_TERRENO[[#This Row],[Comuna]]&amp;BBDD_TERRENO[[#This Row],[Identificacion Propiedad]]</f>
        <v>San Pedro de la PazLote A-C5-B-2</v>
      </c>
    </row>
    <row r="11" spans="1:54" x14ac:dyDescent="0.3">
      <c r="A11" s="31" t="s">
        <v>89</v>
      </c>
      <c r="B11" s="31" t="s">
        <v>80</v>
      </c>
      <c r="C11" s="31" t="s">
        <v>122</v>
      </c>
      <c r="E11" s="42">
        <v>10359.574000000001</v>
      </c>
      <c r="F11" s="31" t="s">
        <v>73</v>
      </c>
      <c r="G11" s="32">
        <v>42731</v>
      </c>
      <c r="H11" s="31" t="s">
        <v>120</v>
      </c>
      <c r="I11" s="83">
        <v>1.500000868761592</v>
      </c>
      <c r="J11" s="83"/>
      <c r="K11" s="83"/>
      <c r="L11" s="83"/>
      <c r="M11" s="83"/>
      <c r="N11" s="83"/>
      <c r="O11" s="83"/>
      <c r="P11" s="31" t="s">
        <v>96</v>
      </c>
      <c r="Q11" s="31" t="s">
        <v>123</v>
      </c>
      <c r="R11" s="31"/>
      <c r="S11" s="31"/>
      <c r="T11" s="31"/>
      <c r="U11" s="35"/>
      <c r="V11" s="134">
        <v>0</v>
      </c>
      <c r="W11" s="85">
        <v>0</v>
      </c>
      <c r="X11" s="83">
        <v>0</v>
      </c>
      <c r="Y11" s="83">
        <v>0</v>
      </c>
      <c r="Z11" s="83"/>
      <c r="AA11" s="31"/>
      <c r="AB11" s="132"/>
      <c r="AC11" s="83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41"/>
      <c r="AO11" s="41"/>
      <c r="AP11" s="41"/>
      <c r="AQ11" s="41"/>
      <c r="AR11" s="41"/>
      <c r="AS11" s="32"/>
      <c r="AT11" s="31"/>
      <c r="AU11" s="41"/>
      <c r="AV11" s="33"/>
      <c r="AZ11" s="161"/>
      <c r="BB11" s="31" t="str">
        <f>BBDD_TERRENO[[#This Row],[Comuna]]&amp;BBDD_TERRENO[[#This Row],[Identificacion Propiedad]]</f>
        <v>San Pedro de la PazLote A-C5-B-1</v>
      </c>
    </row>
    <row r="12" spans="1:54" x14ac:dyDescent="0.3">
      <c r="A12" s="31" t="s">
        <v>89</v>
      </c>
      <c r="B12" s="31" t="s">
        <v>80</v>
      </c>
      <c r="C12" s="31" t="s">
        <v>124</v>
      </c>
      <c r="E12" s="42">
        <v>70694.350000000006</v>
      </c>
      <c r="F12" s="31" t="s">
        <v>73</v>
      </c>
      <c r="G12" s="32">
        <v>42223</v>
      </c>
      <c r="H12" s="31" t="s">
        <v>125</v>
      </c>
      <c r="I12" s="83">
        <v>1</v>
      </c>
      <c r="J12" s="83"/>
      <c r="K12" s="83"/>
      <c r="L12" s="83"/>
      <c r="M12" s="83"/>
      <c r="N12" s="83"/>
      <c r="O12" s="83"/>
      <c r="P12" s="31" t="s">
        <v>96</v>
      </c>
      <c r="Q12" s="31"/>
      <c r="R12" s="31"/>
      <c r="S12" s="31"/>
      <c r="T12" s="31"/>
      <c r="U12" s="35"/>
      <c r="V12" s="134">
        <v>0</v>
      </c>
      <c r="W12" s="85">
        <v>0</v>
      </c>
      <c r="X12" s="83">
        <v>0</v>
      </c>
      <c r="Y12" s="83">
        <v>0</v>
      </c>
      <c r="Z12" s="83"/>
      <c r="AA12" s="31"/>
      <c r="AB12" s="132"/>
      <c r="AC12" s="83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41"/>
      <c r="AO12" s="41"/>
      <c r="AP12" s="41"/>
      <c r="AQ12" s="41"/>
      <c r="AR12" s="41"/>
      <c r="AS12" s="32"/>
      <c r="AT12" s="31"/>
      <c r="AU12" s="41"/>
      <c r="AV12" s="33"/>
      <c r="AZ12" s="161"/>
      <c r="BB12" s="31" t="str">
        <f>BBDD_TERRENO[[#This Row],[Comuna]]&amp;BBDD_TERRENO[[#This Row],[Identificacion Propiedad]]</f>
        <v>San Pedro de la PazLote A-C5-A</v>
      </c>
    </row>
    <row r="13" spans="1:54" x14ac:dyDescent="0.3">
      <c r="A13" s="31" t="s">
        <v>126</v>
      </c>
      <c r="B13" s="31" t="s">
        <v>80</v>
      </c>
      <c r="C13" s="31" t="s">
        <v>127</v>
      </c>
      <c r="E13" s="42">
        <v>7585.68</v>
      </c>
      <c r="F13" s="31" t="s">
        <v>73</v>
      </c>
      <c r="G13" s="32">
        <v>45838</v>
      </c>
      <c r="H13" s="31" t="s">
        <v>128</v>
      </c>
      <c r="I13" s="83"/>
      <c r="J13" s="83">
        <v>376767997</v>
      </c>
      <c r="K13" s="83">
        <v>0</v>
      </c>
      <c r="L13" s="83">
        <v>376767997</v>
      </c>
      <c r="M13" s="83"/>
      <c r="N13" s="83"/>
      <c r="O13" s="83"/>
      <c r="P13" s="31" t="s">
        <v>129</v>
      </c>
      <c r="Q13" s="31" t="s">
        <v>130</v>
      </c>
      <c r="R13" s="31" t="s">
        <v>130</v>
      </c>
      <c r="S13" s="31"/>
      <c r="T13" s="31" t="s">
        <v>77</v>
      </c>
      <c r="U13" s="35" t="s">
        <v>78</v>
      </c>
      <c r="V13" s="134">
        <v>0</v>
      </c>
      <c r="W13" s="85">
        <v>-376767997</v>
      </c>
      <c r="X13" s="83">
        <v>-376767997</v>
      </c>
      <c r="Y13" s="83">
        <v>0</v>
      </c>
      <c r="Z13" s="83">
        <v>7585.68</v>
      </c>
      <c r="AA13" s="31" t="s">
        <v>131</v>
      </c>
      <c r="AB13" s="132">
        <v>44103</v>
      </c>
      <c r="AC13" s="83" t="s">
        <v>132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41">
        <v>2.1770769041531008</v>
      </c>
      <c r="AO13" s="41">
        <v>16514.608730296095</v>
      </c>
      <c r="AP13" s="41">
        <v>2.1770769041531008</v>
      </c>
      <c r="AQ13" s="41">
        <v>16514.608730296095</v>
      </c>
      <c r="AR13" s="41"/>
      <c r="AS13" s="32">
        <v>43525</v>
      </c>
      <c r="AT13" s="31" t="s">
        <v>101</v>
      </c>
      <c r="AU13" s="41">
        <v>16514.608730296095</v>
      </c>
      <c r="AV13" s="33" t="s">
        <v>88</v>
      </c>
      <c r="AZ13" s="161"/>
      <c r="BB13" s="31" t="str">
        <f>BBDD_TERRENO[[#This Row],[Comuna]]&amp;BBDD_TERRENO[[#This Row],[Identificacion Propiedad]]</f>
        <v>San Pedro de la PazLote F1-A2</v>
      </c>
    </row>
    <row r="14" spans="1:54" x14ac:dyDescent="0.3">
      <c r="A14" s="31" t="s">
        <v>133</v>
      </c>
      <c r="B14" s="31" t="s">
        <v>80</v>
      </c>
      <c r="C14" s="31" t="s">
        <v>134</v>
      </c>
      <c r="E14" s="42">
        <v>5207.8999999999996</v>
      </c>
      <c r="F14" s="31" t="s">
        <v>73</v>
      </c>
      <c r="G14" s="32">
        <v>44925</v>
      </c>
      <c r="H14" s="31" t="s">
        <v>135</v>
      </c>
      <c r="I14" s="83">
        <v>3</v>
      </c>
      <c r="J14" s="83"/>
      <c r="K14" s="83"/>
      <c r="L14" s="83"/>
      <c r="M14" s="83"/>
      <c r="N14" s="83"/>
      <c r="O14" s="83"/>
      <c r="P14" s="31" t="s">
        <v>129</v>
      </c>
      <c r="Q14" s="31" t="s">
        <v>136</v>
      </c>
      <c r="R14" s="31" t="s">
        <v>136</v>
      </c>
      <c r="S14" s="31"/>
      <c r="T14" s="31" t="s">
        <v>77</v>
      </c>
      <c r="U14" s="35" t="s">
        <v>78</v>
      </c>
      <c r="V14" s="134">
        <v>0</v>
      </c>
      <c r="W14" s="85">
        <v>0</v>
      </c>
      <c r="X14" s="83">
        <v>0</v>
      </c>
      <c r="Y14" s="83">
        <v>0</v>
      </c>
      <c r="Z14" s="83">
        <v>5207.8999999999996</v>
      </c>
      <c r="AA14" s="31" t="s">
        <v>131</v>
      </c>
      <c r="AB14" s="132">
        <v>44103</v>
      </c>
      <c r="AC14" s="83" t="s">
        <v>137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41">
        <v>2.1770769041531008</v>
      </c>
      <c r="AO14" s="41">
        <v>11337.998809138931</v>
      </c>
      <c r="AP14" s="41">
        <v>2.1770769041531008</v>
      </c>
      <c r="AQ14" s="41">
        <v>11337.998809138931</v>
      </c>
      <c r="AR14" s="41"/>
      <c r="AS14" s="32">
        <v>43525</v>
      </c>
      <c r="AT14" s="31" t="s">
        <v>101</v>
      </c>
      <c r="AU14" s="41"/>
      <c r="AV14" s="33" t="s">
        <v>88</v>
      </c>
      <c r="AZ14" s="161"/>
      <c r="BB14" s="31" t="str">
        <f>BBDD_TERRENO[[#This Row],[Comuna]]&amp;BBDD_TERRENO[[#This Row],[Identificacion Propiedad]]</f>
        <v>San Pedro de la PazLote F1-A1</v>
      </c>
    </row>
    <row r="15" spans="1:54" x14ac:dyDescent="0.3">
      <c r="A15" s="31" t="s">
        <v>133</v>
      </c>
      <c r="B15" s="31" t="s">
        <v>80</v>
      </c>
      <c r="C15" s="31" t="s">
        <v>127</v>
      </c>
      <c r="E15" s="42">
        <v>7585.68</v>
      </c>
      <c r="F15" s="31" t="s">
        <v>73</v>
      </c>
      <c r="G15" s="32">
        <v>45134</v>
      </c>
      <c r="H15" s="31" t="s">
        <v>138</v>
      </c>
      <c r="I15" s="83">
        <v>3</v>
      </c>
      <c r="J15" s="83"/>
      <c r="K15" s="83"/>
      <c r="L15" s="83"/>
      <c r="M15" s="83"/>
      <c r="N15" s="83"/>
      <c r="O15" s="83"/>
      <c r="P15" s="31" t="s">
        <v>129</v>
      </c>
      <c r="Q15" s="31" t="s">
        <v>130</v>
      </c>
      <c r="R15" s="31" t="s">
        <v>130</v>
      </c>
      <c r="S15" s="31"/>
      <c r="T15" s="31" t="s">
        <v>77</v>
      </c>
      <c r="U15" s="35" t="s">
        <v>78</v>
      </c>
      <c r="V15" s="134">
        <v>0</v>
      </c>
      <c r="W15" s="85">
        <v>0</v>
      </c>
      <c r="X15" s="83">
        <v>0</v>
      </c>
      <c r="Y15" s="83">
        <v>0</v>
      </c>
      <c r="Z15" s="83">
        <v>7585.68</v>
      </c>
      <c r="AA15" s="31" t="s">
        <v>131</v>
      </c>
      <c r="AB15" s="132">
        <v>44103</v>
      </c>
      <c r="AC15" s="83" t="s">
        <v>132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41">
        <v>2.1770769041531008</v>
      </c>
      <c r="AO15" s="41">
        <v>16514.608730296095</v>
      </c>
      <c r="AP15" s="41">
        <v>2.1770769041531008</v>
      </c>
      <c r="AQ15" s="41">
        <v>16514.608730296095</v>
      </c>
      <c r="AR15" s="41"/>
      <c r="AS15" s="32">
        <v>43525</v>
      </c>
      <c r="AT15" s="31" t="s">
        <v>101</v>
      </c>
      <c r="AU15" s="41"/>
      <c r="AV15" s="33" t="s">
        <v>88</v>
      </c>
      <c r="AZ15" s="161"/>
      <c r="BB15" s="31" t="str">
        <f>BBDD_TERRENO[[#This Row],[Comuna]]&amp;BBDD_TERRENO[[#This Row],[Identificacion Propiedad]]</f>
        <v>San Pedro de la PazLote F1-A2</v>
      </c>
    </row>
    <row r="16" spans="1:54" x14ac:dyDescent="0.3">
      <c r="A16" s="31" t="s">
        <v>89</v>
      </c>
      <c r="B16" s="31" t="s">
        <v>80</v>
      </c>
      <c r="C16" s="31" t="s">
        <v>139</v>
      </c>
      <c r="E16" s="42">
        <v>1311.15</v>
      </c>
      <c r="F16" s="31" t="s">
        <v>73</v>
      </c>
      <c r="G16" s="32">
        <v>45740</v>
      </c>
      <c r="H16" s="31" t="s">
        <v>140</v>
      </c>
      <c r="I16" s="83">
        <v>1.7999466117530412</v>
      </c>
      <c r="J16" s="83"/>
      <c r="K16" s="83"/>
      <c r="L16" s="83"/>
      <c r="M16" s="83"/>
      <c r="N16" s="83"/>
      <c r="O16" s="83"/>
      <c r="P16" s="31" t="s">
        <v>141</v>
      </c>
      <c r="Q16" s="31" t="s">
        <v>142</v>
      </c>
      <c r="R16" s="31"/>
      <c r="S16" s="31" t="s">
        <v>143</v>
      </c>
      <c r="T16" s="31" t="s">
        <v>106</v>
      </c>
      <c r="U16" s="35" t="s">
        <v>144</v>
      </c>
      <c r="V16" s="134">
        <v>2090.1998137325331</v>
      </c>
      <c r="W16" s="85">
        <v>0</v>
      </c>
      <c r="X16" s="83">
        <v>0</v>
      </c>
      <c r="Y16" s="83">
        <v>0</v>
      </c>
      <c r="Z16" s="83">
        <v>1311.15</v>
      </c>
      <c r="AA16" s="31" t="s">
        <v>145</v>
      </c>
      <c r="AB16" s="132">
        <v>43633</v>
      </c>
      <c r="AC16" s="83" t="s">
        <v>146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41">
        <v>1.6</v>
      </c>
      <c r="AO16" s="41">
        <v>2097.84</v>
      </c>
      <c r="AP16" s="41">
        <v>0.4</v>
      </c>
      <c r="AQ16" s="41">
        <v>524.46</v>
      </c>
      <c r="AR16" s="41"/>
      <c r="AS16" s="32"/>
      <c r="AT16" s="31"/>
      <c r="AU16" s="41"/>
      <c r="AV16" s="33" t="s">
        <v>88</v>
      </c>
      <c r="AZ16" s="161"/>
      <c r="BB16" s="31" t="str">
        <f>BBDD_TERRENO[[#This Row],[Comuna]]&amp;BBDD_TERRENO[[#This Row],[Identificacion Propiedad]]</f>
        <v>San Pedro de la PazLote F-9-X3</v>
      </c>
    </row>
    <row r="17" spans="1:54" x14ac:dyDescent="0.3">
      <c r="A17" s="31" t="s">
        <v>79</v>
      </c>
      <c r="B17" s="31" t="s">
        <v>80</v>
      </c>
      <c r="C17" s="31" t="s">
        <v>147</v>
      </c>
      <c r="E17" s="42">
        <v>17999.099999999999</v>
      </c>
      <c r="F17" s="31" t="s">
        <v>148</v>
      </c>
      <c r="G17" s="32"/>
      <c r="H17" s="31" t="s">
        <v>82</v>
      </c>
      <c r="I17" s="83"/>
      <c r="J17" s="83">
        <v>2880851856</v>
      </c>
      <c r="K17" s="83">
        <v>0</v>
      </c>
      <c r="L17" s="83">
        <v>2880851856</v>
      </c>
      <c r="M17" s="83"/>
      <c r="N17" s="83"/>
      <c r="O17" s="83"/>
      <c r="P17" s="31" t="s">
        <v>149</v>
      </c>
      <c r="Q17" s="31" t="s">
        <v>150</v>
      </c>
      <c r="R17" s="31"/>
      <c r="S17" s="31"/>
      <c r="T17" s="31" t="s">
        <v>77</v>
      </c>
      <c r="U17" s="35" t="s">
        <v>151</v>
      </c>
      <c r="V17" s="134">
        <v>16349.857305975096</v>
      </c>
      <c r="W17" s="85">
        <v>-2880851856</v>
      </c>
      <c r="X17" s="83">
        <v>-2880851856</v>
      </c>
      <c r="Y17" s="83">
        <v>0</v>
      </c>
      <c r="Z17" s="83">
        <v>17999.099999999999</v>
      </c>
      <c r="AA17" s="31" t="s">
        <v>152</v>
      </c>
      <c r="AB17" s="132">
        <v>43357</v>
      </c>
      <c r="AC17" s="83" t="s">
        <v>153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41">
        <v>3.5</v>
      </c>
      <c r="AO17" s="41">
        <v>62996.849999999991</v>
      </c>
      <c r="AP17" s="41">
        <v>3.4500000136028515</v>
      </c>
      <c r="AQ17" s="41">
        <v>62096.895244839077</v>
      </c>
      <c r="AR17" s="41"/>
      <c r="AS17" s="32">
        <v>45251</v>
      </c>
      <c r="AT17" s="31" t="s">
        <v>154</v>
      </c>
      <c r="AU17" s="41">
        <v>62996.849999999991</v>
      </c>
      <c r="AV17" s="33" t="s">
        <v>154</v>
      </c>
      <c r="AX17" s="31" t="s">
        <v>155</v>
      </c>
      <c r="AZ17" s="161"/>
      <c r="BB17" s="31" t="str">
        <f>BBDD_TERRENO[[#This Row],[Comuna]]&amp;BBDD_TERRENO[[#This Row],[Identificacion Propiedad]]</f>
        <v>San Pedro de la PazLote C3-1C-C-1</v>
      </c>
    </row>
    <row r="18" spans="1:54" x14ac:dyDescent="0.3">
      <c r="A18" s="31" t="s">
        <v>89</v>
      </c>
      <c r="B18" s="31" t="s">
        <v>80</v>
      </c>
      <c r="C18" s="31" t="s">
        <v>156</v>
      </c>
      <c r="E18" s="42">
        <v>19722.749</v>
      </c>
      <c r="F18" s="31" t="s">
        <v>73</v>
      </c>
      <c r="G18" s="32"/>
      <c r="H18" s="31" t="s">
        <v>157</v>
      </c>
      <c r="I18" s="83">
        <v>3</v>
      </c>
      <c r="J18" s="83"/>
      <c r="K18" s="83"/>
      <c r="L18" s="83"/>
      <c r="M18" s="83"/>
      <c r="N18" s="83"/>
      <c r="O18" s="83"/>
      <c r="P18" s="31" t="s">
        <v>158</v>
      </c>
      <c r="Q18" s="31" t="s">
        <v>159</v>
      </c>
      <c r="R18" s="31"/>
      <c r="S18" s="31"/>
      <c r="T18" s="31" t="s">
        <v>77</v>
      </c>
      <c r="U18" s="35" t="s">
        <v>78</v>
      </c>
      <c r="V18" s="134">
        <v>0</v>
      </c>
      <c r="W18" s="85">
        <v>0</v>
      </c>
      <c r="X18" s="83">
        <v>0</v>
      </c>
      <c r="Y18" s="83">
        <v>0</v>
      </c>
      <c r="Z18" s="83">
        <v>19722.75</v>
      </c>
      <c r="AA18" s="31" t="s">
        <v>160</v>
      </c>
      <c r="AB18" s="132">
        <v>43731</v>
      </c>
      <c r="AC18" s="83" t="s">
        <v>161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41">
        <v>2.7</v>
      </c>
      <c r="AO18" s="41">
        <v>53251.422300000006</v>
      </c>
      <c r="AP18" s="41">
        <v>1.49</v>
      </c>
      <c r="AQ18" s="41">
        <v>29386.89601</v>
      </c>
      <c r="AR18" s="41"/>
      <c r="AS18" s="32">
        <v>43525</v>
      </c>
      <c r="AT18" s="31" t="s">
        <v>101</v>
      </c>
      <c r="AU18" s="41"/>
      <c r="AV18" s="33"/>
      <c r="AZ18" s="161"/>
      <c r="BB18" s="31" t="str">
        <f>BBDD_TERRENO[[#This Row],[Comuna]]&amp;BBDD_TERRENO[[#This Row],[Identificacion Propiedad]]</f>
        <v>San Pedro de la PazLote C7-1A-1C</v>
      </c>
    </row>
    <row r="19" spans="1:54" x14ac:dyDescent="0.3">
      <c r="A19" s="31" t="s">
        <v>89</v>
      </c>
      <c r="B19" s="31" t="s">
        <v>80</v>
      </c>
      <c r="C19" s="31" t="s">
        <v>162</v>
      </c>
      <c r="E19" s="42">
        <v>10213.209000000001</v>
      </c>
      <c r="F19" s="31" t="s">
        <v>73</v>
      </c>
      <c r="G19" s="32"/>
      <c r="H19" s="31"/>
      <c r="I19" s="83"/>
      <c r="J19" s="83"/>
      <c r="K19" s="83"/>
      <c r="L19" s="83"/>
      <c r="M19" s="83"/>
      <c r="N19" s="83"/>
      <c r="O19" s="83"/>
      <c r="P19" s="31" t="s">
        <v>158</v>
      </c>
      <c r="Q19" s="31" t="s">
        <v>163</v>
      </c>
      <c r="R19" s="31"/>
      <c r="S19" s="31"/>
      <c r="T19" s="31" t="s">
        <v>106</v>
      </c>
      <c r="U19" s="35" t="s">
        <v>78</v>
      </c>
      <c r="V19" s="134">
        <v>7776.2253924900033</v>
      </c>
      <c r="W19" s="85">
        <v>0</v>
      </c>
      <c r="X19" s="83">
        <v>0</v>
      </c>
      <c r="Y19" s="83">
        <v>0</v>
      </c>
      <c r="Z19" s="83">
        <v>10213.209999999999</v>
      </c>
      <c r="AA19" s="31" t="s">
        <v>160</v>
      </c>
      <c r="AB19" s="132">
        <v>43731</v>
      </c>
      <c r="AC19" s="83" t="s">
        <v>164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41">
        <v>2.8</v>
      </c>
      <c r="AO19" s="41">
        <v>28596.985199999999</v>
      </c>
      <c r="AP19" s="41">
        <v>2.4999485013904623</v>
      </c>
      <c r="AQ19" s="41">
        <v>25532.496533937585</v>
      </c>
      <c r="AR19" s="41"/>
      <c r="AS19" s="32">
        <v>44235</v>
      </c>
      <c r="AT19" s="31" t="s">
        <v>108</v>
      </c>
      <c r="AU19" s="41">
        <v>25532.496533937585</v>
      </c>
      <c r="AV19" s="33" t="s">
        <v>88</v>
      </c>
      <c r="AZ19" s="161"/>
      <c r="BB19" s="31" t="str">
        <f>BBDD_TERRENO[[#This Row],[Comuna]]&amp;BBDD_TERRENO[[#This Row],[Identificacion Propiedad]]</f>
        <v>San Pedro de la PazLote C7-1A-1F</v>
      </c>
    </row>
    <row r="20" spans="1:54" x14ac:dyDescent="0.3">
      <c r="A20" s="31" t="s">
        <v>89</v>
      </c>
      <c r="B20" s="31" t="s">
        <v>80</v>
      </c>
      <c r="C20" s="31" t="s">
        <v>165</v>
      </c>
      <c r="E20" s="42">
        <v>19310</v>
      </c>
      <c r="F20" s="31" t="s">
        <v>73</v>
      </c>
      <c r="G20" s="32">
        <v>45657</v>
      </c>
      <c r="H20" s="31" t="s">
        <v>166</v>
      </c>
      <c r="I20" s="83">
        <v>3.33</v>
      </c>
      <c r="J20" s="83">
        <v>741087832</v>
      </c>
      <c r="K20" s="83">
        <v>0</v>
      </c>
      <c r="L20" s="83">
        <v>741087832</v>
      </c>
      <c r="M20" s="83"/>
      <c r="N20" s="83"/>
      <c r="O20" s="83"/>
      <c r="P20" s="31" t="s">
        <v>167</v>
      </c>
      <c r="Q20" s="31"/>
      <c r="R20" s="31"/>
      <c r="S20" s="31"/>
      <c r="T20" s="31" t="s">
        <v>77</v>
      </c>
      <c r="U20" s="35" t="s">
        <v>78</v>
      </c>
      <c r="V20" s="134">
        <v>0</v>
      </c>
      <c r="W20" s="85">
        <v>-741087832</v>
      </c>
      <c r="X20" s="83">
        <v>-741087832</v>
      </c>
      <c r="Y20" s="83">
        <v>0</v>
      </c>
      <c r="Z20" s="83"/>
      <c r="AA20" s="31"/>
      <c r="AB20" s="132"/>
      <c r="AC20" s="83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41">
        <v>3.3</v>
      </c>
      <c r="AO20" s="41">
        <v>63723</v>
      </c>
      <c r="AP20" s="41">
        <v>3.2236011519851204</v>
      </c>
      <c r="AQ20" s="41">
        <v>46317.172870001981</v>
      </c>
      <c r="AR20" s="41"/>
      <c r="AS20" s="32">
        <v>45496</v>
      </c>
      <c r="AT20" s="31" t="s">
        <v>154</v>
      </c>
      <c r="AU20" s="41">
        <v>63181</v>
      </c>
      <c r="AV20" s="33" t="s">
        <v>88</v>
      </c>
      <c r="AZ20" s="161"/>
      <c r="BB20" s="31" t="str">
        <f>BBDD_TERRENO[[#This Row],[Comuna]]&amp;BBDD_TERRENO[[#This Row],[Identificacion Propiedad]]</f>
        <v>San Pedro de la PazLote C8-A-A</v>
      </c>
    </row>
    <row r="21" spans="1:54" x14ac:dyDescent="0.3">
      <c r="A21" s="31" t="s">
        <v>168</v>
      </c>
      <c r="B21" s="31" t="s">
        <v>169</v>
      </c>
      <c r="C21" s="31" t="s">
        <v>170</v>
      </c>
      <c r="E21" s="42">
        <v>778.6</v>
      </c>
      <c r="F21" s="31" t="s">
        <v>73</v>
      </c>
      <c r="G21" s="32">
        <v>44316</v>
      </c>
      <c r="H21" s="31" t="s">
        <v>171</v>
      </c>
      <c r="I21" s="83">
        <v>2.8088877472386335</v>
      </c>
      <c r="J21" s="83"/>
      <c r="K21" s="83"/>
      <c r="L21" s="83"/>
      <c r="M21" s="83"/>
      <c r="N21" s="83"/>
      <c r="O21" s="83"/>
      <c r="P21" s="31" t="s">
        <v>172</v>
      </c>
      <c r="Q21" s="31" t="s">
        <v>173</v>
      </c>
      <c r="R21" s="31"/>
      <c r="S21" s="31"/>
      <c r="T21" s="31"/>
      <c r="U21" s="35"/>
      <c r="V21" s="134">
        <v>0</v>
      </c>
      <c r="W21" s="85">
        <v>0</v>
      </c>
      <c r="X21" s="83">
        <v>0</v>
      </c>
      <c r="Y21" s="83">
        <v>0</v>
      </c>
      <c r="Z21" s="83">
        <v>778.6</v>
      </c>
      <c r="AA21" s="31" t="s">
        <v>174</v>
      </c>
      <c r="AB21" s="132">
        <v>44085</v>
      </c>
      <c r="AC21" s="83" t="s">
        <v>175</v>
      </c>
      <c r="AD21" s="31" t="s">
        <v>176</v>
      </c>
      <c r="AE21" s="31" t="s">
        <v>177</v>
      </c>
      <c r="AF21" s="31" t="s">
        <v>178</v>
      </c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/>
      <c r="AY21"/>
      <c r="AZ21" s="83"/>
      <c r="BB21" s="31" t="str">
        <f>BBDD_TERRENO[[#This Row],[Comuna]]&amp;BBDD_TERRENO[[#This Row],[Identificacion Propiedad]]</f>
        <v>HualquiLote 1 ( CH1)</v>
      </c>
    </row>
    <row r="22" spans="1:54" x14ac:dyDescent="0.3">
      <c r="A22" s="31" t="s">
        <v>168</v>
      </c>
      <c r="B22" s="31" t="s">
        <v>169</v>
      </c>
      <c r="C22" s="31" t="s">
        <v>179</v>
      </c>
      <c r="E22" s="42">
        <v>794.7</v>
      </c>
      <c r="F22" s="31" t="s">
        <v>73</v>
      </c>
      <c r="G22" s="32">
        <v>44407</v>
      </c>
      <c r="H22" s="31" t="s">
        <v>180</v>
      </c>
      <c r="I22" s="83">
        <v>0.52975965773247768</v>
      </c>
      <c r="J22" s="83"/>
      <c r="K22" s="83"/>
      <c r="L22" s="83"/>
      <c r="M22" s="83"/>
      <c r="N22" s="83"/>
      <c r="O22" s="83"/>
      <c r="P22" s="31" t="s">
        <v>172</v>
      </c>
      <c r="Q22" s="31" t="s">
        <v>181</v>
      </c>
      <c r="R22" s="31"/>
      <c r="S22" s="31"/>
      <c r="T22" s="31"/>
      <c r="U22" s="35"/>
      <c r="V22" s="134">
        <v>0</v>
      </c>
      <c r="W22" s="85">
        <v>0</v>
      </c>
      <c r="X22" s="83">
        <v>0</v>
      </c>
      <c r="Y22" s="83">
        <v>0</v>
      </c>
      <c r="Z22" s="83">
        <v>794.7</v>
      </c>
      <c r="AA22" s="31" t="s">
        <v>174</v>
      </c>
      <c r="AB22" s="132">
        <v>44085</v>
      </c>
      <c r="AC22" s="83" t="s">
        <v>182</v>
      </c>
      <c r="AD22" s="31" t="s">
        <v>176</v>
      </c>
      <c r="AE22" s="31" t="s">
        <v>177</v>
      </c>
      <c r="AF22" s="31" t="s">
        <v>178</v>
      </c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/>
      <c r="AY22"/>
      <c r="AZ22" s="83"/>
      <c r="BB22" s="31" t="str">
        <f>BBDD_TERRENO[[#This Row],[Comuna]]&amp;BBDD_TERRENO[[#This Row],[Identificacion Propiedad]]</f>
        <v>HualquiLote 2 (CH1)</v>
      </c>
    </row>
    <row r="23" spans="1:54" x14ac:dyDescent="0.3">
      <c r="A23" s="31" t="s">
        <v>168</v>
      </c>
      <c r="B23" s="31" t="s">
        <v>169</v>
      </c>
      <c r="C23" s="31" t="s">
        <v>183</v>
      </c>
      <c r="E23" s="42">
        <v>774.6</v>
      </c>
      <c r="F23" s="31" t="s">
        <v>73</v>
      </c>
      <c r="G23" s="32">
        <v>44351</v>
      </c>
      <c r="H23" s="31" t="s">
        <v>184</v>
      </c>
      <c r="I23" s="83">
        <v>2.5006454944487477</v>
      </c>
      <c r="J23" s="83"/>
      <c r="K23" s="83"/>
      <c r="L23" s="83"/>
      <c r="M23" s="83"/>
      <c r="N23" s="83"/>
      <c r="O23" s="83"/>
      <c r="P23" s="31" t="s">
        <v>172</v>
      </c>
      <c r="Q23" s="31" t="s">
        <v>185</v>
      </c>
      <c r="R23" s="31"/>
      <c r="S23" s="31"/>
      <c r="T23" s="31"/>
      <c r="U23" s="35"/>
      <c r="V23" s="134">
        <v>0</v>
      </c>
      <c r="W23" s="85">
        <v>0</v>
      </c>
      <c r="X23" s="83">
        <v>0</v>
      </c>
      <c r="Y23" s="83">
        <v>0</v>
      </c>
      <c r="Z23" s="83">
        <v>774.6</v>
      </c>
      <c r="AA23" s="31" t="s">
        <v>174</v>
      </c>
      <c r="AB23" s="132">
        <v>44085</v>
      </c>
      <c r="AC23" s="83" t="s">
        <v>186</v>
      </c>
      <c r="AD23" s="31" t="s">
        <v>176</v>
      </c>
      <c r="AE23" s="31" t="s">
        <v>177</v>
      </c>
      <c r="AF23" s="31" t="s">
        <v>178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/>
      <c r="AY23"/>
      <c r="AZ23" s="83"/>
      <c r="BB23" s="31" t="str">
        <f>BBDD_TERRENO[[#This Row],[Comuna]]&amp;BBDD_TERRENO[[#This Row],[Identificacion Propiedad]]</f>
        <v>HualquiLote 3 (CH1)</v>
      </c>
    </row>
    <row r="24" spans="1:54" x14ac:dyDescent="0.3">
      <c r="A24" s="31" t="s">
        <v>168</v>
      </c>
      <c r="B24" s="31" t="s">
        <v>169</v>
      </c>
      <c r="C24" s="31" t="s">
        <v>187</v>
      </c>
      <c r="E24" s="42">
        <v>756.9</v>
      </c>
      <c r="F24" s="31" t="s">
        <v>73</v>
      </c>
      <c r="G24" s="32">
        <v>44405</v>
      </c>
      <c r="H24" s="31" t="s">
        <v>188</v>
      </c>
      <c r="I24" s="83">
        <v>2.3246928260007929</v>
      </c>
      <c r="J24" s="83"/>
      <c r="K24" s="83"/>
      <c r="L24" s="83"/>
      <c r="M24" s="83"/>
      <c r="N24" s="83"/>
      <c r="O24" s="83"/>
      <c r="P24" s="31" t="s">
        <v>172</v>
      </c>
      <c r="Q24" s="31" t="s">
        <v>189</v>
      </c>
      <c r="R24" s="31"/>
      <c r="S24" s="31"/>
      <c r="T24" s="31"/>
      <c r="U24" s="35"/>
      <c r="V24" s="134">
        <v>0</v>
      </c>
      <c r="W24" s="85">
        <v>0</v>
      </c>
      <c r="X24" s="83">
        <v>0</v>
      </c>
      <c r="Y24" s="83">
        <v>0</v>
      </c>
      <c r="Z24" s="83">
        <v>756.9</v>
      </c>
      <c r="AA24" s="31" t="s">
        <v>174</v>
      </c>
      <c r="AB24" s="132">
        <v>44085</v>
      </c>
      <c r="AC24" s="83" t="s">
        <v>190</v>
      </c>
      <c r="AD24" s="31" t="s">
        <v>176</v>
      </c>
      <c r="AE24" s="31" t="s">
        <v>177</v>
      </c>
      <c r="AF24" s="31" t="s">
        <v>178</v>
      </c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/>
      <c r="AY24"/>
      <c r="AZ24" s="83"/>
      <c r="BB24" s="31" t="str">
        <f>BBDD_TERRENO[[#This Row],[Comuna]]&amp;BBDD_TERRENO[[#This Row],[Identificacion Propiedad]]</f>
        <v>HualquiLote 4 (CH1)</v>
      </c>
    </row>
    <row r="25" spans="1:54" x14ac:dyDescent="0.3">
      <c r="A25" s="31" t="s">
        <v>168</v>
      </c>
      <c r="B25" s="31" t="s">
        <v>169</v>
      </c>
      <c r="C25" s="31" t="s">
        <v>191</v>
      </c>
      <c r="E25" s="42">
        <v>865</v>
      </c>
      <c r="F25" s="31" t="s">
        <v>73</v>
      </c>
      <c r="G25" s="32">
        <v>44319</v>
      </c>
      <c r="H25" s="31" t="s">
        <v>192</v>
      </c>
      <c r="I25" s="83">
        <v>2.5005780346820807</v>
      </c>
      <c r="J25" s="83"/>
      <c r="K25" s="83"/>
      <c r="L25" s="83"/>
      <c r="M25" s="83"/>
      <c r="N25" s="83"/>
      <c r="O25" s="83"/>
      <c r="P25" s="31" t="s">
        <v>172</v>
      </c>
      <c r="Q25" s="31" t="s">
        <v>193</v>
      </c>
      <c r="R25" s="31"/>
      <c r="S25" s="31"/>
      <c r="T25" s="31"/>
      <c r="U25" s="35"/>
      <c r="V25" s="134">
        <v>0</v>
      </c>
      <c r="W25" s="85">
        <v>0</v>
      </c>
      <c r="X25" s="83">
        <v>0</v>
      </c>
      <c r="Y25" s="83">
        <v>0</v>
      </c>
      <c r="Z25" s="83">
        <v>865</v>
      </c>
      <c r="AA25" s="31" t="s">
        <v>174</v>
      </c>
      <c r="AB25" s="132">
        <v>44085</v>
      </c>
      <c r="AC25" s="83" t="s">
        <v>194</v>
      </c>
      <c r="AD25" s="31" t="s">
        <v>176</v>
      </c>
      <c r="AE25" s="31" t="s">
        <v>177</v>
      </c>
      <c r="AF25" s="31" t="s">
        <v>178</v>
      </c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/>
      <c r="AY25"/>
      <c r="AZ25" s="83"/>
      <c r="BB25" s="31" t="str">
        <f>BBDD_TERRENO[[#This Row],[Comuna]]&amp;BBDD_TERRENO[[#This Row],[Identificacion Propiedad]]</f>
        <v>HualquiLote 5 (CH1)</v>
      </c>
    </row>
    <row r="26" spans="1:54" x14ac:dyDescent="0.3">
      <c r="A26" s="31" t="s">
        <v>168</v>
      </c>
      <c r="B26" s="31" t="s">
        <v>169</v>
      </c>
      <c r="C26" s="31" t="s">
        <v>195</v>
      </c>
      <c r="E26" s="42">
        <v>846</v>
      </c>
      <c r="F26" s="31" t="s">
        <v>73</v>
      </c>
      <c r="G26" s="32">
        <v>44326</v>
      </c>
      <c r="H26" s="31" t="s">
        <v>196</v>
      </c>
      <c r="I26" s="83">
        <v>2.3687943262411348</v>
      </c>
      <c r="J26" s="83"/>
      <c r="K26" s="83"/>
      <c r="L26" s="83"/>
      <c r="M26" s="83"/>
      <c r="N26" s="83"/>
      <c r="O26" s="83"/>
      <c r="P26" s="31" t="s">
        <v>172</v>
      </c>
      <c r="Q26" s="31" t="s">
        <v>197</v>
      </c>
      <c r="R26" s="31"/>
      <c r="S26" s="31"/>
      <c r="T26" s="31"/>
      <c r="U26" s="35"/>
      <c r="V26" s="134">
        <v>0</v>
      </c>
      <c r="W26" s="85">
        <v>0</v>
      </c>
      <c r="X26" s="83">
        <v>0</v>
      </c>
      <c r="Y26" s="83">
        <v>0</v>
      </c>
      <c r="Z26" s="83">
        <v>846</v>
      </c>
      <c r="AA26" s="31" t="s">
        <v>174</v>
      </c>
      <c r="AB26" s="132">
        <v>44085</v>
      </c>
      <c r="AC26" s="83" t="s">
        <v>198</v>
      </c>
      <c r="AD26" s="31" t="s">
        <v>176</v>
      </c>
      <c r="AE26" s="31" t="s">
        <v>177</v>
      </c>
      <c r="AF26" s="31" t="s">
        <v>178</v>
      </c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/>
      <c r="AY26"/>
      <c r="AZ26" s="83"/>
      <c r="BB26" s="31" t="str">
        <f>BBDD_TERRENO[[#This Row],[Comuna]]&amp;BBDD_TERRENO[[#This Row],[Identificacion Propiedad]]</f>
        <v>HualquiLote 6 (CH1)</v>
      </c>
    </row>
    <row r="27" spans="1:54" x14ac:dyDescent="0.3">
      <c r="A27" s="31" t="s">
        <v>168</v>
      </c>
      <c r="B27" s="31" t="s">
        <v>169</v>
      </c>
      <c r="C27" s="31" t="s">
        <v>199</v>
      </c>
      <c r="E27" s="42">
        <v>767.5</v>
      </c>
      <c r="F27" s="31" t="s">
        <v>73</v>
      </c>
      <c r="G27" s="32">
        <v>44259</v>
      </c>
      <c r="H27" s="31" t="s">
        <v>200</v>
      </c>
      <c r="I27" s="83">
        <v>2.4351791530944626</v>
      </c>
      <c r="J27" s="83"/>
      <c r="K27" s="83"/>
      <c r="L27" s="83"/>
      <c r="M27" s="83"/>
      <c r="N27" s="83"/>
      <c r="O27" s="83"/>
      <c r="P27" s="31" t="s">
        <v>172</v>
      </c>
      <c r="Q27" s="31" t="s">
        <v>201</v>
      </c>
      <c r="R27" s="31"/>
      <c r="S27" s="31"/>
      <c r="T27" s="31"/>
      <c r="U27" s="35"/>
      <c r="V27" s="134">
        <v>0</v>
      </c>
      <c r="W27" s="85">
        <v>0</v>
      </c>
      <c r="X27" s="83">
        <v>0</v>
      </c>
      <c r="Y27" s="83">
        <v>0</v>
      </c>
      <c r="Z27" s="83">
        <v>767.5</v>
      </c>
      <c r="AA27" s="31" t="s">
        <v>174</v>
      </c>
      <c r="AB27" s="132">
        <v>44085</v>
      </c>
      <c r="AC27" s="83" t="s">
        <v>202</v>
      </c>
      <c r="AD27" s="31" t="s">
        <v>176</v>
      </c>
      <c r="AE27" s="31" t="s">
        <v>177</v>
      </c>
      <c r="AF27" s="31" t="s">
        <v>178</v>
      </c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/>
      <c r="AY27"/>
      <c r="AZ27" s="83"/>
      <c r="BB27" s="31" t="str">
        <f>BBDD_TERRENO[[#This Row],[Comuna]]&amp;BBDD_TERRENO[[#This Row],[Identificacion Propiedad]]</f>
        <v>HualquiLote 7 (CH1)</v>
      </c>
    </row>
    <row r="28" spans="1:54" x14ac:dyDescent="0.3">
      <c r="A28" s="31" t="s">
        <v>168</v>
      </c>
      <c r="B28" s="31" t="s">
        <v>169</v>
      </c>
      <c r="C28" s="31" t="s">
        <v>203</v>
      </c>
      <c r="E28" s="42">
        <v>989.5</v>
      </c>
      <c r="F28" s="31" t="s">
        <v>73</v>
      </c>
      <c r="G28" s="32">
        <v>44407</v>
      </c>
      <c r="H28" s="31" t="s">
        <v>204</v>
      </c>
      <c r="I28" s="83">
        <v>0.52956038403233952</v>
      </c>
      <c r="J28" s="83"/>
      <c r="K28" s="83"/>
      <c r="L28" s="83"/>
      <c r="M28" s="83"/>
      <c r="N28" s="83"/>
      <c r="O28" s="83"/>
      <c r="P28" s="31" t="s">
        <v>172</v>
      </c>
      <c r="Q28" s="31" t="s">
        <v>205</v>
      </c>
      <c r="R28" s="31"/>
      <c r="S28" s="31"/>
      <c r="T28" s="31"/>
      <c r="U28" s="35"/>
      <c r="V28" s="134">
        <v>0</v>
      </c>
      <c r="W28" s="85">
        <v>0</v>
      </c>
      <c r="X28" s="83">
        <v>0</v>
      </c>
      <c r="Y28" s="83">
        <v>0</v>
      </c>
      <c r="Z28" s="83">
        <v>989.5</v>
      </c>
      <c r="AA28" s="31" t="s">
        <v>174</v>
      </c>
      <c r="AB28" s="132">
        <v>44085</v>
      </c>
      <c r="AC28" s="83" t="s">
        <v>206</v>
      </c>
      <c r="AD28" s="31" t="s">
        <v>176</v>
      </c>
      <c r="AE28" s="31" t="s">
        <v>177</v>
      </c>
      <c r="AF28" s="31" t="s">
        <v>178</v>
      </c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/>
      <c r="AY28"/>
      <c r="AZ28" s="83"/>
      <c r="BB28" s="31" t="str">
        <f>BBDD_TERRENO[[#This Row],[Comuna]]&amp;BBDD_TERRENO[[#This Row],[Identificacion Propiedad]]</f>
        <v>HualquiLote 8 (CH1)</v>
      </c>
    </row>
    <row r="29" spans="1:54" x14ac:dyDescent="0.3">
      <c r="A29" s="31" t="s">
        <v>168</v>
      </c>
      <c r="B29" s="31" t="s">
        <v>169</v>
      </c>
      <c r="C29" s="31" t="s">
        <v>207</v>
      </c>
      <c r="E29" s="42">
        <v>840</v>
      </c>
      <c r="F29" s="31" t="s">
        <v>73</v>
      </c>
      <c r="G29" s="32">
        <v>44309</v>
      </c>
      <c r="H29" s="31" t="s">
        <v>208</v>
      </c>
      <c r="I29" s="83">
        <v>2.8952380952380952</v>
      </c>
      <c r="J29" s="83"/>
      <c r="K29" s="83"/>
      <c r="L29" s="83"/>
      <c r="M29" s="83"/>
      <c r="N29" s="83"/>
      <c r="O29" s="83"/>
      <c r="P29" s="31" t="s">
        <v>172</v>
      </c>
      <c r="Q29" s="31" t="s">
        <v>209</v>
      </c>
      <c r="R29" s="31"/>
      <c r="S29" s="31"/>
      <c r="T29" s="31"/>
      <c r="U29" s="35"/>
      <c r="V29" s="134">
        <v>0</v>
      </c>
      <c r="W29" s="85">
        <v>0</v>
      </c>
      <c r="X29" s="83">
        <v>0</v>
      </c>
      <c r="Y29" s="83">
        <v>0</v>
      </c>
      <c r="Z29" s="83">
        <v>840</v>
      </c>
      <c r="AA29" s="31" t="s">
        <v>174</v>
      </c>
      <c r="AB29" s="132">
        <v>44085</v>
      </c>
      <c r="AC29" s="83" t="s">
        <v>210</v>
      </c>
      <c r="AD29" s="31" t="s">
        <v>176</v>
      </c>
      <c r="AE29" s="31" t="s">
        <v>177</v>
      </c>
      <c r="AF29" s="31" t="s">
        <v>178</v>
      </c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/>
      <c r="AY29"/>
      <c r="AZ29" s="83"/>
      <c r="BB29" s="31" t="str">
        <f>BBDD_TERRENO[[#This Row],[Comuna]]&amp;BBDD_TERRENO[[#This Row],[Identificacion Propiedad]]</f>
        <v>HualquiLote 9  (CH1)</v>
      </c>
    </row>
    <row r="30" spans="1:54" x14ac:dyDescent="0.3">
      <c r="A30" s="31" t="s">
        <v>168</v>
      </c>
      <c r="B30" s="31" t="s">
        <v>169</v>
      </c>
      <c r="C30" s="31" t="s">
        <v>211</v>
      </c>
      <c r="E30" s="42">
        <v>835.5</v>
      </c>
      <c r="F30" s="31" t="s">
        <v>73</v>
      </c>
      <c r="G30" s="32">
        <v>44468</v>
      </c>
      <c r="H30" s="31" t="s">
        <v>212</v>
      </c>
      <c r="I30" s="83">
        <v>2.7504488330341115</v>
      </c>
      <c r="J30" s="83"/>
      <c r="K30" s="83"/>
      <c r="L30" s="83"/>
      <c r="M30" s="83"/>
      <c r="N30" s="83"/>
      <c r="O30" s="83"/>
      <c r="P30" s="31" t="s">
        <v>172</v>
      </c>
      <c r="Q30" s="31" t="s">
        <v>213</v>
      </c>
      <c r="R30" s="31"/>
      <c r="S30" s="31"/>
      <c r="T30" s="31"/>
      <c r="U30" s="35"/>
      <c r="V30" s="134">
        <v>0</v>
      </c>
      <c r="W30" s="85">
        <v>0</v>
      </c>
      <c r="X30" s="83">
        <v>0</v>
      </c>
      <c r="Y30" s="83">
        <v>0</v>
      </c>
      <c r="Z30" s="83">
        <v>835.5</v>
      </c>
      <c r="AA30" s="31" t="s">
        <v>174</v>
      </c>
      <c r="AB30" s="132">
        <v>44085</v>
      </c>
      <c r="AC30" s="83" t="s">
        <v>214</v>
      </c>
      <c r="AD30" s="31" t="s">
        <v>176</v>
      </c>
      <c r="AE30" s="31" t="s">
        <v>177</v>
      </c>
      <c r="AF30" s="31" t="s">
        <v>178</v>
      </c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/>
      <c r="AY30"/>
      <c r="AZ30" s="83"/>
      <c r="BB30" s="31" t="str">
        <f>BBDD_TERRENO[[#This Row],[Comuna]]&amp;BBDD_TERRENO[[#This Row],[Identificacion Propiedad]]</f>
        <v>HualquiLote 11  (CH1)</v>
      </c>
    </row>
    <row r="31" spans="1:54" x14ac:dyDescent="0.3">
      <c r="A31" s="31" t="s">
        <v>168</v>
      </c>
      <c r="B31" s="31" t="s">
        <v>169</v>
      </c>
      <c r="C31" s="31" t="s">
        <v>215</v>
      </c>
      <c r="E31" s="42">
        <v>740</v>
      </c>
      <c r="F31" s="31" t="s">
        <v>73</v>
      </c>
      <c r="G31" s="32">
        <v>44364</v>
      </c>
      <c r="H31" s="31" t="s">
        <v>216</v>
      </c>
      <c r="I31" s="83">
        <v>0.6</v>
      </c>
      <c r="J31" s="83"/>
      <c r="K31" s="83"/>
      <c r="L31" s="83"/>
      <c r="M31" s="83"/>
      <c r="N31" s="83"/>
      <c r="O31" s="83"/>
      <c r="P31" s="31" t="s">
        <v>172</v>
      </c>
      <c r="Q31" s="31" t="s">
        <v>217</v>
      </c>
      <c r="R31" s="31"/>
      <c r="S31" s="31"/>
      <c r="T31" s="31"/>
      <c r="U31" s="35"/>
      <c r="V31" s="134">
        <v>0</v>
      </c>
      <c r="W31" s="85">
        <v>0</v>
      </c>
      <c r="X31" s="83">
        <v>0</v>
      </c>
      <c r="Y31" s="83">
        <v>0</v>
      </c>
      <c r="Z31" s="83">
        <v>740</v>
      </c>
      <c r="AA31" s="31" t="s">
        <v>174</v>
      </c>
      <c r="AB31" s="132">
        <v>44085</v>
      </c>
      <c r="AC31" s="83" t="s">
        <v>218</v>
      </c>
      <c r="AD31" s="31" t="s">
        <v>176</v>
      </c>
      <c r="AE31" s="31" t="s">
        <v>177</v>
      </c>
      <c r="AF31" s="31" t="s">
        <v>178</v>
      </c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/>
      <c r="AY31"/>
      <c r="AZ31" s="83"/>
      <c r="BB31" s="31" t="str">
        <f>BBDD_TERRENO[[#This Row],[Comuna]]&amp;BBDD_TERRENO[[#This Row],[Identificacion Propiedad]]</f>
        <v>HualquiLote 12 (CH1)</v>
      </c>
    </row>
    <row r="32" spans="1:54" x14ac:dyDescent="0.3">
      <c r="A32" s="31" t="s">
        <v>168</v>
      </c>
      <c r="B32" s="31" t="s">
        <v>169</v>
      </c>
      <c r="C32" s="31" t="s">
        <v>219</v>
      </c>
      <c r="E32" s="42">
        <v>842.1</v>
      </c>
      <c r="F32" s="31" t="s">
        <v>73</v>
      </c>
      <c r="G32" s="32">
        <v>44438</v>
      </c>
      <c r="H32" s="31" t="s">
        <v>220</v>
      </c>
      <c r="I32" s="83">
        <v>2.3678897993112455</v>
      </c>
      <c r="J32" s="83"/>
      <c r="K32" s="83"/>
      <c r="L32" s="83"/>
      <c r="M32" s="83"/>
      <c r="N32" s="83"/>
      <c r="O32" s="83"/>
      <c r="P32" s="31" t="s">
        <v>172</v>
      </c>
      <c r="Q32" s="31" t="s">
        <v>221</v>
      </c>
      <c r="R32" s="31"/>
      <c r="S32" s="31"/>
      <c r="T32" s="31"/>
      <c r="U32" s="35"/>
      <c r="V32" s="134">
        <v>0</v>
      </c>
      <c r="W32" s="85">
        <v>0</v>
      </c>
      <c r="X32" s="83">
        <v>0</v>
      </c>
      <c r="Y32" s="83">
        <v>0</v>
      </c>
      <c r="Z32" s="83">
        <v>842.1</v>
      </c>
      <c r="AA32" s="31" t="s">
        <v>174</v>
      </c>
      <c r="AB32" s="132">
        <v>44085</v>
      </c>
      <c r="AC32" s="83" t="s">
        <v>222</v>
      </c>
      <c r="AD32" s="31" t="s">
        <v>176</v>
      </c>
      <c r="AE32" s="31" t="s">
        <v>177</v>
      </c>
      <c r="AF32" s="31" t="s">
        <v>178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/>
      <c r="AY32"/>
      <c r="AZ32" s="83"/>
      <c r="BB32" s="31" t="str">
        <f>BBDD_TERRENO[[#This Row],[Comuna]]&amp;BBDD_TERRENO[[#This Row],[Identificacion Propiedad]]</f>
        <v>HualquiLote 13 (CH1)</v>
      </c>
    </row>
    <row r="33" spans="1:54" x14ac:dyDescent="0.3">
      <c r="A33" s="31" t="s">
        <v>168</v>
      </c>
      <c r="B33" s="31" t="s">
        <v>169</v>
      </c>
      <c r="C33" s="31" t="s">
        <v>223</v>
      </c>
      <c r="E33" s="42">
        <v>761.2</v>
      </c>
      <c r="F33" s="31" t="s">
        <v>73</v>
      </c>
      <c r="G33" s="32">
        <v>44315</v>
      </c>
      <c r="H33" s="31" t="s">
        <v>224</v>
      </c>
      <c r="I33" s="83">
        <v>2.425118234366789</v>
      </c>
      <c r="J33" s="83"/>
      <c r="K33" s="83"/>
      <c r="L33" s="83"/>
      <c r="M33" s="83"/>
      <c r="N33" s="83"/>
      <c r="O33" s="83"/>
      <c r="P33" s="31" t="s">
        <v>172</v>
      </c>
      <c r="Q33" s="31" t="s">
        <v>225</v>
      </c>
      <c r="R33" s="31"/>
      <c r="S33" s="31"/>
      <c r="T33" s="31"/>
      <c r="U33" s="35"/>
      <c r="V33" s="134">
        <v>0</v>
      </c>
      <c r="W33" s="85">
        <v>0</v>
      </c>
      <c r="X33" s="83">
        <v>0</v>
      </c>
      <c r="Y33" s="83">
        <v>0</v>
      </c>
      <c r="Z33" s="83">
        <v>761.2</v>
      </c>
      <c r="AA33" s="31" t="s">
        <v>174</v>
      </c>
      <c r="AB33" s="132">
        <v>44085</v>
      </c>
      <c r="AC33" s="83" t="s">
        <v>226</v>
      </c>
      <c r="AD33" s="31" t="s">
        <v>176</v>
      </c>
      <c r="AE33" s="31" t="s">
        <v>177</v>
      </c>
      <c r="AF33" s="31" t="s">
        <v>178</v>
      </c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/>
      <c r="AY33"/>
      <c r="AZ33" s="83"/>
      <c r="BB33" s="31" t="str">
        <f>BBDD_TERRENO[[#This Row],[Comuna]]&amp;BBDD_TERRENO[[#This Row],[Identificacion Propiedad]]</f>
        <v>HualquiLote 14  (CH1)</v>
      </c>
    </row>
    <row r="34" spans="1:54" x14ac:dyDescent="0.3">
      <c r="A34" s="31" t="s">
        <v>168</v>
      </c>
      <c r="B34" s="31" t="s">
        <v>169</v>
      </c>
      <c r="C34" s="31" t="s">
        <v>227</v>
      </c>
      <c r="E34" s="42">
        <v>761.2</v>
      </c>
      <c r="F34" s="31" t="s">
        <v>73</v>
      </c>
      <c r="G34" s="32">
        <v>44426</v>
      </c>
      <c r="H34" s="31" t="s">
        <v>228</v>
      </c>
      <c r="I34" s="83">
        <v>2.5</v>
      </c>
      <c r="J34" s="83"/>
      <c r="K34" s="83"/>
      <c r="L34" s="83"/>
      <c r="M34" s="83"/>
      <c r="N34" s="83"/>
      <c r="O34" s="83"/>
      <c r="P34" s="31" t="s">
        <v>172</v>
      </c>
      <c r="Q34" s="31" t="s">
        <v>229</v>
      </c>
      <c r="R34" s="31"/>
      <c r="S34" s="31"/>
      <c r="T34" s="31"/>
      <c r="U34" s="35"/>
      <c r="V34" s="134">
        <v>0</v>
      </c>
      <c r="W34" s="85">
        <v>0</v>
      </c>
      <c r="X34" s="83">
        <v>0</v>
      </c>
      <c r="Y34" s="83">
        <v>0</v>
      </c>
      <c r="Z34" s="83">
        <v>761.2</v>
      </c>
      <c r="AA34" s="31" t="s">
        <v>174</v>
      </c>
      <c r="AB34" s="132">
        <v>44085</v>
      </c>
      <c r="AC34" s="83" t="s">
        <v>230</v>
      </c>
      <c r="AD34" s="31" t="s">
        <v>176</v>
      </c>
      <c r="AE34" s="31" t="s">
        <v>177</v>
      </c>
      <c r="AF34" s="31" t="s">
        <v>178</v>
      </c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/>
      <c r="AY34"/>
      <c r="AZ34" s="83"/>
      <c r="BB34" s="31" t="str">
        <f>BBDD_TERRENO[[#This Row],[Comuna]]&amp;BBDD_TERRENO[[#This Row],[Identificacion Propiedad]]</f>
        <v>HualquiLote 15  (CH1)</v>
      </c>
    </row>
    <row r="35" spans="1:54" x14ac:dyDescent="0.3">
      <c r="A35" s="31" t="s">
        <v>168</v>
      </c>
      <c r="B35" s="31" t="s">
        <v>169</v>
      </c>
      <c r="C35" s="31" t="s">
        <v>231</v>
      </c>
      <c r="E35" s="42">
        <v>842.1</v>
      </c>
      <c r="F35" s="31" t="s">
        <v>73</v>
      </c>
      <c r="G35" s="32">
        <v>44433</v>
      </c>
      <c r="H35" s="31" t="s">
        <v>232</v>
      </c>
      <c r="I35" s="83">
        <v>2.3678897993112455</v>
      </c>
      <c r="J35" s="83"/>
      <c r="K35" s="83"/>
      <c r="L35" s="83"/>
      <c r="M35" s="83"/>
      <c r="N35" s="83"/>
      <c r="O35" s="83"/>
      <c r="P35" s="31" t="s">
        <v>172</v>
      </c>
      <c r="Q35" s="31" t="s">
        <v>233</v>
      </c>
      <c r="R35" s="31"/>
      <c r="S35" s="31"/>
      <c r="T35" s="31"/>
      <c r="U35" s="35"/>
      <c r="V35" s="134">
        <v>0</v>
      </c>
      <c r="W35" s="85">
        <v>0</v>
      </c>
      <c r="X35" s="83">
        <v>0</v>
      </c>
      <c r="Y35" s="83">
        <v>0</v>
      </c>
      <c r="Z35" s="83">
        <v>842.1</v>
      </c>
      <c r="AA35" s="31" t="s">
        <v>174</v>
      </c>
      <c r="AB35" s="132">
        <v>44085</v>
      </c>
      <c r="AC35" s="83" t="s">
        <v>234</v>
      </c>
      <c r="AD35" s="31" t="s">
        <v>176</v>
      </c>
      <c r="AE35" s="31" t="s">
        <v>177</v>
      </c>
      <c r="AF35" s="31" t="s">
        <v>178</v>
      </c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/>
      <c r="AY35"/>
      <c r="AZ35" s="83"/>
      <c r="BB35" s="31" t="str">
        <f>BBDD_TERRENO[[#This Row],[Comuna]]&amp;BBDD_TERRENO[[#This Row],[Identificacion Propiedad]]</f>
        <v>HualquiLote 16  (CH1)</v>
      </c>
    </row>
    <row r="36" spans="1:54" x14ac:dyDescent="0.3">
      <c r="A36" s="31" t="s">
        <v>168</v>
      </c>
      <c r="B36" s="31" t="s">
        <v>169</v>
      </c>
      <c r="C36" s="31" t="s">
        <v>235</v>
      </c>
      <c r="E36" s="42">
        <v>740</v>
      </c>
      <c r="F36" s="31" t="s">
        <v>73</v>
      </c>
      <c r="G36" s="32">
        <v>44268</v>
      </c>
      <c r="H36" s="31" t="s">
        <v>236</v>
      </c>
      <c r="I36" s="83">
        <v>2.631081081081081</v>
      </c>
      <c r="J36" s="83"/>
      <c r="K36" s="83"/>
      <c r="L36" s="83"/>
      <c r="M36" s="83"/>
      <c r="N36" s="83"/>
      <c r="O36" s="83"/>
      <c r="P36" s="31" t="s">
        <v>172</v>
      </c>
      <c r="Q36" s="31" t="s">
        <v>237</v>
      </c>
      <c r="R36" s="31"/>
      <c r="S36" s="31"/>
      <c r="T36" s="31"/>
      <c r="U36" s="35"/>
      <c r="V36" s="134">
        <v>0</v>
      </c>
      <c r="W36" s="85">
        <v>0</v>
      </c>
      <c r="X36" s="83">
        <v>0</v>
      </c>
      <c r="Y36" s="83">
        <v>0</v>
      </c>
      <c r="Z36" s="83">
        <v>740</v>
      </c>
      <c r="AA36" s="31" t="s">
        <v>174</v>
      </c>
      <c r="AB36" s="132">
        <v>44085</v>
      </c>
      <c r="AC36" s="83" t="s">
        <v>238</v>
      </c>
      <c r="AD36" s="31" t="s">
        <v>176</v>
      </c>
      <c r="AE36" s="31" t="s">
        <v>177</v>
      </c>
      <c r="AF36" s="31" t="s">
        <v>178</v>
      </c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/>
      <c r="AY36"/>
      <c r="AZ36" s="83"/>
      <c r="BB36" s="31" t="str">
        <f>BBDD_TERRENO[[#This Row],[Comuna]]&amp;BBDD_TERRENO[[#This Row],[Identificacion Propiedad]]</f>
        <v>HualquiLote 17  (CH1)</v>
      </c>
    </row>
    <row r="37" spans="1:54" x14ac:dyDescent="0.3">
      <c r="A37" s="31" t="s">
        <v>168</v>
      </c>
      <c r="B37" s="31" t="s">
        <v>169</v>
      </c>
      <c r="C37" s="31" t="s">
        <v>239</v>
      </c>
      <c r="E37" s="42">
        <v>735.5</v>
      </c>
      <c r="F37" s="31" t="s">
        <v>73</v>
      </c>
      <c r="G37" s="32">
        <v>44237</v>
      </c>
      <c r="H37" s="31" t="s">
        <v>240</v>
      </c>
      <c r="I37" s="83">
        <v>2.8076138681169271</v>
      </c>
      <c r="J37" s="83"/>
      <c r="K37" s="83"/>
      <c r="L37" s="83"/>
      <c r="M37" s="83"/>
      <c r="N37" s="83"/>
      <c r="O37" s="83"/>
      <c r="P37" s="31" t="s">
        <v>172</v>
      </c>
      <c r="Q37" s="31" t="s">
        <v>241</v>
      </c>
      <c r="R37" s="31"/>
      <c r="S37" s="31"/>
      <c r="T37" s="31"/>
      <c r="U37" s="35"/>
      <c r="V37" s="134">
        <v>0</v>
      </c>
      <c r="W37" s="85">
        <v>0</v>
      </c>
      <c r="X37" s="83">
        <v>0</v>
      </c>
      <c r="Y37" s="83">
        <v>0</v>
      </c>
      <c r="Z37" s="83">
        <v>735.5</v>
      </c>
      <c r="AA37" s="31" t="s">
        <v>174</v>
      </c>
      <c r="AB37" s="132">
        <v>44085</v>
      </c>
      <c r="AC37" s="83" t="s">
        <v>242</v>
      </c>
      <c r="AD37" s="31" t="s">
        <v>176</v>
      </c>
      <c r="AE37" s="31" t="s">
        <v>177</v>
      </c>
      <c r="AF37" s="31" t="s">
        <v>178</v>
      </c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/>
      <c r="AY37"/>
      <c r="AZ37" s="83"/>
      <c r="BB37" s="31" t="str">
        <f>BBDD_TERRENO[[#This Row],[Comuna]]&amp;BBDD_TERRENO[[#This Row],[Identificacion Propiedad]]</f>
        <v>HualquiLote 18  (CH1)</v>
      </c>
    </row>
    <row r="38" spans="1:54" x14ac:dyDescent="0.3">
      <c r="A38" s="31" t="s">
        <v>168</v>
      </c>
      <c r="B38" s="31" t="s">
        <v>169</v>
      </c>
      <c r="C38" s="31" t="s">
        <v>243</v>
      </c>
      <c r="E38" s="42">
        <v>740</v>
      </c>
      <c r="F38" s="31" t="s">
        <v>73</v>
      </c>
      <c r="G38" s="32">
        <v>44335</v>
      </c>
      <c r="H38" s="31" t="s">
        <v>244</v>
      </c>
      <c r="I38" s="83">
        <v>2.6918918918918919</v>
      </c>
      <c r="J38" s="83"/>
      <c r="K38" s="83"/>
      <c r="L38" s="83"/>
      <c r="M38" s="83"/>
      <c r="N38" s="83"/>
      <c r="O38" s="83"/>
      <c r="P38" s="31" t="s">
        <v>172</v>
      </c>
      <c r="Q38" s="31" t="s">
        <v>245</v>
      </c>
      <c r="R38" s="31"/>
      <c r="S38" s="31"/>
      <c r="T38" s="31"/>
      <c r="U38" s="35"/>
      <c r="V38" s="134">
        <v>0</v>
      </c>
      <c r="W38" s="85">
        <v>0</v>
      </c>
      <c r="X38" s="83">
        <v>0</v>
      </c>
      <c r="Y38" s="83">
        <v>0</v>
      </c>
      <c r="Z38" s="83">
        <v>740</v>
      </c>
      <c r="AA38" s="31" t="s">
        <v>174</v>
      </c>
      <c r="AB38" s="132">
        <v>44085</v>
      </c>
      <c r="AC38" s="83" t="s">
        <v>246</v>
      </c>
      <c r="AD38" s="31" t="s">
        <v>176</v>
      </c>
      <c r="AE38" s="31" t="s">
        <v>177</v>
      </c>
      <c r="AF38" s="31" t="s">
        <v>178</v>
      </c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/>
      <c r="AY38"/>
      <c r="AZ38" s="83"/>
      <c r="BB38" s="31" t="str">
        <f>BBDD_TERRENO[[#This Row],[Comuna]]&amp;BBDD_TERRENO[[#This Row],[Identificacion Propiedad]]</f>
        <v>HualquiLote 19  (CH1)</v>
      </c>
    </row>
    <row r="39" spans="1:54" x14ac:dyDescent="0.3">
      <c r="A39" s="31" t="s">
        <v>168</v>
      </c>
      <c r="B39" s="31" t="s">
        <v>169</v>
      </c>
      <c r="C39" s="31" t="s">
        <v>247</v>
      </c>
      <c r="E39" s="42">
        <v>740</v>
      </c>
      <c r="F39" s="31" t="s">
        <v>73</v>
      </c>
      <c r="G39" s="32">
        <v>44419</v>
      </c>
      <c r="H39" s="31" t="s">
        <v>248</v>
      </c>
      <c r="I39" s="83">
        <v>2.8945945945945946</v>
      </c>
      <c r="J39" s="83"/>
      <c r="K39" s="83"/>
      <c r="L39" s="83"/>
      <c r="M39" s="83"/>
      <c r="N39" s="83"/>
      <c r="O39" s="83"/>
      <c r="P39" s="31" t="s">
        <v>172</v>
      </c>
      <c r="Q39" s="31" t="s">
        <v>249</v>
      </c>
      <c r="R39" s="31"/>
      <c r="S39" s="31"/>
      <c r="T39" s="31"/>
      <c r="U39" s="35"/>
      <c r="V39" s="134">
        <v>0</v>
      </c>
      <c r="W39" s="85">
        <v>0</v>
      </c>
      <c r="X39" s="83">
        <v>0</v>
      </c>
      <c r="Y39" s="83">
        <v>0</v>
      </c>
      <c r="Z39" s="83">
        <v>740</v>
      </c>
      <c r="AA39" s="31" t="s">
        <v>174</v>
      </c>
      <c r="AB39" s="132">
        <v>44085</v>
      </c>
      <c r="AC39" s="83" t="s">
        <v>250</v>
      </c>
      <c r="AD39" s="31" t="s">
        <v>176</v>
      </c>
      <c r="AE39" s="31" t="s">
        <v>177</v>
      </c>
      <c r="AF39" s="31" t="s">
        <v>178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/>
      <c r="AY39"/>
      <c r="AZ39" s="83"/>
      <c r="BB39" s="31" t="str">
        <f>BBDD_TERRENO[[#This Row],[Comuna]]&amp;BBDD_TERRENO[[#This Row],[Identificacion Propiedad]]</f>
        <v>HualquiLote 20  (CH1)</v>
      </c>
    </row>
    <row r="40" spans="1:54" x14ac:dyDescent="0.3">
      <c r="A40" s="31" t="s">
        <v>168</v>
      </c>
      <c r="B40" s="31" t="s">
        <v>169</v>
      </c>
      <c r="C40" s="31" t="s">
        <v>251</v>
      </c>
      <c r="E40" s="42">
        <v>735.5</v>
      </c>
      <c r="F40" s="31" t="s">
        <v>73</v>
      </c>
      <c r="G40" s="32">
        <v>44280</v>
      </c>
      <c r="H40" s="31" t="s">
        <v>252</v>
      </c>
      <c r="I40" s="83">
        <v>2.8266485384092452</v>
      </c>
      <c r="J40" s="83"/>
      <c r="K40" s="83"/>
      <c r="L40" s="83"/>
      <c r="M40" s="83"/>
      <c r="N40" s="83"/>
      <c r="O40" s="83"/>
      <c r="P40" s="31" t="s">
        <v>172</v>
      </c>
      <c r="Q40" s="31" t="s">
        <v>253</v>
      </c>
      <c r="R40" s="31"/>
      <c r="S40" s="31"/>
      <c r="T40" s="31"/>
      <c r="U40" s="35"/>
      <c r="V40" s="134">
        <v>0</v>
      </c>
      <c r="W40" s="85">
        <v>0</v>
      </c>
      <c r="X40" s="83">
        <v>0</v>
      </c>
      <c r="Y40" s="83">
        <v>0</v>
      </c>
      <c r="Z40" s="83">
        <v>735.5</v>
      </c>
      <c r="AA40" s="31" t="s">
        <v>174</v>
      </c>
      <c r="AB40" s="132">
        <v>44085</v>
      </c>
      <c r="AC40" s="83" t="s">
        <v>254</v>
      </c>
      <c r="AD40" s="31" t="s">
        <v>176</v>
      </c>
      <c r="AE40" s="31" t="s">
        <v>177</v>
      </c>
      <c r="AF40" s="31" t="s">
        <v>178</v>
      </c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/>
      <c r="AY40"/>
      <c r="AZ40" s="83"/>
      <c r="BB40" s="31" t="str">
        <f>BBDD_TERRENO[[#This Row],[Comuna]]&amp;BBDD_TERRENO[[#This Row],[Identificacion Propiedad]]</f>
        <v>HualquiLote 21  (CH1)</v>
      </c>
    </row>
    <row r="41" spans="1:54" x14ac:dyDescent="0.3">
      <c r="A41" s="31" t="s">
        <v>168</v>
      </c>
      <c r="B41" s="31" t="s">
        <v>169</v>
      </c>
      <c r="C41" s="31" t="s">
        <v>255</v>
      </c>
      <c r="E41" s="42">
        <v>740</v>
      </c>
      <c r="F41" s="31" t="s">
        <v>73</v>
      </c>
      <c r="G41" s="32">
        <v>44363</v>
      </c>
      <c r="H41" s="31" t="s">
        <v>256</v>
      </c>
      <c r="I41" s="83">
        <v>2.8040540540540539</v>
      </c>
      <c r="J41" s="83"/>
      <c r="K41" s="83"/>
      <c r="L41" s="83"/>
      <c r="M41" s="83"/>
      <c r="N41" s="83"/>
      <c r="O41" s="83"/>
      <c r="P41" s="31" t="s">
        <v>172</v>
      </c>
      <c r="Q41" s="31" t="s">
        <v>257</v>
      </c>
      <c r="R41" s="31"/>
      <c r="S41" s="31"/>
      <c r="T41" s="31"/>
      <c r="U41" s="35"/>
      <c r="V41" s="134">
        <v>0</v>
      </c>
      <c r="W41" s="85">
        <v>0</v>
      </c>
      <c r="X41" s="83">
        <v>0</v>
      </c>
      <c r="Y41" s="83">
        <v>0</v>
      </c>
      <c r="Z41" s="83">
        <v>740</v>
      </c>
      <c r="AA41" s="31" t="s">
        <v>174</v>
      </c>
      <c r="AB41" s="132">
        <v>44085</v>
      </c>
      <c r="AC41" s="83" t="s">
        <v>258</v>
      </c>
      <c r="AD41" s="31" t="s">
        <v>176</v>
      </c>
      <c r="AE41" s="31" t="s">
        <v>177</v>
      </c>
      <c r="AF41" s="31" t="s">
        <v>178</v>
      </c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/>
      <c r="AY41"/>
      <c r="AZ41" s="83"/>
      <c r="BB41" s="31" t="str">
        <f>BBDD_TERRENO[[#This Row],[Comuna]]&amp;BBDD_TERRENO[[#This Row],[Identificacion Propiedad]]</f>
        <v>HualquiLote 22  (CH1)</v>
      </c>
    </row>
    <row r="42" spans="1:54" x14ac:dyDescent="0.3">
      <c r="A42" s="31" t="s">
        <v>168</v>
      </c>
      <c r="B42" s="31" t="s">
        <v>169</v>
      </c>
      <c r="C42" s="31" t="s">
        <v>259</v>
      </c>
      <c r="E42" s="42">
        <v>842.1</v>
      </c>
      <c r="F42" s="31" t="s">
        <v>73</v>
      </c>
      <c r="G42" s="32">
        <v>44342</v>
      </c>
      <c r="H42" s="31" t="s">
        <v>260</v>
      </c>
      <c r="I42" s="83">
        <v>2.3678897993112455</v>
      </c>
      <c r="J42" s="83"/>
      <c r="K42" s="83"/>
      <c r="L42" s="83"/>
      <c r="M42" s="83"/>
      <c r="N42" s="83"/>
      <c r="O42" s="83"/>
      <c r="P42" s="31" t="s">
        <v>172</v>
      </c>
      <c r="Q42" s="31" t="s">
        <v>261</v>
      </c>
      <c r="R42" s="31"/>
      <c r="S42" s="31"/>
      <c r="T42" s="31"/>
      <c r="U42" s="35"/>
      <c r="V42" s="134">
        <v>0</v>
      </c>
      <c r="W42" s="85">
        <v>0</v>
      </c>
      <c r="X42" s="83">
        <v>0</v>
      </c>
      <c r="Y42" s="83">
        <v>0</v>
      </c>
      <c r="Z42" s="83">
        <v>842.1</v>
      </c>
      <c r="AA42" s="31" t="s">
        <v>174</v>
      </c>
      <c r="AB42" s="132">
        <v>44085</v>
      </c>
      <c r="AC42" s="83" t="s">
        <v>262</v>
      </c>
      <c r="AD42" s="31" t="s">
        <v>176</v>
      </c>
      <c r="AE42" s="31" t="s">
        <v>177</v>
      </c>
      <c r="AF42" s="31" t="s">
        <v>178</v>
      </c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/>
      <c r="AY42"/>
      <c r="AZ42" s="83"/>
      <c r="BB42" s="31" t="str">
        <f>BBDD_TERRENO[[#This Row],[Comuna]]&amp;BBDD_TERRENO[[#This Row],[Identificacion Propiedad]]</f>
        <v>HualquiLote 23  (CH1)</v>
      </c>
    </row>
    <row r="43" spans="1:54" x14ac:dyDescent="0.3">
      <c r="A43" s="31" t="s">
        <v>168</v>
      </c>
      <c r="B43" s="31" t="s">
        <v>169</v>
      </c>
      <c r="C43" s="31" t="s">
        <v>263</v>
      </c>
      <c r="E43" s="42">
        <v>761.2</v>
      </c>
      <c r="F43" s="31" t="s">
        <v>73</v>
      </c>
      <c r="G43" s="32">
        <v>44278</v>
      </c>
      <c r="H43" s="31" t="s">
        <v>264</v>
      </c>
      <c r="I43" s="83">
        <v>2.4343142406726219</v>
      </c>
      <c r="J43" s="83"/>
      <c r="K43" s="83"/>
      <c r="L43" s="83"/>
      <c r="M43" s="83"/>
      <c r="N43" s="83"/>
      <c r="O43" s="83"/>
      <c r="P43" s="31" t="s">
        <v>172</v>
      </c>
      <c r="Q43" s="31" t="s">
        <v>265</v>
      </c>
      <c r="R43" s="31"/>
      <c r="S43" s="31"/>
      <c r="T43" s="31"/>
      <c r="U43" s="35"/>
      <c r="V43" s="134">
        <v>0</v>
      </c>
      <c r="W43" s="85">
        <v>0</v>
      </c>
      <c r="X43" s="83">
        <v>0</v>
      </c>
      <c r="Y43" s="83">
        <v>0</v>
      </c>
      <c r="Z43" s="83">
        <v>761.2</v>
      </c>
      <c r="AA43" s="31" t="s">
        <v>174</v>
      </c>
      <c r="AB43" s="132">
        <v>44085</v>
      </c>
      <c r="AC43" s="83" t="s">
        <v>266</v>
      </c>
      <c r="AD43" s="31" t="s">
        <v>176</v>
      </c>
      <c r="AE43" s="31" t="s">
        <v>177</v>
      </c>
      <c r="AF43" s="31" t="s">
        <v>178</v>
      </c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/>
      <c r="AY43"/>
      <c r="AZ43" s="83"/>
      <c r="BB43" s="31" t="str">
        <f>BBDD_TERRENO[[#This Row],[Comuna]]&amp;BBDD_TERRENO[[#This Row],[Identificacion Propiedad]]</f>
        <v>HualquiLote 24  (CH1)</v>
      </c>
    </row>
    <row r="44" spans="1:54" x14ac:dyDescent="0.3">
      <c r="A44" s="31" t="s">
        <v>168</v>
      </c>
      <c r="B44" s="31" t="s">
        <v>169</v>
      </c>
      <c r="C44" s="31" t="s">
        <v>267</v>
      </c>
      <c r="E44" s="42">
        <v>761.2</v>
      </c>
      <c r="F44" s="31" t="s">
        <v>73</v>
      </c>
      <c r="G44" s="32">
        <v>44376</v>
      </c>
      <c r="H44" s="31" t="s">
        <v>268</v>
      </c>
      <c r="I44" s="83">
        <v>2.5</v>
      </c>
      <c r="J44" s="83"/>
      <c r="K44" s="83"/>
      <c r="L44" s="83"/>
      <c r="M44" s="83"/>
      <c r="N44" s="83"/>
      <c r="O44" s="83"/>
      <c r="P44" s="31" t="s">
        <v>172</v>
      </c>
      <c r="Q44" s="31" t="s">
        <v>269</v>
      </c>
      <c r="R44" s="31"/>
      <c r="S44" s="31"/>
      <c r="T44" s="31"/>
      <c r="U44" s="35"/>
      <c r="V44" s="134">
        <v>0</v>
      </c>
      <c r="W44" s="85">
        <v>0</v>
      </c>
      <c r="X44" s="83">
        <v>0</v>
      </c>
      <c r="Y44" s="83">
        <v>0</v>
      </c>
      <c r="Z44" s="83">
        <v>761.2</v>
      </c>
      <c r="AA44" s="31" t="s">
        <v>174</v>
      </c>
      <c r="AB44" s="132">
        <v>44085</v>
      </c>
      <c r="AC44" s="83" t="s">
        <v>270</v>
      </c>
      <c r="AD44" s="31" t="s">
        <v>176</v>
      </c>
      <c r="AE44" s="31" t="s">
        <v>177</v>
      </c>
      <c r="AF44" s="31" t="s">
        <v>178</v>
      </c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/>
      <c r="AY44"/>
      <c r="AZ44" s="83"/>
      <c r="BB44" s="31" t="str">
        <f>BBDD_TERRENO[[#This Row],[Comuna]]&amp;BBDD_TERRENO[[#This Row],[Identificacion Propiedad]]</f>
        <v>HualquiLote 25  (CH1)</v>
      </c>
    </row>
    <row r="45" spans="1:54" x14ac:dyDescent="0.3">
      <c r="A45" s="31" t="s">
        <v>168</v>
      </c>
      <c r="B45" s="31" t="s">
        <v>169</v>
      </c>
      <c r="C45" s="31" t="s">
        <v>271</v>
      </c>
      <c r="E45" s="42">
        <v>843.6</v>
      </c>
      <c r="F45" s="31" t="s">
        <v>73</v>
      </c>
      <c r="G45" s="32">
        <v>44505</v>
      </c>
      <c r="H45" s="31" t="s">
        <v>272</v>
      </c>
      <c r="I45" s="83">
        <v>2.0376955903271692</v>
      </c>
      <c r="J45" s="83"/>
      <c r="K45" s="83"/>
      <c r="L45" s="83"/>
      <c r="M45" s="83"/>
      <c r="N45" s="83"/>
      <c r="O45" s="83"/>
      <c r="P45" s="31" t="s">
        <v>172</v>
      </c>
      <c r="Q45" s="31" t="s">
        <v>273</v>
      </c>
      <c r="R45" s="31"/>
      <c r="S45" s="31"/>
      <c r="T45" s="31"/>
      <c r="U45" s="35"/>
      <c r="V45" s="134">
        <v>0</v>
      </c>
      <c r="W45" s="85">
        <v>0</v>
      </c>
      <c r="X45" s="83">
        <v>0</v>
      </c>
      <c r="Y45" s="83">
        <v>0</v>
      </c>
      <c r="Z45" s="83">
        <v>843.6</v>
      </c>
      <c r="AA45" s="31" t="s">
        <v>174</v>
      </c>
      <c r="AB45" s="132">
        <v>44085</v>
      </c>
      <c r="AC45" s="83" t="s">
        <v>274</v>
      </c>
      <c r="AD45" s="31" t="s">
        <v>176</v>
      </c>
      <c r="AE45" s="31" t="s">
        <v>177</v>
      </c>
      <c r="AF45" s="31" t="s">
        <v>178</v>
      </c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/>
      <c r="AY45"/>
      <c r="AZ45" s="83"/>
      <c r="BB45" s="31" t="str">
        <f>BBDD_TERRENO[[#This Row],[Comuna]]&amp;BBDD_TERRENO[[#This Row],[Identificacion Propiedad]]</f>
        <v>HualquiLote 26  (CH1)</v>
      </c>
    </row>
    <row r="46" spans="1:54" x14ac:dyDescent="0.3">
      <c r="A46" s="31" t="s">
        <v>168</v>
      </c>
      <c r="B46" s="31" t="s">
        <v>169</v>
      </c>
      <c r="C46" s="31" t="s">
        <v>275</v>
      </c>
      <c r="E46" s="42">
        <v>779.4</v>
      </c>
      <c r="F46" s="31" t="s">
        <v>73</v>
      </c>
      <c r="G46" s="32">
        <v>44390</v>
      </c>
      <c r="H46" s="31" t="s">
        <v>276</v>
      </c>
      <c r="I46" s="83">
        <v>2.3684885809597125</v>
      </c>
      <c r="J46" s="83"/>
      <c r="K46" s="83"/>
      <c r="L46" s="83"/>
      <c r="M46" s="83"/>
      <c r="N46" s="83"/>
      <c r="O46" s="83"/>
      <c r="P46" s="31" t="s">
        <v>172</v>
      </c>
      <c r="Q46" s="31" t="s">
        <v>277</v>
      </c>
      <c r="R46" s="31"/>
      <c r="S46" s="31"/>
      <c r="T46" s="31"/>
      <c r="U46" s="35"/>
      <c r="V46" s="134">
        <v>0</v>
      </c>
      <c r="W46" s="85">
        <v>0</v>
      </c>
      <c r="X46" s="83">
        <v>0</v>
      </c>
      <c r="Y46" s="83">
        <v>0</v>
      </c>
      <c r="Z46" s="83">
        <v>779.4</v>
      </c>
      <c r="AA46" s="31" t="s">
        <v>174</v>
      </c>
      <c r="AB46" s="132">
        <v>44085</v>
      </c>
      <c r="AC46" s="83" t="s">
        <v>278</v>
      </c>
      <c r="AD46" s="31" t="s">
        <v>176</v>
      </c>
      <c r="AE46" s="31" t="s">
        <v>177</v>
      </c>
      <c r="AF46" s="31" t="s">
        <v>178</v>
      </c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/>
      <c r="AY46"/>
      <c r="AZ46" s="83"/>
      <c r="BB46" s="31" t="str">
        <f>BBDD_TERRENO[[#This Row],[Comuna]]&amp;BBDD_TERRENO[[#This Row],[Identificacion Propiedad]]</f>
        <v>HualquiLote 27  (CH1)</v>
      </c>
    </row>
    <row r="47" spans="1:54" x14ac:dyDescent="0.3">
      <c r="A47" s="31" t="s">
        <v>168</v>
      </c>
      <c r="B47" s="31" t="s">
        <v>169</v>
      </c>
      <c r="C47" s="31" t="s">
        <v>279</v>
      </c>
      <c r="E47" s="42">
        <v>801.7</v>
      </c>
      <c r="F47" s="31" t="s">
        <v>73</v>
      </c>
      <c r="G47" s="32">
        <v>44377</v>
      </c>
      <c r="H47" s="31" t="s">
        <v>280</v>
      </c>
      <c r="I47" s="83">
        <v>2.3687164774853433</v>
      </c>
      <c r="J47" s="83"/>
      <c r="K47" s="83"/>
      <c r="L47" s="83"/>
      <c r="M47" s="83"/>
      <c r="N47" s="83"/>
      <c r="O47" s="83"/>
      <c r="P47" s="31" t="s">
        <v>172</v>
      </c>
      <c r="Q47" s="31" t="s">
        <v>281</v>
      </c>
      <c r="R47" s="31"/>
      <c r="S47" s="31"/>
      <c r="T47" s="31"/>
      <c r="U47" s="35"/>
      <c r="V47" s="134">
        <v>0</v>
      </c>
      <c r="W47" s="85">
        <v>0</v>
      </c>
      <c r="X47" s="83">
        <v>0</v>
      </c>
      <c r="Y47" s="83">
        <v>0</v>
      </c>
      <c r="Z47" s="83">
        <v>801.7</v>
      </c>
      <c r="AA47" s="31" t="s">
        <v>174</v>
      </c>
      <c r="AB47" s="132">
        <v>44085</v>
      </c>
      <c r="AC47" s="83" t="s">
        <v>282</v>
      </c>
      <c r="AD47" s="31" t="s">
        <v>176</v>
      </c>
      <c r="AE47" s="31" t="s">
        <v>177</v>
      </c>
      <c r="AF47" s="31" t="s">
        <v>178</v>
      </c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/>
      <c r="AY47"/>
      <c r="AZ47" s="83"/>
      <c r="BB47" s="31" t="str">
        <f>BBDD_TERRENO[[#This Row],[Comuna]]&amp;BBDD_TERRENO[[#This Row],[Identificacion Propiedad]]</f>
        <v>HualquiLote 28  (CH1)</v>
      </c>
    </row>
    <row r="48" spans="1:54" x14ac:dyDescent="0.3">
      <c r="A48" s="31" t="s">
        <v>168</v>
      </c>
      <c r="B48" s="31" t="s">
        <v>169</v>
      </c>
      <c r="C48" s="31" t="s">
        <v>283</v>
      </c>
      <c r="E48" s="42">
        <v>802.3</v>
      </c>
      <c r="F48" s="31" t="s">
        <v>73</v>
      </c>
      <c r="G48" s="32">
        <v>44459</v>
      </c>
      <c r="H48" s="31" t="s">
        <v>284</v>
      </c>
      <c r="I48" s="83">
        <v>2.3681914495824508</v>
      </c>
      <c r="J48" s="83"/>
      <c r="K48" s="83"/>
      <c r="L48" s="83"/>
      <c r="M48" s="83"/>
      <c r="N48" s="83"/>
      <c r="O48" s="83"/>
      <c r="P48" s="31" t="s">
        <v>172</v>
      </c>
      <c r="Q48" s="31" t="s">
        <v>285</v>
      </c>
      <c r="R48" s="31"/>
      <c r="S48" s="31"/>
      <c r="T48" s="31"/>
      <c r="U48" s="35"/>
      <c r="V48" s="134">
        <v>0</v>
      </c>
      <c r="W48" s="85">
        <v>0</v>
      </c>
      <c r="X48" s="83">
        <v>0</v>
      </c>
      <c r="Y48" s="83">
        <v>0</v>
      </c>
      <c r="Z48" s="83">
        <v>802.3</v>
      </c>
      <c r="AA48" s="31" t="s">
        <v>174</v>
      </c>
      <c r="AB48" s="132">
        <v>44085</v>
      </c>
      <c r="AC48" s="83" t="s">
        <v>286</v>
      </c>
      <c r="AD48" s="31" t="s">
        <v>176</v>
      </c>
      <c r="AE48" s="31" t="s">
        <v>177</v>
      </c>
      <c r="AF48" s="31" t="s">
        <v>178</v>
      </c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/>
      <c r="AY48"/>
      <c r="AZ48" s="83"/>
      <c r="BB48" s="31" t="str">
        <f>BBDD_TERRENO[[#This Row],[Comuna]]&amp;BBDD_TERRENO[[#This Row],[Identificacion Propiedad]]</f>
        <v>HualquiLote 29  (CH1)</v>
      </c>
    </row>
    <row r="49" spans="1:54" x14ac:dyDescent="0.3">
      <c r="A49" s="31" t="s">
        <v>168</v>
      </c>
      <c r="B49" s="31" t="s">
        <v>169</v>
      </c>
      <c r="C49" s="31" t="s">
        <v>287</v>
      </c>
      <c r="E49" s="42">
        <v>1115.8</v>
      </c>
      <c r="F49" s="31" t="s">
        <v>73</v>
      </c>
      <c r="G49" s="32">
        <v>44519</v>
      </c>
      <c r="H49" s="31" t="s">
        <v>288</v>
      </c>
      <c r="I49" s="83">
        <v>2.6312959311704609</v>
      </c>
      <c r="J49" s="83"/>
      <c r="K49" s="83"/>
      <c r="L49" s="83"/>
      <c r="M49" s="83"/>
      <c r="N49" s="83"/>
      <c r="O49" s="83"/>
      <c r="P49" s="31" t="s">
        <v>172</v>
      </c>
      <c r="Q49" s="31" t="s">
        <v>289</v>
      </c>
      <c r="R49" s="31"/>
      <c r="S49" s="31"/>
      <c r="T49" s="31"/>
      <c r="U49" s="35"/>
      <c r="V49" s="134">
        <v>0</v>
      </c>
      <c r="W49" s="85">
        <v>0</v>
      </c>
      <c r="X49" s="83">
        <v>0</v>
      </c>
      <c r="Y49" s="83">
        <v>0</v>
      </c>
      <c r="Z49" s="83">
        <v>1115.8</v>
      </c>
      <c r="AA49" s="31" t="s">
        <v>174</v>
      </c>
      <c r="AB49" s="132">
        <v>44085</v>
      </c>
      <c r="AC49" s="83" t="s">
        <v>290</v>
      </c>
      <c r="AD49" s="31" t="s">
        <v>176</v>
      </c>
      <c r="AE49" s="31" t="s">
        <v>177</v>
      </c>
      <c r="AF49" s="31" t="s">
        <v>178</v>
      </c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/>
      <c r="AY49"/>
      <c r="AZ49" s="83"/>
      <c r="BB49" s="31" t="str">
        <f>BBDD_TERRENO[[#This Row],[Comuna]]&amp;BBDD_TERRENO[[#This Row],[Identificacion Propiedad]]</f>
        <v>HualquiLote 30  (CH1)</v>
      </c>
    </row>
    <row r="50" spans="1:54" x14ac:dyDescent="0.3">
      <c r="A50" s="31" t="s">
        <v>168</v>
      </c>
      <c r="B50" s="31" t="s">
        <v>169</v>
      </c>
      <c r="C50" s="31" t="s">
        <v>291</v>
      </c>
      <c r="E50" s="42">
        <v>704</v>
      </c>
      <c r="F50" s="31" t="s">
        <v>73</v>
      </c>
      <c r="G50" s="32">
        <v>44369</v>
      </c>
      <c r="H50" s="31" t="s">
        <v>292</v>
      </c>
      <c r="I50" s="83">
        <v>0.80113636363636365</v>
      </c>
      <c r="J50" s="83"/>
      <c r="K50" s="83"/>
      <c r="L50" s="83"/>
      <c r="M50" s="83"/>
      <c r="N50" s="83"/>
      <c r="O50" s="83"/>
      <c r="P50" s="31" t="s">
        <v>172</v>
      </c>
      <c r="Q50" s="31" t="s">
        <v>293</v>
      </c>
      <c r="R50" s="31"/>
      <c r="S50" s="31"/>
      <c r="T50" s="31"/>
      <c r="U50" s="35"/>
      <c r="V50" s="134">
        <v>0</v>
      </c>
      <c r="W50" s="85">
        <v>0</v>
      </c>
      <c r="X50" s="83">
        <v>0</v>
      </c>
      <c r="Y50" s="83">
        <v>0</v>
      </c>
      <c r="Z50" s="83">
        <v>704</v>
      </c>
      <c r="AA50" s="31" t="s">
        <v>174</v>
      </c>
      <c r="AB50" s="132">
        <v>44085</v>
      </c>
      <c r="AC50" s="83" t="s">
        <v>294</v>
      </c>
      <c r="AD50" s="31" t="s">
        <v>176</v>
      </c>
      <c r="AE50" s="31" t="s">
        <v>177</v>
      </c>
      <c r="AF50" s="31" t="s">
        <v>178</v>
      </c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/>
      <c r="AY50"/>
      <c r="AZ50" s="83"/>
      <c r="BB50" s="31" t="str">
        <f>BBDD_TERRENO[[#This Row],[Comuna]]&amp;BBDD_TERRENO[[#This Row],[Identificacion Propiedad]]</f>
        <v>HualquiLote 31  (CH1)</v>
      </c>
    </row>
    <row r="51" spans="1:54" x14ac:dyDescent="0.3">
      <c r="A51" s="31" t="s">
        <v>168</v>
      </c>
      <c r="B51" s="31" t="s">
        <v>169</v>
      </c>
      <c r="C51" s="31" t="s">
        <v>295</v>
      </c>
      <c r="E51" s="42">
        <v>785.3</v>
      </c>
      <c r="F51" s="31" t="s">
        <v>73</v>
      </c>
      <c r="G51" s="32">
        <v>44369</v>
      </c>
      <c r="H51" s="31" t="s">
        <v>296</v>
      </c>
      <c r="I51" s="83">
        <v>2.422004329555584</v>
      </c>
      <c r="J51" s="83"/>
      <c r="K51" s="83"/>
      <c r="L51" s="83"/>
      <c r="M51" s="83"/>
      <c r="N51" s="83"/>
      <c r="O51" s="83"/>
      <c r="P51" s="31" t="s">
        <v>172</v>
      </c>
      <c r="Q51" s="31" t="s">
        <v>297</v>
      </c>
      <c r="R51" s="31"/>
      <c r="S51" s="31"/>
      <c r="T51" s="31"/>
      <c r="U51" s="35"/>
      <c r="V51" s="134">
        <v>0</v>
      </c>
      <c r="W51" s="85">
        <v>0</v>
      </c>
      <c r="X51" s="83">
        <v>0</v>
      </c>
      <c r="Y51" s="83">
        <v>0</v>
      </c>
      <c r="Z51" s="83">
        <v>785.3</v>
      </c>
      <c r="AA51" s="31" t="s">
        <v>174</v>
      </c>
      <c r="AB51" s="132">
        <v>44085</v>
      </c>
      <c r="AC51" s="83" t="s">
        <v>298</v>
      </c>
      <c r="AD51" s="31" t="s">
        <v>176</v>
      </c>
      <c r="AE51" s="31" t="s">
        <v>177</v>
      </c>
      <c r="AF51" s="31" t="s">
        <v>178</v>
      </c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/>
      <c r="AY51"/>
      <c r="AZ51" s="83"/>
      <c r="BB51" s="31" t="str">
        <f>BBDD_TERRENO[[#This Row],[Comuna]]&amp;BBDD_TERRENO[[#This Row],[Identificacion Propiedad]]</f>
        <v>HualquiLote 32  (CH1)</v>
      </c>
    </row>
    <row r="52" spans="1:54" x14ac:dyDescent="0.3">
      <c r="A52" s="31" t="s">
        <v>168</v>
      </c>
      <c r="B52" s="31" t="s">
        <v>169</v>
      </c>
      <c r="C52" s="31" t="s">
        <v>299</v>
      </c>
      <c r="E52" s="42">
        <v>1019.8</v>
      </c>
      <c r="F52" s="31" t="s">
        <v>73</v>
      </c>
      <c r="G52" s="32">
        <v>44407</v>
      </c>
      <c r="H52" s="31" t="s">
        <v>300</v>
      </c>
      <c r="I52" s="83">
        <v>2.5004902922141596</v>
      </c>
      <c r="J52" s="83"/>
      <c r="K52" s="83"/>
      <c r="L52" s="83"/>
      <c r="M52" s="83"/>
      <c r="N52" s="83"/>
      <c r="O52" s="83"/>
      <c r="P52" s="31" t="s">
        <v>172</v>
      </c>
      <c r="Q52" s="31" t="s">
        <v>301</v>
      </c>
      <c r="R52" s="31"/>
      <c r="S52" s="31"/>
      <c r="T52" s="31"/>
      <c r="U52" s="35"/>
      <c r="V52" s="134">
        <v>0</v>
      </c>
      <c r="W52" s="85">
        <v>0</v>
      </c>
      <c r="X52" s="83">
        <v>0</v>
      </c>
      <c r="Y52" s="83">
        <v>0</v>
      </c>
      <c r="Z52" s="83">
        <v>1019.8</v>
      </c>
      <c r="AA52" s="31" t="s">
        <v>174</v>
      </c>
      <c r="AB52" s="132">
        <v>44085</v>
      </c>
      <c r="AC52" s="83" t="s">
        <v>302</v>
      </c>
      <c r="AD52" s="31" t="s">
        <v>176</v>
      </c>
      <c r="AE52" s="31" t="s">
        <v>177</v>
      </c>
      <c r="AF52" s="31" t="s">
        <v>178</v>
      </c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/>
      <c r="AY52"/>
      <c r="AZ52" s="83"/>
      <c r="BB52" s="31" t="str">
        <f>BBDD_TERRENO[[#This Row],[Comuna]]&amp;BBDD_TERRENO[[#This Row],[Identificacion Propiedad]]</f>
        <v>HualquiLote 33  (CH1)</v>
      </c>
    </row>
    <row r="53" spans="1:54" x14ac:dyDescent="0.3">
      <c r="A53" s="31" t="s">
        <v>70</v>
      </c>
      <c r="B53" s="31" t="s">
        <v>303</v>
      </c>
      <c r="C53" s="31" t="s">
        <v>304</v>
      </c>
      <c r="E53" s="42">
        <v>5237.49</v>
      </c>
      <c r="F53" s="31" t="s">
        <v>73</v>
      </c>
      <c r="G53" s="32">
        <v>40599</v>
      </c>
      <c r="H53" s="31" t="s">
        <v>305</v>
      </c>
      <c r="I53" s="83">
        <v>3.7699355989223848</v>
      </c>
      <c r="J53" s="83"/>
      <c r="K53" s="83"/>
      <c r="L53" s="83"/>
      <c r="M53" s="83"/>
      <c r="N53" s="83"/>
      <c r="O53" s="83"/>
      <c r="P53" s="31"/>
      <c r="Q53" s="31"/>
      <c r="R53" s="31"/>
      <c r="S53" s="31"/>
      <c r="T53" s="31"/>
      <c r="U53" s="35"/>
      <c r="V53" s="134">
        <v>0</v>
      </c>
      <c r="W53" s="85">
        <v>0</v>
      </c>
      <c r="X53" s="83">
        <v>0</v>
      </c>
      <c r="Y53" s="83">
        <v>0</v>
      </c>
      <c r="Z53" s="83"/>
      <c r="AA53" s="31"/>
      <c r="AB53" s="132"/>
      <c r="AC53" s="83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>
        <v>3404.3685</v>
      </c>
      <c r="AV53" s="31"/>
      <c r="AW53"/>
      <c r="AY53"/>
      <c r="AZ53" s="83"/>
      <c r="BB53" s="31" t="str">
        <f>BBDD_TERRENO[[#This Row],[Comuna]]&amp;BBDD_TERRENO[[#This Row],[Identificacion Propiedad]]</f>
        <v>VitacuraSitio 7</v>
      </c>
    </row>
    <row r="54" spans="1:54" x14ac:dyDescent="0.3">
      <c r="A54" s="31" t="s">
        <v>70</v>
      </c>
      <c r="B54" s="31" t="s">
        <v>71</v>
      </c>
      <c r="C54" s="31" t="s">
        <v>306</v>
      </c>
      <c r="E54" s="42">
        <v>6535.5</v>
      </c>
      <c r="F54" s="31" t="s">
        <v>73</v>
      </c>
      <c r="G54" s="32">
        <v>43592</v>
      </c>
      <c r="H54" s="31" t="s">
        <v>307</v>
      </c>
      <c r="I54" s="83">
        <v>1.033738811108561</v>
      </c>
      <c r="J54" s="83"/>
      <c r="K54" s="83"/>
      <c r="L54" s="83"/>
      <c r="M54" s="83"/>
      <c r="N54" s="83"/>
      <c r="O54" s="83"/>
      <c r="P54" s="31"/>
      <c r="Q54" s="31"/>
      <c r="R54" s="31"/>
      <c r="S54" s="31"/>
      <c r="T54" s="31"/>
      <c r="U54" s="35"/>
      <c r="V54" s="134">
        <v>0</v>
      </c>
      <c r="W54" s="85">
        <v>0</v>
      </c>
      <c r="X54" s="83">
        <v>0</v>
      </c>
      <c r="Y54" s="83">
        <v>0</v>
      </c>
      <c r="Z54" s="83"/>
      <c r="AA54" s="31"/>
      <c r="AB54" s="132"/>
      <c r="AC54" s="83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>
        <v>4248.0749999999998</v>
      </c>
      <c r="AV54" s="31"/>
      <c r="AW54"/>
      <c r="AY54"/>
      <c r="AZ54" s="83"/>
      <c r="BB54" s="31" t="str">
        <f>BBDD_TERRENO[[#This Row],[Comuna]]&amp;BBDD_TERRENO[[#This Row],[Identificacion Propiedad]]</f>
        <v>Puerto MonttLote 5-A</v>
      </c>
    </row>
    <row r="55" spans="1:54" x14ac:dyDescent="0.3">
      <c r="A55" s="31" t="s">
        <v>70</v>
      </c>
      <c r="B55" s="31" t="s">
        <v>71</v>
      </c>
      <c r="C55" s="31" t="s">
        <v>308</v>
      </c>
      <c r="E55" s="42">
        <v>7132</v>
      </c>
      <c r="F55" s="31" t="s">
        <v>73</v>
      </c>
      <c r="G55" s="32">
        <v>43980</v>
      </c>
      <c r="H55" s="31" t="s">
        <v>309</v>
      </c>
      <c r="I55" s="83">
        <v>4.37</v>
      </c>
      <c r="J55" s="83"/>
      <c r="K55" s="83"/>
      <c r="L55" s="83"/>
      <c r="M55" s="83"/>
      <c r="N55" s="83"/>
      <c r="O55" s="83"/>
      <c r="P55" s="31"/>
      <c r="Q55" s="31"/>
      <c r="R55" s="31"/>
      <c r="S55" s="31"/>
      <c r="T55" s="31"/>
      <c r="U55" s="35"/>
      <c r="V55" s="134">
        <v>0</v>
      </c>
      <c r="W55" s="85">
        <v>0</v>
      </c>
      <c r="X55" s="83">
        <v>0</v>
      </c>
      <c r="Y55" s="83">
        <v>0</v>
      </c>
      <c r="Z55" s="83"/>
      <c r="AA55" s="31"/>
      <c r="AB55" s="132"/>
      <c r="AC55" s="83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>
        <v>4635.8</v>
      </c>
      <c r="AV55" s="31"/>
      <c r="AW55"/>
      <c r="AY55"/>
      <c r="AZ55" s="83"/>
      <c r="BB55" s="31" t="str">
        <f>BBDD_TERRENO[[#This Row],[Comuna]]&amp;BBDD_TERRENO[[#This Row],[Identificacion Propiedad]]</f>
        <v>Puerto MonttLote 8-A</v>
      </c>
    </row>
    <row r="56" spans="1:54" x14ac:dyDescent="0.3">
      <c r="A56" s="31" t="s">
        <v>70</v>
      </c>
      <c r="B56" s="31" t="s">
        <v>71</v>
      </c>
      <c r="C56" s="31" t="s">
        <v>310</v>
      </c>
      <c r="E56" s="42">
        <v>19963</v>
      </c>
      <c r="F56" s="31" t="s">
        <v>73</v>
      </c>
      <c r="G56" s="32">
        <v>43164</v>
      </c>
      <c r="H56" s="31" t="s">
        <v>311</v>
      </c>
      <c r="I56" s="83">
        <v>0.55803235986575161</v>
      </c>
      <c r="J56" s="83"/>
      <c r="K56" s="83"/>
      <c r="L56" s="83"/>
      <c r="M56" s="83"/>
      <c r="N56" s="83"/>
      <c r="O56" s="83"/>
      <c r="P56" s="31"/>
      <c r="Q56" s="31"/>
      <c r="R56" s="31"/>
      <c r="S56" s="31"/>
      <c r="T56" s="31"/>
      <c r="U56" s="35"/>
      <c r="V56" s="134">
        <v>0</v>
      </c>
      <c r="W56" s="85">
        <v>0</v>
      </c>
      <c r="X56" s="83">
        <v>0</v>
      </c>
      <c r="Y56" s="83">
        <v>0</v>
      </c>
      <c r="Z56" s="83"/>
      <c r="AA56" s="31"/>
      <c r="AB56" s="132"/>
      <c r="AC56" s="83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/>
      <c r="AY56"/>
      <c r="AZ56" s="83"/>
      <c r="BB56" s="31" t="str">
        <f>BBDD_TERRENO[[#This Row],[Comuna]]&amp;BBDD_TERRENO[[#This Row],[Identificacion Propiedad]]</f>
        <v>Puerto MonttLote C (Fusion E1,E3,E5, E6)</v>
      </c>
    </row>
    <row r="57" spans="1:54" x14ac:dyDescent="0.3">
      <c r="A57" s="31" t="s">
        <v>70</v>
      </c>
      <c r="B57" s="31" t="s">
        <v>71</v>
      </c>
      <c r="C57" s="31" t="s">
        <v>312</v>
      </c>
      <c r="E57" s="42">
        <v>20000</v>
      </c>
      <c r="F57" s="31" t="s">
        <v>73</v>
      </c>
      <c r="G57" s="32">
        <v>43005</v>
      </c>
      <c r="H57" s="31" t="s">
        <v>311</v>
      </c>
      <c r="I57" s="83">
        <v>0.65</v>
      </c>
      <c r="J57" s="83"/>
      <c r="K57" s="83"/>
      <c r="L57" s="83"/>
      <c r="M57" s="83"/>
      <c r="N57" s="83"/>
      <c r="O57" s="83"/>
      <c r="P57" s="31"/>
      <c r="Q57" s="31"/>
      <c r="R57" s="31"/>
      <c r="S57" s="31"/>
      <c r="T57" s="31"/>
      <c r="U57" s="35"/>
      <c r="V57" s="134">
        <v>0</v>
      </c>
      <c r="W57" s="85">
        <v>0</v>
      </c>
      <c r="X57" s="83">
        <v>0</v>
      </c>
      <c r="Y57" s="83">
        <v>0</v>
      </c>
      <c r="Z57" s="83"/>
      <c r="AA57" s="31"/>
      <c r="AB57" s="132"/>
      <c r="AC57" s="83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/>
      <c r="AY57"/>
      <c r="AZ57" s="83"/>
      <c r="BB57" s="31" t="str">
        <f>BBDD_TERRENO[[#This Row],[Comuna]]&amp;BBDD_TERRENO[[#This Row],[Identificacion Propiedad]]</f>
        <v>Puerto MonttLotes B</v>
      </c>
    </row>
    <row r="58" spans="1:54" x14ac:dyDescent="0.3">
      <c r="A58" s="31" t="s">
        <v>70</v>
      </c>
      <c r="B58" s="31" t="s">
        <v>71</v>
      </c>
      <c r="C58" s="31" t="s">
        <v>313</v>
      </c>
      <c r="E58" s="42">
        <v>25000</v>
      </c>
      <c r="F58" s="31" t="s">
        <v>73</v>
      </c>
      <c r="G58" s="32">
        <v>42358</v>
      </c>
      <c r="H58" s="31" t="s">
        <v>314</v>
      </c>
      <c r="I58" s="83">
        <v>0.39944000000000002</v>
      </c>
      <c r="J58" s="83"/>
      <c r="K58" s="83"/>
      <c r="L58" s="83"/>
      <c r="M58" s="83"/>
      <c r="N58" s="83"/>
      <c r="O58" s="83"/>
      <c r="P58" s="31"/>
      <c r="Q58" s="31"/>
      <c r="R58" s="31"/>
      <c r="S58" s="31"/>
      <c r="T58" s="31"/>
      <c r="U58" s="35"/>
      <c r="V58" s="134">
        <v>0</v>
      </c>
      <c r="W58" s="85">
        <v>0</v>
      </c>
      <c r="X58" s="83">
        <v>0</v>
      </c>
      <c r="Y58" s="83">
        <v>0</v>
      </c>
      <c r="Z58" s="83"/>
      <c r="AA58" s="31"/>
      <c r="AB58" s="132"/>
      <c r="AC58" s="83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/>
      <c r="AY58"/>
      <c r="AZ58" s="83"/>
      <c r="BB58" s="31" t="str">
        <f>BBDD_TERRENO[[#This Row],[Comuna]]&amp;BBDD_TERRENO[[#This Row],[Identificacion Propiedad]]</f>
        <v>Puerto MonttLotes 60,61,62,63,64</v>
      </c>
    </row>
    <row r="59" spans="1:54" x14ac:dyDescent="0.3">
      <c r="A59" s="31" t="s">
        <v>70</v>
      </c>
      <c r="B59" s="31" t="s">
        <v>71</v>
      </c>
      <c r="C59" s="31" t="s">
        <v>315</v>
      </c>
      <c r="E59" s="42">
        <v>25000</v>
      </c>
      <c r="F59" s="31" t="s">
        <v>73</v>
      </c>
      <c r="G59" s="32">
        <v>43164</v>
      </c>
      <c r="H59" s="31" t="s">
        <v>311</v>
      </c>
      <c r="I59" s="83">
        <v>0.97755999999999998</v>
      </c>
      <c r="J59" s="83"/>
      <c r="K59" s="83"/>
      <c r="L59" s="83"/>
      <c r="M59" s="83"/>
      <c r="N59" s="83"/>
      <c r="O59" s="83"/>
      <c r="P59" s="31"/>
      <c r="Q59" s="31"/>
      <c r="R59" s="31"/>
      <c r="S59" s="31"/>
      <c r="T59" s="31"/>
      <c r="U59" s="35"/>
      <c r="V59" s="134">
        <v>0</v>
      </c>
      <c r="W59" s="85">
        <v>0</v>
      </c>
      <c r="X59" s="83">
        <v>0</v>
      </c>
      <c r="Y59" s="83">
        <v>0</v>
      </c>
      <c r="Z59" s="83"/>
      <c r="AA59" s="31"/>
      <c r="AB59" s="132"/>
      <c r="AC59" s="83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/>
      <c r="AY59"/>
      <c r="AZ59" s="83"/>
      <c r="BB59" s="31" t="str">
        <f>BBDD_TERRENO[[#This Row],[Comuna]]&amp;BBDD_TERRENO[[#This Row],[Identificacion Propiedad]]</f>
        <v>Puerto MonttLote A (Fusion G7, G8, G9, G10, G11)</v>
      </c>
    </row>
    <row r="60" spans="1:54" x14ac:dyDescent="0.3">
      <c r="A60" s="31" t="s">
        <v>70</v>
      </c>
      <c r="B60" s="31" t="s">
        <v>71</v>
      </c>
      <c r="C60" s="31" t="s">
        <v>316</v>
      </c>
      <c r="E60" s="42">
        <v>27280</v>
      </c>
      <c r="F60" s="31" t="s">
        <v>73</v>
      </c>
      <c r="G60" s="32">
        <v>43164</v>
      </c>
      <c r="H60" s="31" t="s">
        <v>311</v>
      </c>
      <c r="I60" s="83">
        <v>0.55700146627565983</v>
      </c>
      <c r="J60" s="83"/>
      <c r="K60" s="83"/>
      <c r="L60" s="83"/>
      <c r="M60" s="83"/>
      <c r="N60" s="83"/>
      <c r="O60" s="83"/>
      <c r="P60" s="31"/>
      <c r="Q60" s="31"/>
      <c r="R60" s="31"/>
      <c r="S60" s="31"/>
      <c r="T60" s="31"/>
      <c r="U60" s="35"/>
      <c r="V60" s="134">
        <v>0</v>
      </c>
      <c r="W60" s="85">
        <v>0</v>
      </c>
      <c r="X60" s="83">
        <v>0</v>
      </c>
      <c r="Y60" s="83">
        <v>0</v>
      </c>
      <c r="Z60" s="83"/>
      <c r="AA60" s="31"/>
      <c r="AB60" s="132"/>
      <c r="AC60" s="83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/>
      <c r="AY60"/>
      <c r="AZ60" s="83"/>
      <c r="BB60" s="31" t="str">
        <f>BBDD_TERRENO[[#This Row],[Comuna]]&amp;BBDD_TERRENO[[#This Row],[Identificacion Propiedad]]</f>
        <v>Puerto MonttLote D (Fusion H1, H2, H3, H4, H5)</v>
      </c>
    </row>
    <row r="61" spans="1:54" x14ac:dyDescent="0.3">
      <c r="A61" s="31" t="s">
        <v>70</v>
      </c>
      <c r="B61" s="31" t="s">
        <v>80</v>
      </c>
      <c r="C61" s="31" t="s">
        <v>317</v>
      </c>
      <c r="E61" s="42">
        <v>20936.939999999999</v>
      </c>
      <c r="F61" s="31" t="s">
        <v>73</v>
      </c>
      <c r="G61" s="32">
        <v>42744</v>
      </c>
      <c r="H61" s="31" t="s">
        <v>117</v>
      </c>
      <c r="I61" s="83">
        <v>1.0014933720609394</v>
      </c>
      <c r="J61" s="83"/>
      <c r="K61" s="83"/>
      <c r="L61" s="83"/>
      <c r="M61" s="83"/>
      <c r="N61" s="83"/>
      <c r="O61" s="83"/>
      <c r="P61" s="31"/>
      <c r="Q61" s="31"/>
      <c r="R61" s="31"/>
      <c r="S61" s="31"/>
      <c r="T61" s="31"/>
      <c r="U61" s="35"/>
      <c r="V61" s="134">
        <v>0</v>
      </c>
      <c r="W61" s="85">
        <v>0</v>
      </c>
      <c r="X61" s="83">
        <v>0</v>
      </c>
      <c r="Y61" s="83">
        <v>0</v>
      </c>
      <c r="Z61" s="83"/>
      <c r="AA61" s="31"/>
      <c r="AB61" s="132"/>
      <c r="AC61" s="83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41"/>
      <c r="AO61" s="41"/>
      <c r="AP61" s="41"/>
      <c r="AQ61" s="41"/>
      <c r="AR61" s="41"/>
      <c r="AS61" s="32"/>
      <c r="AT61" s="31"/>
      <c r="AU61" s="41"/>
      <c r="AV61" s="33"/>
      <c r="AZ61" s="161"/>
      <c r="BB61" s="31" t="str">
        <f>BBDD_TERRENO[[#This Row],[Comuna]]&amp;BBDD_TERRENO[[#This Row],[Identificacion Propiedad]]</f>
        <v>San Pedro de la PazExpropiacion</v>
      </c>
    </row>
    <row r="62" spans="1:54" x14ac:dyDescent="0.3">
      <c r="A62" s="31" t="s">
        <v>70</v>
      </c>
      <c r="B62" s="31" t="s">
        <v>80</v>
      </c>
      <c r="C62" s="31" t="s">
        <v>318</v>
      </c>
      <c r="E62" s="42">
        <v>43065.4</v>
      </c>
      <c r="F62" s="31" t="s">
        <v>73</v>
      </c>
      <c r="G62" s="32">
        <v>43395</v>
      </c>
      <c r="H62" s="31" t="s">
        <v>319</v>
      </c>
      <c r="I62" s="83">
        <v>0.81000060373292715</v>
      </c>
      <c r="J62" s="83"/>
      <c r="K62" s="83"/>
      <c r="L62" s="83"/>
      <c r="M62" s="83"/>
      <c r="N62" s="83"/>
      <c r="O62" s="83"/>
      <c r="P62" s="31"/>
      <c r="Q62" s="31"/>
      <c r="R62" s="31"/>
      <c r="S62" s="31"/>
      <c r="T62" s="31"/>
      <c r="U62" s="35"/>
      <c r="V62" s="134">
        <v>0</v>
      </c>
      <c r="W62" s="85">
        <v>0</v>
      </c>
      <c r="X62" s="83">
        <v>0</v>
      </c>
      <c r="Y62" s="83">
        <v>0</v>
      </c>
      <c r="Z62" s="83"/>
      <c r="AA62" s="31"/>
      <c r="AB62" s="132"/>
      <c r="AC62" s="83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41"/>
      <c r="AO62" s="41"/>
      <c r="AP62" s="41"/>
      <c r="AQ62" s="41"/>
      <c r="AR62" s="41"/>
      <c r="AS62" s="32"/>
      <c r="AT62" s="31"/>
      <c r="AU62" s="41"/>
      <c r="AV62" s="33"/>
      <c r="AZ62" s="161"/>
      <c r="BB62" s="31" t="str">
        <f>BBDD_TERRENO[[#This Row],[Comuna]]&amp;BBDD_TERRENO[[#This Row],[Identificacion Propiedad]]</f>
        <v>San Pedro de la PazLote 2B-3-1-A</v>
      </c>
    </row>
    <row r="63" spans="1:54" x14ac:dyDescent="0.3">
      <c r="A63" s="31" t="s">
        <v>70</v>
      </c>
      <c r="B63" s="31" t="s">
        <v>71</v>
      </c>
      <c r="C63" s="31" t="s">
        <v>320</v>
      </c>
      <c r="E63" s="42">
        <v>29525</v>
      </c>
      <c r="F63" s="31" t="s">
        <v>73</v>
      </c>
      <c r="G63" s="32">
        <v>41271</v>
      </c>
      <c r="H63" s="31" t="s">
        <v>321</v>
      </c>
      <c r="I63" s="83">
        <v>0.54904318374259098</v>
      </c>
      <c r="J63" s="83"/>
      <c r="K63" s="83"/>
      <c r="L63" s="83"/>
      <c r="M63" s="83"/>
      <c r="N63" s="83"/>
      <c r="O63" s="83"/>
      <c r="P63" s="31"/>
      <c r="Q63" s="31"/>
      <c r="R63" s="31"/>
      <c r="S63" s="31"/>
      <c r="T63" s="31"/>
      <c r="U63" s="35"/>
      <c r="V63" s="134">
        <v>0</v>
      </c>
      <c r="W63" s="85">
        <v>0</v>
      </c>
      <c r="X63" s="83">
        <v>0</v>
      </c>
      <c r="Y63" s="83">
        <v>0</v>
      </c>
      <c r="Z63" s="83"/>
      <c r="AA63" s="31"/>
      <c r="AB63" s="132"/>
      <c r="AC63" s="83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/>
      <c r="AY63"/>
      <c r="AZ63" s="83"/>
      <c r="BB63" s="31" t="str">
        <f>BBDD_TERRENO[[#This Row],[Comuna]]&amp;BBDD_TERRENO[[#This Row],[Identificacion Propiedad]]</f>
        <v>Puerto MonttLotes Manzana I</v>
      </c>
    </row>
    <row r="64" spans="1:54" x14ac:dyDescent="0.3">
      <c r="A64" s="31" t="s">
        <v>70</v>
      </c>
      <c r="B64" s="31" t="s">
        <v>71</v>
      </c>
      <c r="C64" s="31" t="s">
        <v>322</v>
      </c>
      <c r="E64" s="42">
        <v>34753</v>
      </c>
      <c r="F64" s="31" t="s">
        <v>73</v>
      </c>
      <c r="G64" s="32">
        <v>42279</v>
      </c>
      <c r="H64" s="31" t="s">
        <v>323</v>
      </c>
      <c r="I64" s="83">
        <v>0.60018835608845111</v>
      </c>
      <c r="J64" s="83"/>
      <c r="K64" s="83"/>
      <c r="L64" s="83"/>
      <c r="M64" s="83"/>
      <c r="N64" s="83"/>
      <c r="O64" s="83"/>
      <c r="P64" s="31"/>
      <c r="Q64" s="31"/>
      <c r="R64" s="31"/>
      <c r="S64" s="31"/>
      <c r="T64" s="31"/>
      <c r="U64" s="35"/>
      <c r="V64" s="134">
        <v>0</v>
      </c>
      <c r="W64" s="85">
        <v>0</v>
      </c>
      <c r="X64" s="83">
        <v>0</v>
      </c>
      <c r="Y64" s="83">
        <v>0</v>
      </c>
      <c r="Z64" s="83"/>
      <c r="AA64" s="31"/>
      <c r="AB64" s="132"/>
      <c r="AC64" s="83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/>
      <c r="AY64"/>
      <c r="AZ64" s="83"/>
      <c r="BB64" s="31" t="str">
        <f>BBDD_TERRENO[[#This Row],[Comuna]]&amp;BBDD_TERRENO[[#This Row],[Identificacion Propiedad]]</f>
        <v>Puerto MonttLote fusionado H6 al H11</v>
      </c>
    </row>
    <row r="65" spans="1:54" x14ac:dyDescent="0.3">
      <c r="A65" s="31" t="s">
        <v>70</v>
      </c>
      <c r="B65" s="31" t="s">
        <v>71</v>
      </c>
      <c r="C65" s="31" t="s">
        <v>324</v>
      </c>
      <c r="E65" s="42">
        <v>50000</v>
      </c>
      <c r="F65" s="31" t="s">
        <v>73</v>
      </c>
      <c r="G65" s="32">
        <v>39647</v>
      </c>
      <c r="H65" s="31" t="s">
        <v>325</v>
      </c>
      <c r="I65" s="83">
        <v>0.46710000000000002</v>
      </c>
      <c r="J65" s="83"/>
      <c r="K65" s="83"/>
      <c r="L65" s="83"/>
      <c r="M65" s="83"/>
      <c r="N65" s="83"/>
      <c r="O65" s="83"/>
      <c r="P65" s="31"/>
      <c r="Q65" s="31"/>
      <c r="R65" s="31"/>
      <c r="S65" s="31"/>
      <c r="T65" s="31"/>
      <c r="U65" s="35"/>
      <c r="V65" s="134">
        <v>0</v>
      </c>
      <c r="W65" s="85">
        <v>0</v>
      </c>
      <c r="X65" s="83">
        <v>0</v>
      </c>
      <c r="Y65" s="83">
        <v>0</v>
      </c>
      <c r="Z65" s="83"/>
      <c r="AA65" s="31"/>
      <c r="AB65" s="132"/>
      <c r="AC65" s="83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/>
      <c r="AY65"/>
      <c r="AZ65" s="83"/>
      <c r="BB65" s="31" t="str">
        <f>BBDD_TERRENO[[#This Row],[Comuna]]&amp;BBDD_TERRENO[[#This Row],[Identificacion Propiedad]]</f>
        <v>Puerto MonttLotes : E9 al E16</v>
      </c>
    </row>
    <row r="66" spans="1:54" x14ac:dyDescent="0.3">
      <c r="A66" s="31" t="s">
        <v>70</v>
      </c>
      <c r="B66" s="31" t="s">
        <v>71</v>
      </c>
      <c r="C66" s="31" t="s">
        <v>326</v>
      </c>
      <c r="E66" s="42">
        <v>161800</v>
      </c>
      <c r="F66" s="31" t="s">
        <v>73</v>
      </c>
      <c r="G66" s="32">
        <v>42358</v>
      </c>
      <c r="H66" s="31" t="s">
        <v>314</v>
      </c>
      <c r="I66" s="83">
        <v>0.39203955500618048</v>
      </c>
      <c r="J66" s="83"/>
      <c r="K66" s="83"/>
      <c r="L66" s="83"/>
      <c r="M66" s="83"/>
      <c r="N66" s="83"/>
      <c r="O66" s="83"/>
      <c r="P66" s="31"/>
      <c r="Q66" s="31"/>
      <c r="R66" s="31"/>
      <c r="S66" s="31"/>
      <c r="T66" s="31"/>
      <c r="U66" s="35"/>
      <c r="V66" s="134">
        <v>0</v>
      </c>
      <c r="W66" s="85">
        <v>0</v>
      </c>
      <c r="X66" s="83">
        <v>0</v>
      </c>
      <c r="Y66" s="83">
        <v>0</v>
      </c>
      <c r="Z66" s="83"/>
      <c r="AA66" s="31"/>
      <c r="AB66" s="132"/>
      <c r="AC66" s="83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/>
      <c r="AY66"/>
      <c r="AZ66" s="83"/>
      <c r="BB66" s="31" t="str">
        <f>BBDD_TERRENO[[#This Row],[Comuna]]&amp;BBDD_TERRENO[[#This Row],[Identificacion Propiedad]]</f>
        <v>Puerto MonttLotes A,B,C</v>
      </c>
    </row>
    <row r="67" spans="1:54" x14ac:dyDescent="0.3">
      <c r="A67" s="31" t="s">
        <v>327</v>
      </c>
      <c r="B67" s="31" t="s">
        <v>80</v>
      </c>
      <c r="C67" s="31" t="s">
        <v>328</v>
      </c>
      <c r="E67" s="42">
        <v>45268.31</v>
      </c>
      <c r="F67" s="31" t="s">
        <v>73</v>
      </c>
      <c r="G67" s="32">
        <v>37027</v>
      </c>
      <c r="H67" s="31" t="s">
        <v>329</v>
      </c>
      <c r="I67" s="83">
        <v>0.69999984536643856</v>
      </c>
      <c r="J67" s="83"/>
      <c r="K67" s="83"/>
      <c r="L67" s="83"/>
      <c r="M67" s="83"/>
      <c r="N67" s="83"/>
      <c r="O67" s="83"/>
      <c r="P67" s="31"/>
      <c r="Q67" s="31"/>
      <c r="R67" s="31"/>
      <c r="S67" s="31"/>
      <c r="T67" s="31"/>
      <c r="U67" s="35"/>
      <c r="V67" s="134">
        <v>0</v>
      </c>
      <c r="W67" s="85">
        <v>0</v>
      </c>
      <c r="X67" s="83">
        <v>0</v>
      </c>
      <c r="Y67" s="83">
        <v>0</v>
      </c>
      <c r="Z67" s="83"/>
      <c r="AA67" s="31"/>
      <c r="AB67" s="132"/>
      <c r="AC67" s="83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41"/>
      <c r="AO67" s="41"/>
      <c r="AP67" s="41"/>
      <c r="AQ67" s="41"/>
      <c r="AR67" s="41"/>
      <c r="AS67" s="32"/>
      <c r="AT67" s="31"/>
      <c r="AU67" s="41"/>
      <c r="AV67" s="33"/>
      <c r="AZ67" s="161"/>
      <c r="BB67" s="31" t="str">
        <f>BBDD_TERRENO[[#This Row],[Comuna]]&amp;BBDD_TERRENO[[#This Row],[Identificacion Propiedad]]</f>
        <v xml:space="preserve">San Pedro de la PazLote 2B-1 </v>
      </c>
    </row>
    <row r="68" spans="1:54" x14ac:dyDescent="0.3">
      <c r="A68" s="31" t="s">
        <v>327</v>
      </c>
      <c r="B68" s="31" t="s">
        <v>80</v>
      </c>
      <c r="C68" s="31" t="s">
        <v>330</v>
      </c>
      <c r="E68" s="42">
        <v>301215.86</v>
      </c>
      <c r="F68" s="31" t="s">
        <v>73</v>
      </c>
      <c r="G68" s="32">
        <v>35580</v>
      </c>
      <c r="H68" s="31" t="s">
        <v>125</v>
      </c>
      <c r="I68" s="83">
        <v>0.49798174637949011</v>
      </c>
      <c r="J68" s="83"/>
      <c r="K68" s="83"/>
      <c r="L68" s="83"/>
      <c r="M68" s="83"/>
      <c r="N68" s="83"/>
      <c r="O68" s="83"/>
      <c r="P68" s="31"/>
      <c r="Q68" s="31"/>
      <c r="R68" s="31"/>
      <c r="S68" s="31"/>
      <c r="T68" s="31"/>
      <c r="U68" s="35"/>
      <c r="V68" s="134">
        <v>0</v>
      </c>
      <c r="W68" s="85">
        <v>0</v>
      </c>
      <c r="X68" s="83">
        <v>0</v>
      </c>
      <c r="Y68" s="83">
        <v>0</v>
      </c>
      <c r="Z68" s="83"/>
      <c r="AA68" s="31"/>
      <c r="AB68" s="132"/>
      <c r="AC68" s="83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41"/>
      <c r="AO68" s="41"/>
      <c r="AP68" s="41"/>
      <c r="AQ68" s="41"/>
      <c r="AR68" s="41"/>
      <c r="AS68" s="32"/>
      <c r="AT68" s="31"/>
      <c r="AU68" s="41"/>
      <c r="AV68" s="33"/>
      <c r="AZ68" s="161"/>
      <c r="BB68" s="31" t="str">
        <f>BBDD_TERRENO[[#This Row],[Comuna]]&amp;BBDD_TERRENO[[#This Row],[Identificacion Propiedad]]</f>
        <v>San Pedro de la PazLote 2B-2</v>
      </c>
    </row>
    <row r="69" spans="1:54" x14ac:dyDescent="0.3">
      <c r="A69" s="31" t="s">
        <v>331</v>
      </c>
      <c r="B69" s="31" t="s">
        <v>80</v>
      </c>
      <c r="C69" s="31" t="s">
        <v>332</v>
      </c>
      <c r="E69" s="42">
        <v>25035.8</v>
      </c>
      <c r="F69" s="31" t="s">
        <v>73</v>
      </c>
      <c r="G69" s="32">
        <v>40046</v>
      </c>
      <c r="H69" s="31" t="s">
        <v>333</v>
      </c>
      <c r="I69" s="83">
        <v>0.57728572739641781</v>
      </c>
      <c r="J69" s="83"/>
      <c r="K69" s="83"/>
      <c r="L69" s="83"/>
      <c r="M69" s="83"/>
      <c r="N69" s="83"/>
      <c r="O69" s="83"/>
      <c r="P69" s="31"/>
      <c r="Q69" s="31"/>
      <c r="R69" s="31"/>
      <c r="S69" s="31"/>
      <c r="T69" s="31"/>
      <c r="U69" s="35"/>
      <c r="V69" s="134">
        <v>0</v>
      </c>
      <c r="W69" s="85">
        <v>0</v>
      </c>
      <c r="X69" s="83">
        <v>0</v>
      </c>
      <c r="Y69" s="83">
        <v>0</v>
      </c>
      <c r="Z69" s="83"/>
      <c r="AA69" s="31"/>
      <c r="AB69" s="132"/>
      <c r="AC69" s="83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41"/>
      <c r="AO69" s="41"/>
      <c r="AP69" s="41"/>
      <c r="AQ69" s="41"/>
      <c r="AR69" s="41"/>
      <c r="AS69" s="32"/>
      <c r="AT69" s="31"/>
      <c r="AU69" s="41"/>
      <c r="AV69" s="33"/>
      <c r="AZ69" s="161"/>
      <c r="BB69" s="31" t="str">
        <f>BBDD_TERRENO[[#This Row],[Comuna]]&amp;BBDD_TERRENO[[#This Row],[Identificacion Propiedad]]</f>
        <v>San Pedro de la PazLote 2 A-1</v>
      </c>
    </row>
    <row r="70" spans="1:54" x14ac:dyDescent="0.3">
      <c r="A70" s="31" t="s">
        <v>331</v>
      </c>
      <c r="B70" s="31" t="s">
        <v>80</v>
      </c>
      <c r="C70" s="31" t="s">
        <v>334</v>
      </c>
      <c r="E70" s="42">
        <v>5023</v>
      </c>
      <c r="F70" s="31" t="s">
        <v>73</v>
      </c>
      <c r="G70" s="32">
        <v>38456</v>
      </c>
      <c r="H70" s="31" t="s">
        <v>335</v>
      </c>
      <c r="I70" s="83">
        <v>0.54545454907425839</v>
      </c>
      <c r="J70" s="83"/>
      <c r="K70" s="83"/>
      <c r="L70" s="83"/>
      <c r="M70" s="83"/>
      <c r="N70" s="83"/>
      <c r="O70" s="83"/>
      <c r="P70" s="31"/>
      <c r="Q70" s="31"/>
      <c r="R70" s="31"/>
      <c r="S70" s="31"/>
      <c r="T70" s="31"/>
      <c r="U70" s="35"/>
      <c r="V70" s="134">
        <v>0</v>
      </c>
      <c r="W70" s="85">
        <v>0</v>
      </c>
      <c r="X70" s="83">
        <v>0</v>
      </c>
      <c r="Y70" s="83">
        <v>0</v>
      </c>
      <c r="Z70" s="83"/>
      <c r="AA70" s="31"/>
      <c r="AB70" s="132"/>
      <c r="AC70" s="83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41"/>
      <c r="AO70" s="41"/>
      <c r="AP70" s="41"/>
      <c r="AQ70" s="41"/>
      <c r="AR70" s="41"/>
      <c r="AS70" s="32"/>
      <c r="AT70" s="31"/>
      <c r="AU70" s="41"/>
      <c r="AV70" s="33"/>
      <c r="AZ70" s="161"/>
      <c r="BB70" s="31" t="str">
        <f>BBDD_TERRENO[[#This Row],[Comuna]]&amp;BBDD_TERRENO[[#This Row],[Identificacion Propiedad]]</f>
        <v>San Pedro de la PazLote 2A-2</v>
      </c>
    </row>
    <row r="71" spans="1:54" x14ac:dyDescent="0.3">
      <c r="A71" s="31" t="s">
        <v>336</v>
      </c>
      <c r="B71" s="31" t="s">
        <v>71</v>
      </c>
      <c r="C71" s="31" t="s">
        <v>337</v>
      </c>
      <c r="E71" s="42">
        <v>17163</v>
      </c>
      <c r="F71" s="31" t="s">
        <v>73</v>
      </c>
      <c r="G71" s="32">
        <v>43171</v>
      </c>
      <c r="H71" s="31" t="s">
        <v>311</v>
      </c>
      <c r="I71" s="83">
        <v>0.72819437161335432</v>
      </c>
      <c r="J71" s="83"/>
      <c r="K71" s="83"/>
      <c r="L71" s="83"/>
      <c r="M71" s="83"/>
      <c r="N71" s="83"/>
      <c r="O71" s="83"/>
      <c r="P71" s="31"/>
      <c r="Q71" s="31"/>
      <c r="R71" s="31"/>
      <c r="S71" s="31"/>
      <c r="T71" s="31"/>
      <c r="U71" s="35"/>
      <c r="V71" s="134">
        <v>0</v>
      </c>
      <c r="W71" s="85">
        <v>0</v>
      </c>
      <c r="X71" s="83">
        <v>0</v>
      </c>
      <c r="Y71" s="83">
        <v>0</v>
      </c>
      <c r="Z71" s="83"/>
      <c r="AA71" s="31"/>
      <c r="AB71" s="132"/>
      <c r="AC71" s="83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/>
      <c r="AY71"/>
      <c r="AZ71" s="83"/>
      <c r="BB71" s="31" t="str">
        <f>BBDD_TERRENO[[#This Row],[Comuna]]&amp;BBDD_TERRENO[[#This Row],[Identificacion Propiedad]]</f>
        <v>Puerto MonttLote F (Fusion F1, F2, F3)</v>
      </c>
    </row>
    <row r="72" spans="1:54" x14ac:dyDescent="0.3">
      <c r="A72" s="31" t="s">
        <v>336</v>
      </c>
      <c r="B72" s="31" t="s">
        <v>71</v>
      </c>
      <c r="C72" s="31" t="s">
        <v>338</v>
      </c>
      <c r="E72" s="42">
        <v>22438</v>
      </c>
      <c r="F72" s="31" t="s">
        <v>73</v>
      </c>
      <c r="G72" s="32">
        <v>43171</v>
      </c>
      <c r="H72" s="31" t="s">
        <v>311</v>
      </c>
      <c r="I72" s="83">
        <v>0.42356716284873874</v>
      </c>
      <c r="J72" s="83"/>
      <c r="K72" s="83"/>
      <c r="L72" s="83"/>
      <c r="M72" s="83"/>
      <c r="N72" s="83"/>
      <c r="O72" s="83"/>
      <c r="P72" s="31"/>
      <c r="Q72" s="31"/>
      <c r="R72" s="31"/>
      <c r="S72" s="31"/>
      <c r="T72" s="31"/>
      <c r="U72" s="35"/>
      <c r="V72" s="134">
        <v>0</v>
      </c>
      <c r="W72" s="85">
        <v>0</v>
      </c>
      <c r="X72" s="83">
        <v>0</v>
      </c>
      <c r="Y72" s="83">
        <v>0</v>
      </c>
      <c r="Z72" s="83"/>
      <c r="AA72" s="31"/>
      <c r="AB72" s="132"/>
      <c r="AC72" s="83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/>
      <c r="AY72"/>
      <c r="AZ72" s="83"/>
      <c r="BB72" s="31" t="str">
        <f>BBDD_TERRENO[[#This Row],[Comuna]]&amp;BBDD_TERRENO[[#This Row],[Identificacion Propiedad]]</f>
        <v>Puerto MonttLote E (Fusion F4, F5, F6, F7)</v>
      </c>
    </row>
    <row r="73" spans="1:54" x14ac:dyDescent="0.3">
      <c r="A73" s="31" t="s">
        <v>336</v>
      </c>
      <c r="B73" s="31" t="s">
        <v>80</v>
      </c>
      <c r="C73" s="31" t="s">
        <v>339</v>
      </c>
      <c r="E73" s="42">
        <v>4510</v>
      </c>
      <c r="F73" s="31" t="s">
        <v>73</v>
      </c>
      <c r="G73" s="32">
        <v>44133</v>
      </c>
      <c r="H73" s="31" t="s">
        <v>340</v>
      </c>
      <c r="I73" s="83">
        <v>4</v>
      </c>
      <c r="J73" s="83"/>
      <c r="K73" s="83"/>
      <c r="L73" s="83"/>
      <c r="M73" s="83"/>
      <c r="N73" s="83"/>
      <c r="O73" s="83"/>
      <c r="P73" s="31"/>
      <c r="Q73" s="31"/>
      <c r="R73" s="31"/>
      <c r="S73" s="31"/>
      <c r="T73" s="31"/>
      <c r="U73" s="35"/>
      <c r="V73" s="134">
        <v>0</v>
      </c>
      <c r="W73" s="85">
        <v>0</v>
      </c>
      <c r="X73" s="83">
        <v>0</v>
      </c>
      <c r="Y73" s="83">
        <v>0</v>
      </c>
      <c r="Z73" s="83"/>
      <c r="AA73" s="31"/>
      <c r="AB73" s="132"/>
      <c r="AC73" s="83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41"/>
      <c r="AO73" s="41"/>
      <c r="AP73" s="41"/>
      <c r="AQ73" s="41"/>
      <c r="AR73" s="41"/>
      <c r="AS73" s="32"/>
      <c r="AT73" s="31"/>
      <c r="AU73" s="41"/>
      <c r="AV73" s="33"/>
      <c r="AZ73" s="161"/>
      <c r="BB73" s="31" t="str">
        <f>BBDD_TERRENO[[#This Row],[Comuna]]&amp;BBDD_TERRENO[[#This Row],[Identificacion Propiedad]]</f>
        <v>San Pedro de la PazLote F-2A-2</v>
      </c>
    </row>
    <row r="74" spans="1:54" x14ac:dyDescent="0.3">
      <c r="A74" s="31" t="s">
        <v>341</v>
      </c>
      <c r="B74" s="31" t="s">
        <v>80</v>
      </c>
      <c r="C74" s="31" t="s">
        <v>342</v>
      </c>
      <c r="E74" s="42">
        <v>15354.64</v>
      </c>
      <c r="F74" s="31" t="s">
        <v>73</v>
      </c>
      <c r="G74" s="32">
        <v>39308</v>
      </c>
      <c r="H74" s="31" t="s">
        <v>343</v>
      </c>
      <c r="I74" s="83">
        <v>4</v>
      </c>
      <c r="J74" s="83"/>
      <c r="K74" s="83"/>
      <c r="L74" s="83"/>
      <c r="M74" s="83"/>
      <c r="N74" s="83"/>
      <c r="O74" s="83"/>
      <c r="P74" s="31"/>
      <c r="Q74" s="31"/>
      <c r="R74" s="31"/>
      <c r="S74" s="31"/>
      <c r="T74" s="31"/>
      <c r="U74" s="35"/>
      <c r="V74" s="134">
        <v>0</v>
      </c>
      <c r="W74" s="85">
        <v>0</v>
      </c>
      <c r="X74" s="83">
        <v>0</v>
      </c>
      <c r="Y74" s="83">
        <v>0</v>
      </c>
      <c r="Z74" s="83"/>
      <c r="AA74" s="31"/>
      <c r="AB74" s="132"/>
      <c r="AC74" s="83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41"/>
      <c r="AO74" s="41"/>
      <c r="AP74" s="41"/>
      <c r="AQ74" s="41"/>
      <c r="AR74" s="41"/>
      <c r="AS74" s="32"/>
      <c r="AT74" s="31"/>
      <c r="AU74" s="41"/>
      <c r="AV74" s="33"/>
      <c r="AZ74" s="161"/>
      <c r="BB74" s="31" t="str">
        <f>BBDD_TERRENO[[#This Row],[Comuna]]&amp;BBDD_TERRENO[[#This Row],[Identificacion Propiedad]]</f>
        <v>San Pedro de la PazLote F-4aB</v>
      </c>
    </row>
    <row r="75" spans="1:54" x14ac:dyDescent="0.3">
      <c r="A75" s="31" t="s">
        <v>341</v>
      </c>
      <c r="B75" s="31" t="s">
        <v>80</v>
      </c>
      <c r="C75" s="31" t="s">
        <v>344</v>
      </c>
      <c r="E75" s="42">
        <v>13847.23</v>
      </c>
      <c r="F75" s="31" t="s">
        <v>73</v>
      </c>
      <c r="G75" s="32">
        <v>40127</v>
      </c>
      <c r="H75" s="31" t="s">
        <v>345</v>
      </c>
      <c r="I75" s="83">
        <v>1.9499928866639755</v>
      </c>
      <c r="J75" s="83"/>
      <c r="K75" s="83"/>
      <c r="L75" s="83"/>
      <c r="M75" s="83"/>
      <c r="N75" s="83"/>
      <c r="O75" s="83"/>
      <c r="P75" s="31"/>
      <c r="Q75" s="31"/>
      <c r="R75" s="31"/>
      <c r="S75" s="31"/>
      <c r="T75" s="31"/>
      <c r="U75" s="35"/>
      <c r="V75" s="134">
        <v>0</v>
      </c>
      <c r="W75" s="85">
        <v>0</v>
      </c>
      <c r="X75" s="83">
        <v>0</v>
      </c>
      <c r="Y75" s="83">
        <v>0</v>
      </c>
      <c r="Z75" s="83"/>
      <c r="AA75" s="31"/>
      <c r="AB75" s="132"/>
      <c r="AC75" s="83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41"/>
      <c r="AO75" s="41"/>
      <c r="AP75" s="41"/>
      <c r="AQ75" s="41"/>
      <c r="AR75" s="41"/>
      <c r="AS75" s="32"/>
      <c r="AT75" s="31"/>
      <c r="AU75" s="41"/>
      <c r="AV75" s="33"/>
      <c r="AZ75" s="161"/>
      <c r="BB75" s="31" t="str">
        <f>BBDD_TERRENO[[#This Row],[Comuna]]&amp;BBDD_TERRENO[[#This Row],[Identificacion Propiedad]]</f>
        <v>San Pedro de la PazLote 2D-1G</v>
      </c>
    </row>
    <row r="76" spans="1:54" x14ac:dyDescent="0.3">
      <c r="A76" s="31" t="s">
        <v>341</v>
      </c>
      <c r="B76" s="31" t="s">
        <v>80</v>
      </c>
      <c r="C76" s="31" t="s">
        <v>346</v>
      </c>
      <c r="E76" s="42">
        <v>23997</v>
      </c>
      <c r="F76" s="31" t="s">
        <v>73</v>
      </c>
      <c r="G76" s="32">
        <v>38639</v>
      </c>
      <c r="H76" s="31" t="s">
        <v>347</v>
      </c>
      <c r="I76" s="83">
        <v>1.0657503021210986</v>
      </c>
      <c r="J76" s="83"/>
      <c r="K76" s="83"/>
      <c r="L76" s="83"/>
      <c r="M76" s="83"/>
      <c r="N76" s="83"/>
      <c r="O76" s="83"/>
      <c r="P76" s="31"/>
      <c r="Q76" s="31"/>
      <c r="R76" s="31"/>
      <c r="S76" s="31"/>
      <c r="T76" s="31"/>
      <c r="U76" s="35"/>
      <c r="V76" s="134">
        <v>0</v>
      </c>
      <c r="W76" s="85">
        <v>0</v>
      </c>
      <c r="X76" s="83">
        <v>0</v>
      </c>
      <c r="Y76" s="83">
        <v>0</v>
      </c>
      <c r="Z76" s="83"/>
      <c r="AA76" s="31"/>
      <c r="AB76" s="132"/>
      <c r="AC76" s="83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41"/>
      <c r="AO76" s="41"/>
      <c r="AP76" s="41"/>
      <c r="AQ76" s="41"/>
      <c r="AR76" s="41"/>
      <c r="AS76" s="32"/>
      <c r="AT76" s="31"/>
      <c r="AU76" s="41"/>
      <c r="AV76" s="33"/>
      <c r="AZ76" s="161"/>
      <c r="BB76" s="31" t="str">
        <f>BBDD_TERRENO[[#This Row],[Comuna]]&amp;BBDD_TERRENO[[#This Row],[Identificacion Propiedad]]</f>
        <v>San Pedro de la PazLote E-1</v>
      </c>
    </row>
    <row r="77" spans="1:54" x14ac:dyDescent="0.3">
      <c r="A77" s="31" t="s">
        <v>341</v>
      </c>
      <c r="B77" s="31" t="s">
        <v>80</v>
      </c>
      <c r="C77" s="31" t="s">
        <v>348</v>
      </c>
      <c r="E77" s="42">
        <v>68550.820000000007</v>
      </c>
      <c r="F77" s="31" t="s">
        <v>73</v>
      </c>
      <c r="G77" s="32">
        <v>40088</v>
      </c>
      <c r="H77" s="31" t="s">
        <v>349</v>
      </c>
      <c r="I77" s="83">
        <v>1.0211402285195128</v>
      </c>
      <c r="J77" s="83"/>
      <c r="K77" s="83"/>
      <c r="L77" s="83"/>
      <c r="M77" s="83"/>
      <c r="N77" s="83"/>
      <c r="O77" s="83"/>
      <c r="P77" s="31"/>
      <c r="Q77" s="31"/>
      <c r="R77" s="31"/>
      <c r="S77" s="31"/>
      <c r="T77" s="31"/>
      <c r="U77" s="35"/>
      <c r="V77" s="134">
        <v>0</v>
      </c>
      <c r="W77" s="85">
        <v>0</v>
      </c>
      <c r="X77" s="83">
        <v>0</v>
      </c>
      <c r="Y77" s="83">
        <v>0</v>
      </c>
      <c r="Z77" s="83"/>
      <c r="AA77" s="31"/>
      <c r="AB77" s="132"/>
      <c r="AC77" s="83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41"/>
      <c r="AO77" s="41"/>
      <c r="AP77" s="41"/>
      <c r="AQ77" s="41"/>
      <c r="AR77" s="41"/>
      <c r="AS77" s="32"/>
      <c r="AT77" s="31"/>
      <c r="AU77" s="41"/>
      <c r="AV77" s="33"/>
      <c r="AZ77" s="161"/>
      <c r="BB77" s="31" t="str">
        <f>BBDD_TERRENO[[#This Row],[Comuna]]&amp;BBDD_TERRENO[[#This Row],[Identificacion Propiedad]]</f>
        <v>San Pedro de la PazLote 2D-1D</v>
      </c>
    </row>
    <row r="78" spans="1:54" x14ac:dyDescent="0.3">
      <c r="A78" s="31" t="s">
        <v>341</v>
      </c>
      <c r="B78" s="31" t="s">
        <v>80</v>
      </c>
      <c r="C78" s="31" t="s">
        <v>350</v>
      </c>
      <c r="E78" s="42">
        <v>28473.97</v>
      </c>
      <c r="F78" s="31" t="s">
        <v>73</v>
      </c>
      <c r="G78" s="32">
        <v>39014</v>
      </c>
      <c r="H78" s="31" t="s">
        <v>351</v>
      </c>
      <c r="I78" s="83">
        <v>0.96361483839450546</v>
      </c>
      <c r="J78" s="83"/>
      <c r="K78" s="83"/>
      <c r="L78" s="83"/>
      <c r="M78" s="83"/>
      <c r="N78" s="83"/>
      <c r="O78" s="83"/>
      <c r="P78" s="31"/>
      <c r="Q78" s="31"/>
      <c r="R78" s="31"/>
      <c r="S78" s="31"/>
      <c r="T78" s="31"/>
      <c r="U78" s="35"/>
      <c r="V78" s="134">
        <v>0</v>
      </c>
      <c r="W78" s="85">
        <v>0</v>
      </c>
      <c r="X78" s="83">
        <v>0</v>
      </c>
      <c r="Y78" s="83">
        <v>0</v>
      </c>
      <c r="Z78" s="83"/>
      <c r="AA78" s="31"/>
      <c r="AB78" s="132"/>
      <c r="AC78" s="83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41"/>
      <c r="AO78" s="41"/>
      <c r="AP78" s="41"/>
      <c r="AQ78" s="41"/>
      <c r="AR78" s="41"/>
      <c r="AS78" s="32"/>
      <c r="AT78" s="31"/>
      <c r="AU78" s="41"/>
      <c r="AV78" s="33"/>
      <c r="AZ78" s="161"/>
      <c r="BB78" s="31" t="str">
        <f>BBDD_TERRENO[[#This Row],[Comuna]]&amp;BBDD_TERRENO[[#This Row],[Identificacion Propiedad]]</f>
        <v>San Pedro de la PazLote E-7</v>
      </c>
    </row>
    <row r="79" spans="1:54" x14ac:dyDescent="0.3">
      <c r="A79" s="31" t="s">
        <v>341</v>
      </c>
      <c r="B79" s="31" t="s">
        <v>80</v>
      </c>
      <c r="C79" s="31" t="s">
        <v>352</v>
      </c>
      <c r="E79" s="42">
        <v>24412.42</v>
      </c>
      <c r="F79" s="31" t="s">
        <v>73</v>
      </c>
      <c r="G79" s="32">
        <v>39014</v>
      </c>
      <c r="H79" s="31" t="s">
        <v>351</v>
      </c>
      <c r="I79" s="83">
        <v>0.96361483212233767</v>
      </c>
      <c r="J79" s="83"/>
      <c r="K79" s="83"/>
      <c r="L79" s="83"/>
      <c r="M79" s="83"/>
      <c r="N79" s="83"/>
      <c r="O79" s="83"/>
      <c r="P79" s="31"/>
      <c r="Q79" s="31"/>
      <c r="R79" s="31"/>
      <c r="S79" s="31"/>
      <c r="T79" s="31"/>
      <c r="U79" s="35"/>
      <c r="V79" s="134">
        <v>0</v>
      </c>
      <c r="W79" s="85">
        <v>0</v>
      </c>
      <c r="X79" s="83">
        <v>0</v>
      </c>
      <c r="Y79" s="83">
        <v>0</v>
      </c>
      <c r="Z79" s="83"/>
      <c r="AA79" s="31"/>
      <c r="AB79" s="132"/>
      <c r="AC79" s="83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41"/>
      <c r="AO79" s="41"/>
      <c r="AP79" s="41"/>
      <c r="AQ79" s="41"/>
      <c r="AR79" s="41"/>
      <c r="AS79" s="32"/>
      <c r="AT79" s="31"/>
      <c r="AU79" s="41"/>
      <c r="AV79" s="33"/>
      <c r="AZ79" s="161"/>
      <c r="BB79" s="31" t="str">
        <f>BBDD_TERRENO[[#This Row],[Comuna]]&amp;BBDD_TERRENO[[#This Row],[Identificacion Propiedad]]</f>
        <v>San Pedro de la PazLote E-5</v>
      </c>
    </row>
    <row r="80" spans="1:54" x14ac:dyDescent="0.3">
      <c r="A80" s="31" t="s">
        <v>341</v>
      </c>
      <c r="B80" s="31" t="s">
        <v>80</v>
      </c>
      <c r="C80" s="31" t="s">
        <v>353</v>
      </c>
      <c r="E80" s="42">
        <v>9001.1299999999992</v>
      </c>
      <c r="F80" s="31" t="s">
        <v>73</v>
      </c>
      <c r="G80" s="32">
        <v>38030</v>
      </c>
      <c r="H80" s="31" t="s">
        <v>329</v>
      </c>
      <c r="I80" s="83">
        <v>0.84000008887772981</v>
      </c>
      <c r="J80" s="83"/>
      <c r="K80" s="83"/>
      <c r="L80" s="83"/>
      <c r="M80" s="83"/>
      <c r="N80" s="83"/>
      <c r="O80" s="83"/>
      <c r="P80" s="31"/>
      <c r="Q80" s="31"/>
      <c r="R80" s="31"/>
      <c r="S80" s="31"/>
      <c r="T80" s="31"/>
      <c r="U80" s="35"/>
      <c r="V80" s="134">
        <v>0</v>
      </c>
      <c r="W80" s="85">
        <v>0</v>
      </c>
      <c r="X80" s="83">
        <v>0</v>
      </c>
      <c r="Y80" s="83">
        <v>0</v>
      </c>
      <c r="Z80" s="83"/>
      <c r="AA80" s="31"/>
      <c r="AB80" s="132"/>
      <c r="AC80" s="83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41"/>
      <c r="AO80" s="41"/>
      <c r="AP80" s="41"/>
      <c r="AQ80" s="41"/>
      <c r="AR80" s="41"/>
      <c r="AS80" s="32"/>
      <c r="AT80" s="31"/>
      <c r="AU80" s="41"/>
      <c r="AV80" s="33"/>
      <c r="AZ80" s="161"/>
      <c r="BB80" s="31" t="str">
        <f>BBDD_TERRENO[[#This Row],[Comuna]]&amp;BBDD_TERRENO[[#This Row],[Identificacion Propiedad]]</f>
        <v>San Pedro de la PazF-2B2</v>
      </c>
    </row>
    <row r="81" spans="1:54" x14ac:dyDescent="0.3">
      <c r="A81" s="31" t="s">
        <v>341</v>
      </c>
      <c r="B81" s="31" t="s">
        <v>80</v>
      </c>
      <c r="C81" s="31" t="s">
        <v>354</v>
      </c>
      <c r="E81" s="42">
        <v>74156.44</v>
      </c>
      <c r="F81" s="31" t="s">
        <v>73</v>
      </c>
      <c r="G81" s="32">
        <v>38516</v>
      </c>
      <c r="H81" s="31" t="s">
        <v>329</v>
      </c>
      <c r="I81" s="83">
        <v>0.84000000539400221</v>
      </c>
      <c r="J81" s="83"/>
      <c r="K81" s="83"/>
      <c r="L81" s="83"/>
      <c r="M81" s="83"/>
      <c r="N81" s="83"/>
      <c r="O81" s="83"/>
      <c r="P81" s="31"/>
      <c r="Q81" s="31"/>
      <c r="R81" s="31"/>
      <c r="S81" s="31"/>
      <c r="T81" s="31"/>
      <c r="U81" s="35"/>
      <c r="V81" s="134">
        <v>0</v>
      </c>
      <c r="W81" s="85">
        <v>0</v>
      </c>
      <c r="X81" s="83">
        <v>0</v>
      </c>
      <c r="Y81" s="83">
        <v>0</v>
      </c>
      <c r="Z81" s="83"/>
      <c r="AA81" s="31"/>
      <c r="AB81" s="132"/>
      <c r="AC81" s="83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41"/>
      <c r="AO81" s="41"/>
      <c r="AP81" s="41"/>
      <c r="AQ81" s="41"/>
      <c r="AR81" s="41"/>
      <c r="AS81" s="32"/>
      <c r="AT81" s="31"/>
      <c r="AU81" s="41"/>
      <c r="AV81" s="33"/>
      <c r="AZ81" s="161"/>
      <c r="BB81" s="31" t="str">
        <f>BBDD_TERRENO[[#This Row],[Comuna]]&amp;BBDD_TERRENO[[#This Row],[Identificacion Propiedad]]</f>
        <v>San Pedro de la PazLote F-7</v>
      </c>
    </row>
    <row r="82" spans="1:54" x14ac:dyDescent="0.3">
      <c r="A82" s="31" t="s">
        <v>341</v>
      </c>
      <c r="B82" s="31" t="s">
        <v>80</v>
      </c>
      <c r="C82" s="31" t="s">
        <v>355</v>
      </c>
      <c r="E82" s="42">
        <v>68233.62</v>
      </c>
      <c r="F82" s="31" t="s">
        <v>73</v>
      </c>
      <c r="G82" s="32">
        <v>38865</v>
      </c>
      <c r="H82" s="31" t="s">
        <v>329</v>
      </c>
      <c r="I82" s="83">
        <v>0.83999998827557443</v>
      </c>
      <c r="J82" s="83"/>
      <c r="K82" s="83"/>
      <c r="L82" s="83"/>
      <c r="M82" s="83"/>
      <c r="N82" s="83"/>
      <c r="O82" s="83"/>
      <c r="P82" s="31"/>
      <c r="Q82" s="31"/>
      <c r="R82" s="31"/>
      <c r="S82" s="31"/>
      <c r="T82" s="31"/>
      <c r="U82" s="35"/>
      <c r="V82" s="134">
        <v>0</v>
      </c>
      <c r="W82" s="85">
        <v>0</v>
      </c>
      <c r="X82" s="83">
        <v>0</v>
      </c>
      <c r="Y82" s="83">
        <v>0</v>
      </c>
      <c r="Z82" s="83"/>
      <c r="AA82" s="31"/>
      <c r="AB82" s="132"/>
      <c r="AC82" s="83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41"/>
      <c r="AO82" s="41"/>
      <c r="AP82" s="41"/>
      <c r="AQ82" s="41"/>
      <c r="AR82" s="41"/>
      <c r="AS82" s="32"/>
      <c r="AT82" s="31"/>
      <c r="AU82" s="41"/>
      <c r="AV82" s="33"/>
      <c r="AZ82" s="161"/>
      <c r="BB82" s="31" t="str">
        <f>BBDD_TERRENO[[#This Row],[Comuna]]&amp;BBDD_TERRENO[[#This Row],[Identificacion Propiedad]]</f>
        <v>San Pedro de la PazLote F-6</v>
      </c>
    </row>
    <row r="83" spans="1:54" x14ac:dyDescent="0.3">
      <c r="A83" s="31" t="s">
        <v>341</v>
      </c>
      <c r="B83" s="31" t="s">
        <v>80</v>
      </c>
      <c r="C83" s="31" t="s">
        <v>356</v>
      </c>
      <c r="E83" s="42">
        <v>7437.05</v>
      </c>
      <c r="F83" s="31" t="s">
        <v>73</v>
      </c>
      <c r="G83" s="32">
        <v>38030</v>
      </c>
      <c r="H83" s="31" t="s">
        <v>329</v>
      </c>
      <c r="I83" s="83">
        <v>0.83999973107616588</v>
      </c>
      <c r="J83" s="83"/>
      <c r="K83" s="83"/>
      <c r="L83" s="83"/>
      <c r="M83" s="83"/>
      <c r="N83" s="83"/>
      <c r="O83" s="83"/>
      <c r="P83" s="31"/>
      <c r="Q83" s="31"/>
      <c r="R83" s="31"/>
      <c r="S83" s="31"/>
      <c r="T83" s="31"/>
      <c r="U83" s="35"/>
      <c r="V83" s="134">
        <v>0</v>
      </c>
      <c r="W83" s="85">
        <v>0</v>
      </c>
      <c r="X83" s="83">
        <v>0</v>
      </c>
      <c r="Y83" s="83">
        <v>0</v>
      </c>
      <c r="Z83" s="83"/>
      <c r="AA83" s="31"/>
      <c r="AB83" s="132"/>
      <c r="AC83" s="83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41"/>
      <c r="AO83" s="41"/>
      <c r="AP83" s="41"/>
      <c r="AQ83" s="41"/>
      <c r="AR83" s="41"/>
      <c r="AS83" s="32"/>
      <c r="AT83" s="31"/>
      <c r="AU83" s="41"/>
      <c r="AV83" s="33"/>
      <c r="AZ83" s="161"/>
      <c r="BB83" s="31" t="str">
        <f>BBDD_TERRENO[[#This Row],[Comuna]]&amp;BBDD_TERRENO[[#This Row],[Identificacion Propiedad]]</f>
        <v>San Pedro de la PazF-2B1</v>
      </c>
    </row>
    <row r="84" spans="1:54" x14ac:dyDescent="0.3">
      <c r="A84" s="31" t="s">
        <v>341</v>
      </c>
      <c r="B84" s="31" t="s">
        <v>80</v>
      </c>
      <c r="C84" s="31" t="s">
        <v>357</v>
      </c>
      <c r="E84" s="42">
        <v>83534.820000000007</v>
      </c>
      <c r="F84" s="31" t="s">
        <v>73</v>
      </c>
      <c r="G84" s="32">
        <v>38441</v>
      </c>
      <c r="H84" s="31" t="s">
        <v>358</v>
      </c>
      <c r="I84" s="83">
        <v>0.83000118992295657</v>
      </c>
      <c r="J84" s="83"/>
      <c r="K84" s="83"/>
      <c r="L84" s="83"/>
      <c r="M84" s="83"/>
      <c r="N84" s="83"/>
      <c r="O84" s="83"/>
      <c r="P84" s="31"/>
      <c r="Q84" s="31"/>
      <c r="R84" s="31"/>
      <c r="S84" s="31"/>
      <c r="T84" s="31"/>
      <c r="U84" s="35"/>
      <c r="V84" s="134">
        <v>0</v>
      </c>
      <c r="W84" s="85">
        <v>0</v>
      </c>
      <c r="X84" s="83">
        <v>0</v>
      </c>
      <c r="Y84" s="83">
        <v>0</v>
      </c>
      <c r="Z84" s="83"/>
      <c r="AA84" s="31"/>
      <c r="AB84" s="132"/>
      <c r="AC84" s="83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41"/>
      <c r="AO84" s="41"/>
      <c r="AP84" s="41"/>
      <c r="AQ84" s="41"/>
      <c r="AR84" s="41"/>
      <c r="AS84" s="32"/>
      <c r="AT84" s="31"/>
      <c r="AU84" s="41"/>
      <c r="AV84" s="33"/>
      <c r="AZ84" s="161"/>
      <c r="BB84" s="31" t="str">
        <f>BBDD_TERRENO[[#This Row],[Comuna]]&amp;BBDD_TERRENO[[#This Row],[Identificacion Propiedad]]</f>
        <v>San Pedro de la PazLote F-9</v>
      </c>
    </row>
    <row r="85" spans="1:54" x14ac:dyDescent="0.3">
      <c r="A85" s="31" t="s">
        <v>341</v>
      </c>
      <c r="B85" s="31" t="s">
        <v>80</v>
      </c>
      <c r="C85" s="31" t="s">
        <v>359</v>
      </c>
      <c r="E85" s="42">
        <v>40676.75</v>
      </c>
      <c r="F85" s="31" t="s">
        <v>73</v>
      </c>
      <c r="G85" s="32">
        <v>39967</v>
      </c>
      <c r="H85" s="31" t="s">
        <v>360</v>
      </c>
      <c r="I85" s="83">
        <v>0.79996558230438763</v>
      </c>
      <c r="J85" s="83"/>
      <c r="K85" s="83"/>
      <c r="L85" s="83"/>
      <c r="M85" s="83"/>
      <c r="N85" s="83"/>
      <c r="O85" s="83"/>
      <c r="P85" s="31"/>
      <c r="Q85" s="31"/>
      <c r="R85" s="31"/>
      <c r="S85" s="31"/>
      <c r="T85" s="31"/>
      <c r="U85" s="35"/>
      <c r="V85" s="134">
        <v>0</v>
      </c>
      <c r="W85" s="85">
        <v>0</v>
      </c>
      <c r="X85" s="83">
        <v>0</v>
      </c>
      <c r="Y85" s="83">
        <v>0</v>
      </c>
      <c r="Z85" s="83"/>
      <c r="AA85" s="31"/>
      <c r="AB85" s="132"/>
      <c r="AC85" s="83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41"/>
      <c r="AO85" s="41"/>
      <c r="AP85" s="41"/>
      <c r="AQ85" s="41"/>
      <c r="AR85" s="41"/>
      <c r="AS85" s="32"/>
      <c r="AT85" s="31"/>
      <c r="AU85" s="41"/>
      <c r="AV85" s="33"/>
      <c r="AZ85" s="161"/>
      <c r="BB85" s="31" t="str">
        <f>BBDD_TERRENO[[#This Row],[Comuna]]&amp;BBDD_TERRENO[[#This Row],[Identificacion Propiedad]]</f>
        <v>San Pedro de la PazLote 2D-4</v>
      </c>
    </row>
    <row r="86" spans="1:54" x14ac:dyDescent="0.3">
      <c r="A86" s="31" t="s">
        <v>341</v>
      </c>
      <c r="B86" s="31" t="s">
        <v>80</v>
      </c>
      <c r="C86" s="31" t="s">
        <v>361</v>
      </c>
      <c r="E86" s="42">
        <v>150012.97</v>
      </c>
      <c r="F86" s="31" t="s">
        <v>73</v>
      </c>
      <c r="G86" s="32">
        <v>38569</v>
      </c>
      <c r="H86" s="31" t="s">
        <v>362</v>
      </c>
      <c r="I86" s="83">
        <v>0.68764308979416922</v>
      </c>
      <c r="J86" s="83"/>
      <c r="K86" s="83"/>
      <c r="L86" s="83"/>
      <c r="M86" s="83"/>
      <c r="N86" s="83"/>
      <c r="O86" s="83"/>
      <c r="P86" s="31"/>
      <c r="Q86" s="31"/>
      <c r="R86" s="31"/>
      <c r="S86" s="31"/>
      <c r="T86" s="31"/>
      <c r="U86" s="35"/>
      <c r="V86" s="134">
        <v>0</v>
      </c>
      <c r="W86" s="85">
        <v>0</v>
      </c>
      <c r="X86" s="83">
        <v>0</v>
      </c>
      <c r="Y86" s="83">
        <v>0</v>
      </c>
      <c r="Z86" s="83"/>
      <c r="AA86" s="31"/>
      <c r="AB86" s="132"/>
      <c r="AC86" s="83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41"/>
      <c r="AO86" s="41"/>
      <c r="AP86" s="41"/>
      <c r="AQ86" s="41"/>
      <c r="AR86" s="41"/>
      <c r="AS86" s="32"/>
      <c r="AT86" s="31"/>
      <c r="AU86" s="41"/>
      <c r="AV86" s="33"/>
      <c r="AZ86" s="161"/>
      <c r="BB86" s="31" t="str">
        <f>BBDD_TERRENO[[#This Row],[Comuna]]&amp;BBDD_TERRENO[[#This Row],[Identificacion Propiedad]]</f>
        <v>San Pedro de la PazLote 2D-1 C</v>
      </c>
    </row>
    <row r="87" spans="1:54" x14ac:dyDescent="0.3">
      <c r="A87" s="31" t="s">
        <v>341</v>
      </c>
      <c r="B87" s="31" t="s">
        <v>80</v>
      </c>
      <c r="C87" s="31" t="s">
        <v>363</v>
      </c>
      <c r="E87" s="42">
        <v>93831.29</v>
      </c>
      <c r="F87" s="31" t="s">
        <v>73</v>
      </c>
      <c r="G87" s="32">
        <v>38569</v>
      </c>
      <c r="H87" s="31" t="s">
        <v>362</v>
      </c>
      <c r="I87" s="83">
        <v>0.67519753165495222</v>
      </c>
      <c r="J87" s="83"/>
      <c r="K87" s="83"/>
      <c r="L87" s="83"/>
      <c r="M87" s="83"/>
      <c r="N87" s="83"/>
      <c r="O87" s="83"/>
      <c r="P87" s="31"/>
      <c r="Q87" s="31"/>
      <c r="R87" s="31"/>
      <c r="S87" s="31"/>
      <c r="T87" s="31"/>
      <c r="U87" s="35"/>
      <c r="V87" s="134">
        <v>0</v>
      </c>
      <c r="W87" s="85">
        <v>0</v>
      </c>
      <c r="X87" s="83">
        <v>0</v>
      </c>
      <c r="Y87" s="83">
        <v>0</v>
      </c>
      <c r="Z87" s="83"/>
      <c r="AA87" s="31"/>
      <c r="AB87" s="132"/>
      <c r="AC87" s="83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41"/>
      <c r="AO87" s="41"/>
      <c r="AP87" s="41"/>
      <c r="AQ87" s="41"/>
      <c r="AR87" s="41"/>
      <c r="AS87" s="32"/>
      <c r="AT87" s="31"/>
      <c r="AU87" s="41"/>
      <c r="AV87" s="33"/>
      <c r="AZ87" s="161"/>
      <c r="BB87" s="31" t="str">
        <f>BBDD_TERRENO[[#This Row],[Comuna]]&amp;BBDD_TERRENO[[#This Row],[Identificacion Propiedad]]</f>
        <v>San Pedro de la PazLote 2D-1 B</v>
      </c>
    </row>
    <row r="88" spans="1:54" x14ac:dyDescent="0.3">
      <c r="A88" s="31" t="s">
        <v>341</v>
      </c>
      <c r="B88" s="31" t="s">
        <v>80</v>
      </c>
      <c r="C88" s="31" t="s">
        <v>364</v>
      </c>
      <c r="E88" s="42">
        <v>49838.27</v>
      </c>
      <c r="F88" s="31" t="s">
        <v>73</v>
      </c>
      <c r="G88" s="32">
        <v>38569</v>
      </c>
      <c r="H88" s="31" t="s">
        <v>362</v>
      </c>
      <c r="I88" s="83">
        <v>0.66</v>
      </c>
      <c r="J88" s="83"/>
      <c r="K88" s="83"/>
      <c r="L88" s="83"/>
      <c r="M88" s="83"/>
      <c r="N88" s="83"/>
      <c r="O88" s="83"/>
      <c r="P88" s="31"/>
      <c r="Q88" s="31"/>
      <c r="R88" s="31"/>
      <c r="S88" s="31"/>
      <c r="T88" s="31"/>
      <c r="U88" s="35"/>
      <c r="V88" s="134">
        <v>0</v>
      </c>
      <c r="W88" s="85">
        <v>0</v>
      </c>
      <c r="X88" s="83">
        <v>0</v>
      </c>
      <c r="Y88" s="83">
        <v>0</v>
      </c>
      <c r="Z88" s="83"/>
      <c r="AA88" s="31"/>
      <c r="AB88" s="132"/>
      <c r="AC88" s="83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41"/>
      <c r="AO88" s="41"/>
      <c r="AP88" s="41"/>
      <c r="AQ88" s="41"/>
      <c r="AR88" s="41"/>
      <c r="AS88" s="32"/>
      <c r="AT88" s="31"/>
      <c r="AU88" s="41"/>
      <c r="AV88" s="33"/>
      <c r="AZ88" s="161"/>
      <c r="BB88" s="31" t="str">
        <f>BBDD_TERRENO[[#This Row],[Comuna]]&amp;BBDD_TERRENO[[#This Row],[Identificacion Propiedad]]</f>
        <v>San Pedro de la PazLote 2D-1 A</v>
      </c>
    </row>
    <row r="89" spans="1:54" x14ac:dyDescent="0.3">
      <c r="A89" s="31" t="s">
        <v>341</v>
      </c>
      <c r="B89" s="31" t="s">
        <v>80</v>
      </c>
      <c r="C89" s="31" t="s">
        <v>365</v>
      </c>
      <c r="E89" s="42">
        <v>178792.29</v>
      </c>
      <c r="F89" s="31" t="s">
        <v>73</v>
      </c>
      <c r="G89" s="32">
        <v>37676</v>
      </c>
      <c r="H89" s="31" t="s">
        <v>366</v>
      </c>
      <c r="I89" s="83">
        <v>0.63205807140788894</v>
      </c>
      <c r="J89" s="83"/>
      <c r="K89" s="83"/>
      <c r="L89" s="83"/>
      <c r="M89" s="83"/>
      <c r="N89" s="83"/>
      <c r="O89" s="83"/>
      <c r="P89" s="31"/>
      <c r="Q89" s="31"/>
      <c r="R89" s="31"/>
      <c r="S89" s="31"/>
      <c r="T89" s="31"/>
      <c r="U89" s="35"/>
      <c r="V89" s="134">
        <v>0</v>
      </c>
      <c r="W89" s="85">
        <v>0</v>
      </c>
      <c r="X89" s="83">
        <v>0</v>
      </c>
      <c r="Y89" s="83">
        <v>0</v>
      </c>
      <c r="Z89" s="83"/>
      <c r="AA89" s="31"/>
      <c r="AB89" s="132"/>
      <c r="AC89" s="83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41"/>
      <c r="AO89" s="41"/>
      <c r="AP89" s="41"/>
      <c r="AQ89" s="41"/>
      <c r="AR89" s="41"/>
      <c r="AS89" s="32"/>
      <c r="AT89" s="31"/>
      <c r="AU89" s="41"/>
      <c r="AV89" s="33"/>
      <c r="AZ89" s="161"/>
      <c r="BB89" s="31" t="str">
        <f>BBDD_TERRENO[[#This Row],[Comuna]]&amp;BBDD_TERRENO[[#This Row],[Identificacion Propiedad]]</f>
        <v>San Pedro de la PazLote 2D-3-2</v>
      </c>
    </row>
    <row r="90" spans="1:54" x14ac:dyDescent="0.3">
      <c r="A90" s="31" t="s">
        <v>341</v>
      </c>
      <c r="B90" s="31" t="s">
        <v>80</v>
      </c>
      <c r="C90" s="31" t="s">
        <v>367</v>
      </c>
      <c r="E90" s="42">
        <v>147975.26</v>
      </c>
      <c r="F90" s="31" t="s">
        <v>73</v>
      </c>
      <c r="G90" s="32">
        <v>37676</v>
      </c>
      <c r="H90" s="31" t="s">
        <v>366</v>
      </c>
      <c r="I90" s="83">
        <v>0.56800001567829639</v>
      </c>
      <c r="J90" s="83"/>
      <c r="K90" s="83"/>
      <c r="L90" s="83"/>
      <c r="M90" s="83"/>
      <c r="N90" s="83"/>
      <c r="O90" s="83"/>
      <c r="P90" s="31"/>
      <c r="Q90" s="31"/>
      <c r="R90" s="31"/>
      <c r="S90" s="31"/>
      <c r="T90" s="31"/>
      <c r="U90" s="35"/>
      <c r="V90" s="134">
        <v>0</v>
      </c>
      <c r="W90" s="85">
        <v>0</v>
      </c>
      <c r="X90" s="83">
        <v>0</v>
      </c>
      <c r="Y90" s="83">
        <v>0</v>
      </c>
      <c r="Z90" s="83"/>
      <c r="AA90" s="31"/>
      <c r="AB90" s="132"/>
      <c r="AC90" s="83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41"/>
      <c r="AO90" s="41"/>
      <c r="AP90" s="41"/>
      <c r="AQ90" s="41"/>
      <c r="AR90" s="41"/>
      <c r="AS90" s="32"/>
      <c r="AT90" s="31"/>
      <c r="AU90" s="41"/>
      <c r="AV90" s="33"/>
      <c r="AZ90" s="161"/>
      <c r="BB90" s="31" t="str">
        <f>BBDD_TERRENO[[#This Row],[Comuna]]&amp;BBDD_TERRENO[[#This Row],[Identificacion Propiedad]]</f>
        <v>San Pedro de la PazLote 2D-3-3</v>
      </c>
    </row>
    <row r="91" spans="1:54" x14ac:dyDescent="0.3">
      <c r="A91" s="31" t="s">
        <v>341</v>
      </c>
      <c r="B91" s="31" t="s">
        <v>80</v>
      </c>
      <c r="C91" s="31" t="s">
        <v>368</v>
      </c>
      <c r="E91" s="42">
        <v>765.69</v>
      </c>
      <c r="F91" s="31" t="s">
        <v>73</v>
      </c>
      <c r="G91" s="32">
        <v>38764</v>
      </c>
      <c r="H91" s="31" t="s">
        <v>369</v>
      </c>
      <c r="I91" s="83">
        <v>0.50000653005785634</v>
      </c>
      <c r="J91" s="83"/>
      <c r="K91" s="83"/>
      <c r="L91" s="83"/>
      <c r="M91" s="83"/>
      <c r="N91" s="83"/>
      <c r="O91" s="83"/>
      <c r="P91" s="31"/>
      <c r="Q91" s="31"/>
      <c r="R91" s="31"/>
      <c r="S91" s="31"/>
      <c r="T91" s="31"/>
      <c r="U91" s="35"/>
      <c r="V91" s="134">
        <v>0</v>
      </c>
      <c r="W91" s="85">
        <v>0</v>
      </c>
      <c r="X91" s="83">
        <v>0</v>
      </c>
      <c r="Y91" s="83">
        <v>0</v>
      </c>
      <c r="Z91" s="83"/>
      <c r="AA91" s="31"/>
      <c r="AB91" s="132"/>
      <c r="AC91" s="83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41"/>
      <c r="AO91" s="41"/>
      <c r="AP91" s="41"/>
      <c r="AQ91" s="41"/>
      <c r="AR91" s="41"/>
      <c r="AS91" s="32"/>
      <c r="AT91" s="31"/>
      <c r="AU91" s="41"/>
      <c r="AV91" s="33"/>
      <c r="AZ91" s="161"/>
      <c r="BB91" s="31" t="str">
        <f>BBDD_TERRENO[[#This Row],[Comuna]]&amp;BBDD_TERRENO[[#This Row],[Identificacion Propiedad]]</f>
        <v>San Pedro de la PazLote 2D-1 E (Peas)</v>
      </c>
    </row>
    <row r="92" spans="1:54" x14ac:dyDescent="0.3">
      <c r="A92" s="31" t="s">
        <v>341</v>
      </c>
      <c r="B92" s="31" t="s">
        <v>80</v>
      </c>
      <c r="C92" s="31" t="s">
        <v>370</v>
      </c>
      <c r="E92" s="42">
        <v>78848.41</v>
      </c>
      <c r="F92" s="31" t="s">
        <v>73</v>
      </c>
      <c r="G92" s="32">
        <v>40046</v>
      </c>
      <c r="H92" s="31" t="s">
        <v>333</v>
      </c>
      <c r="I92" s="83">
        <v>0.4358445528578192</v>
      </c>
      <c r="J92" s="83"/>
      <c r="K92" s="83"/>
      <c r="L92" s="83"/>
      <c r="M92" s="83"/>
      <c r="N92" s="83"/>
      <c r="O92" s="83"/>
      <c r="P92" s="31"/>
      <c r="Q92" s="31"/>
      <c r="R92" s="31"/>
      <c r="S92" s="31"/>
      <c r="T92" s="31"/>
      <c r="U92" s="35"/>
      <c r="V92" s="134">
        <v>0</v>
      </c>
      <c r="W92" s="85">
        <v>0</v>
      </c>
      <c r="X92" s="83">
        <v>0</v>
      </c>
      <c r="Y92" s="83">
        <v>0</v>
      </c>
      <c r="Z92" s="83"/>
      <c r="AA92" s="31"/>
      <c r="AB92" s="132"/>
      <c r="AC92" s="83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41"/>
      <c r="AO92" s="41"/>
      <c r="AP92" s="41"/>
      <c r="AQ92" s="41"/>
      <c r="AR92" s="41"/>
      <c r="AS92" s="32"/>
      <c r="AT92" s="31"/>
      <c r="AU92" s="41"/>
      <c r="AV92" s="33"/>
      <c r="AZ92" s="161"/>
      <c r="BB92" s="31" t="str">
        <f>BBDD_TERRENO[[#This Row],[Comuna]]&amp;BBDD_TERRENO[[#This Row],[Identificacion Propiedad]]</f>
        <v>San Pedro de la PazLote F-8</v>
      </c>
    </row>
    <row r="93" spans="1:54" x14ac:dyDescent="0.3">
      <c r="A93" s="31" t="s">
        <v>341</v>
      </c>
      <c r="B93" s="31" t="s">
        <v>80</v>
      </c>
      <c r="C93" s="31" t="s">
        <v>371</v>
      </c>
      <c r="E93" s="42">
        <v>188845.8</v>
      </c>
      <c r="F93" s="31" t="s">
        <v>73</v>
      </c>
      <c r="G93" s="32">
        <v>37237</v>
      </c>
      <c r="H93" s="31" t="s">
        <v>366</v>
      </c>
      <c r="I93" s="83">
        <v>0.4125336650325292</v>
      </c>
      <c r="J93" s="83"/>
      <c r="K93" s="83"/>
      <c r="L93" s="83"/>
      <c r="M93" s="83"/>
      <c r="N93" s="83"/>
      <c r="O93" s="83"/>
      <c r="P93" s="31"/>
      <c r="Q93" s="31"/>
      <c r="R93" s="31"/>
      <c r="S93" s="31"/>
      <c r="T93" s="31"/>
      <c r="U93" s="35"/>
      <c r="V93" s="134">
        <v>0</v>
      </c>
      <c r="W93" s="85">
        <v>0</v>
      </c>
      <c r="X93" s="83">
        <v>0</v>
      </c>
      <c r="Y93" s="83">
        <v>0</v>
      </c>
      <c r="Z93" s="83"/>
      <c r="AA93" s="31"/>
      <c r="AB93" s="132"/>
      <c r="AC93" s="83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41"/>
      <c r="AO93" s="41"/>
      <c r="AP93" s="41"/>
      <c r="AQ93" s="41"/>
      <c r="AR93" s="41"/>
      <c r="AS93" s="32"/>
      <c r="AT93" s="31"/>
      <c r="AU93" s="41"/>
      <c r="AV93" s="33"/>
      <c r="AZ93" s="161"/>
      <c r="BB93" s="31" t="str">
        <f>BBDD_TERRENO[[#This Row],[Comuna]]&amp;BBDD_TERRENO[[#This Row],[Identificacion Propiedad]]</f>
        <v>San Pedro de la PazLote F-5</v>
      </c>
    </row>
    <row r="94" spans="1:54" x14ac:dyDescent="0.3">
      <c r="A94" s="31" t="s">
        <v>341</v>
      </c>
      <c r="B94" s="31" t="s">
        <v>80</v>
      </c>
      <c r="C94" s="31" t="s">
        <v>372</v>
      </c>
      <c r="E94" s="42">
        <v>300143.53999999998</v>
      </c>
      <c r="F94" s="31" t="s">
        <v>73</v>
      </c>
      <c r="G94" s="32">
        <v>37181</v>
      </c>
      <c r="H94" s="31" t="s">
        <v>373</v>
      </c>
      <c r="I94" s="83">
        <v>0.40000001332695684</v>
      </c>
      <c r="J94" s="83"/>
      <c r="K94" s="83"/>
      <c r="L94" s="83"/>
      <c r="M94" s="83"/>
      <c r="N94" s="83"/>
      <c r="O94" s="83"/>
      <c r="P94" s="31"/>
      <c r="Q94" s="31"/>
      <c r="R94" s="31"/>
      <c r="S94" s="31"/>
      <c r="T94" s="31"/>
      <c r="U94" s="35"/>
      <c r="V94" s="134">
        <v>0</v>
      </c>
      <c r="W94" s="85">
        <v>0</v>
      </c>
      <c r="X94" s="83">
        <v>0</v>
      </c>
      <c r="Y94" s="83">
        <v>0</v>
      </c>
      <c r="Z94" s="83"/>
      <c r="AA94" s="31"/>
      <c r="AB94" s="132"/>
      <c r="AC94" s="83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41"/>
      <c r="AO94" s="41"/>
      <c r="AP94" s="41"/>
      <c r="AQ94" s="41"/>
      <c r="AR94" s="41"/>
      <c r="AS94" s="32"/>
      <c r="AT94" s="31"/>
      <c r="AU94" s="41"/>
      <c r="AV94" s="33"/>
      <c r="AZ94" s="161"/>
      <c r="BB94" s="31" t="str">
        <f>BBDD_TERRENO[[#This Row],[Comuna]]&amp;BBDD_TERRENO[[#This Row],[Identificacion Propiedad]]</f>
        <v>San Pedro de la PazLote 2D-5</v>
      </c>
    </row>
    <row r="95" spans="1:54" x14ac:dyDescent="0.3">
      <c r="A95" s="31" t="s">
        <v>341</v>
      </c>
      <c r="B95" s="31" t="s">
        <v>80</v>
      </c>
      <c r="C95" s="31" t="s">
        <v>374</v>
      </c>
      <c r="E95" s="42">
        <v>145938.49</v>
      </c>
      <c r="F95" s="31" t="s">
        <v>73</v>
      </c>
      <c r="G95" s="32">
        <v>40046</v>
      </c>
      <c r="H95" s="31" t="s">
        <v>333</v>
      </c>
      <c r="I95" s="83">
        <v>0.38904404177403784</v>
      </c>
      <c r="J95" s="83"/>
      <c r="K95" s="83"/>
      <c r="L95" s="83"/>
      <c r="M95" s="83"/>
      <c r="N95" s="83"/>
      <c r="O95" s="83"/>
      <c r="P95" s="31"/>
      <c r="Q95" s="31"/>
      <c r="R95" s="31"/>
      <c r="S95" s="31"/>
      <c r="T95" s="31"/>
      <c r="U95" s="35"/>
      <c r="V95" s="134">
        <v>0</v>
      </c>
      <c r="W95" s="85">
        <v>0</v>
      </c>
      <c r="X95" s="83">
        <v>0</v>
      </c>
      <c r="Y95" s="83">
        <v>0</v>
      </c>
      <c r="Z95" s="83"/>
      <c r="AA95" s="31"/>
      <c r="AB95" s="132"/>
      <c r="AC95" s="83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41"/>
      <c r="AO95" s="41"/>
      <c r="AP95" s="41"/>
      <c r="AQ95" s="41"/>
      <c r="AR95" s="41"/>
      <c r="AS95" s="32"/>
      <c r="AT95" s="31"/>
      <c r="AU95" s="41"/>
      <c r="AV95" s="33"/>
      <c r="AZ95" s="161"/>
      <c r="BB95" s="31" t="str">
        <f>BBDD_TERRENO[[#This Row],[Comuna]]&amp;BBDD_TERRENO[[#This Row],[Identificacion Propiedad]]</f>
        <v>San Pedro de la PazLote 2D-3-1</v>
      </c>
    </row>
    <row r="96" spans="1:54" x14ac:dyDescent="0.3">
      <c r="A96" s="31" t="s">
        <v>341</v>
      </c>
      <c r="B96" s="31" t="s">
        <v>80</v>
      </c>
      <c r="C96" s="31" t="s">
        <v>375</v>
      </c>
      <c r="E96" s="42">
        <v>149583.35999999999</v>
      </c>
      <c r="F96" s="31" t="s">
        <v>73</v>
      </c>
      <c r="G96" s="32">
        <v>40046</v>
      </c>
      <c r="H96" s="31" t="s">
        <v>333</v>
      </c>
      <c r="I96" s="83">
        <v>0.3669856727379302</v>
      </c>
      <c r="J96" s="83"/>
      <c r="K96" s="83"/>
      <c r="L96" s="83"/>
      <c r="M96" s="83"/>
      <c r="N96" s="83"/>
      <c r="O96" s="83"/>
      <c r="P96" s="31"/>
      <c r="Q96" s="31"/>
      <c r="R96" s="31"/>
      <c r="S96" s="31"/>
      <c r="T96" s="31"/>
      <c r="U96" s="35"/>
      <c r="V96" s="134">
        <v>0</v>
      </c>
      <c r="W96" s="85">
        <v>0</v>
      </c>
      <c r="X96" s="83">
        <v>0</v>
      </c>
      <c r="Y96" s="83">
        <v>0</v>
      </c>
      <c r="Z96" s="83"/>
      <c r="AA96" s="31"/>
      <c r="AB96" s="132"/>
      <c r="AC96" s="83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41"/>
      <c r="AO96" s="41"/>
      <c r="AP96" s="41"/>
      <c r="AQ96" s="41"/>
      <c r="AR96" s="41"/>
      <c r="AS96" s="32"/>
      <c r="AT96" s="31"/>
      <c r="AU96" s="41"/>
      <c r="AV96" s="33"/>
      <c r="AZ96" s="161"/>
      <c r="BB96" s="31" t="str">
        <f>BBDD_TERRENO[[#This Row],[Comuna]]&amp;BBDD_TERRENO[[#This Row],[Identificacion Propiedad]]</f>
        <v>San Pedro de la PazLote 2D-1-F</v>
      </c>
    </row>
    <row r="97" spans="1:54" x14ac:dyDescent="0.3">
      <c r="A97" s="31" t="s">
        <v>341</v>
      </c>
      <c r="B97" s="31" t="s">
        <v>71</v>
      </c>
      <c r="C97" s="31" t="s">
        <v>376</v>
      </c>
      <c r="E97" s="42">
        <v>192111.5</v>
      </c>
      <c r="F97" s="31" t="s">
        <v>73</v>
      </c>
      <c r="G97" s="32">
        <v>39276</v>
      </c>
      <c r="H97" s="31" t="s">
        <v>377</v>
      </c>
      <c r="I97" s="83">
        <v>0.33044081171611278</v>
      </c>
      <c r="J97" s="83"/>
      <c r="K97" s="83"/>
      <c r="L97" s="83"/>
      <c r="M97" s="83"/>
      <c r="N97" s="83"/>
      <c r="O97" s="83"/>
      <c r="P97" s="31"/>
      <c r="Q97" s="31"/>
      <c r="R97" s="31"/>
      <c r="S97" s="31"/>
      <c r="T97" s="31"/>
      <c r="U97" s="35"/>
      <c r="V97" s="134">
        <v>0</v>
      </c>
      <c r="W97" s="85">
        <v>0</v>
      </c>
      <c r="X97" s="83">
        <v>0</v>
      </c>
      <c r="Y97" s="83">
        <v>0</v>
      </c>
      <c r="Z97" s="83"/>
      <c r="AA97" s="31"/>
      <c r="AB97" s="132"/>
      <c r="AC97" s="83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/>
      <c r="AY97"/>
      <c r="AZ97" s="83"/>
      <c r="BB97" s="31" t="str">
        <f>BBDD_TERRENO[[#This Row],[Comuna]]&amp;BBDD_TERRENO[[#This Row],[Identificacion Propiedad]]</f>
        <v>Puerto MonttLotes Puerta Sur</v>
      </c>
    </row>
    <row r="98" spans="1:54" x14ac:dyDescent="0.3">
      <c r="A98" s="31" t="s">
        <v>378</v>
      </c>
      <c r="B98" s="31" t="s">
        <v>169</v>
      </c>
      <c r="C98" s="31" t="s">
        <v>379</v>
      </c>
      <c r="E98" s="42">
        <v>240244.51</v>
      </c>
      <c r="F98" s="31" t="s">
        <v>73</v>
      </c>
      <c r="G98" s="32">
        <v>39422</v>
      </c>
      <c r="H98" s="31" t="s">
        <v>377</v>
      </c>
      <c r="I98" s="83">
        <v>0.24294011963062132</v>
      </c>
      <c r="J98" s="83"/>
      <c r="K98" s="83"/>
      <c r="L98" s="83"/>
      <c r="M98" s="83"/>
      <c r="N98" s="83"/>
      <c r="O98" s="83"/>
      <c r="P98" s="31"/>
      <c r="Q98" s="31"/>
      <c r="R98" s="31"/>
      <c r="S98" s="31"/>
      <c r="T98" s="31"/>
      <c r="U98" s="35"/>
      <c r="V98" s="134">
        <v>0</v>
      </c>
      <c r="W98" s="85">
        <v>0</v>
      </c>
      <c r="X98" s="83">
        <v>0</v>
      </c>
      <c r="Y98" s="83">
        <v>0</v>
      </c>
      <c r="Z98" s="83"/>
      <c r="AA98" s="31"/>
      <c r="AB98" s="132"/>
      <c r="AC98" s="83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/>
      <c r="AY98"/>
      <c r="AZ98" s="83"/>
      <c r="BB98" s="31" t="str">
        <f>BBDD_TERRENO[[#This Row],[Comuna]]&amp;BBDD_TERRENO[[#This Row],[Identificacion Propiedad]]</f>
        <v>HualquiLote A-3</v>
      </c>
    </row>
    <row r="99" spans="1:54" x14ac:dyDescent="0.3">
      <c r="A99" s="31" t="s">
        <v>168</v>
      </c>
      <c r="B99" s="31" t="s">
        <v>380</v>
      </c>
      <c r="C99" s="31" t="s">
        <v>381</v>
      </c>
      <c r="E99" s="42">
        <v>10180</v>
      </c>
      <c r="F99" s="31" t="s">
        <v>73</v>
      </c>
      <c r="G99" s="32">
        <v>42990</v>
      </c>
      <c r="H99" s="31" t="s">
        <v>117</v>
      </c>
      <c r="I99" s="83">
        <v>0.32416502946954812</v>
      </c>
      <c r="J99" s="83"/>
      <c r="K99" s="83"/>
      <c r="L99" s="83"/>
      <c r="M99" s="83"/>
      <c r="N99" s="83"/>
      <c r="O99" s="83"/>
      <c r="P99" s="31"/>
      <c r="Q99" s="31"/>
      <c r="R99" s="31"/>
      <c r="S99" s="31"/>
      <c r="T99" s="31"/>
      <c r="U99" s="35"/>
      <c r="V99" s="134">
        <v>0</v>
      </c>
      <c r="W99" s="85">
        <v>0</v>
      </c>
      <c r="X99" s="83">
        <v>0</v>
      </c>
      <c r="Y99" s="83">
        <v>0</v>
      </c>
      <c r="Z99" s="83"/>
      <c r="AA99" s="31"/>
      <c r="AB99" s="132"/>
      <c r="AC99" s="83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/>
      <c r="AY99"/>
      <c r="AZ99" s="83"/>
      <c r="BB99" s="31" t="str">
        <f>BBDD_TERRENO[[#This Row],[Comuna]]&amp;BBDD_TERRENO[[#This Row],[Identificacion Propiedad]]</f>
        <v>CoronelLote A1</v>
      </c>
    </row>
    <row r="100" spans="1:54" x14ac:dyDescent="0.3">
      <c r="A100" s="31" t="s">
        <v>168</v>
      </c>
      <c r="B100" s="31" t="s">
        <v>80</v>
      </c>
      <c r="C100" s="31" t="s">
        <v>317</v>
      </c>
      <c r="E100" s="42">
        <v>4950.22</v>
      </c>
      <c r="F100" s="31" t="s">
        <v>73</v>
      </c>
      <c r="G100" s="32">
        <v>42787</v>
      </c>
      <c r="H100" s="31" t="s">
        <v>117</v>
      </c>
      <c r="I100" s="83">
        <v>1.0723732383001319</v>
      </c>
      <c r="J100" s="83"/>
      <c r="K100" s="83"/>
      <c r="L100" s="83"/>
      <c r="M100" s="83"/>
      <c r="N100" s="83"/>
      <c r="O100" s="83"/>
      <c r="P100" s="31"/>
      <c r="Q100" s="31"/>
      <c r="R100" s="31"/>
      <c r="S100" s="31"/>
      <c r="T100" s="31"/>
      <c r="U100" s="35"/>
      <c r="V100" s="134">
        <v>0</v>
      </c>
      <c r="W100" s="85">
        <v>0</v>
      </c>
      <c r="X100" s="83">
        <v>0</v>
      </c>
      <c r="Y100" s="83">
        <v>0</v>
      </c>
      <c r="Z100" s="83"/>
      <c r="AA100" s="31"/>
      <c r="AB100" s="132"/>
      <c r="AC100" s="83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41"/>
      <c r="AO100" s="41"/>
      <c r="AP100" s="41"/>
      <c r="AQ100" s="41"/>
      <c r="AR100" s="41"/>
      <c r="AS100" s="32"/>
      <c r="AT100" s="31"/>
      <c r="AU100" s="41"/>
      <c r="AV100" s="33"/>
      <c r="AZ100" s="161"/>
      <c r="BB100" s="31" t="str">
        <f>BBDD_TERRENO[[#This Row],[Comuna]]&amp;BBDD_TERRENO[[#This Row],[Identificacion Propiedad]]</f>
        <v>San Pedro de la PazExpropiacion</v>
      </c>
    </row>
    <row r="101" spans="1:54" x14ac:dyDescent="0.3">
      <c r="A101" s="31" t="s">
        <v>382</v>
      </c>
      <c r="B101" s="31" t="s">
        <v>383</v>
      </c>
      <c r="C101" s="31" t="s">
        <v>384</v>
      </c>
      <c r="E101" s="42">
        <v>50000</v>
      </c>
      <c r="F101" s="31" t="s">
        <v>73</v>
      </c>
      <c r="G101" s="32">
        <v>41556</v>
      </c>
      <c r="H101" s="31" t="s">
        <v>385</v>
      </c>
      <c r="I101" s="83">
        <v>2.3394528000000001</v>
      </c>
      <c r="J101" s="83"/>
      <c r="K101" s="83"/>
      <c r="L101" s="83"/>
      <c r="M101" s="83"/>
      <c r="N101" s="83"/>
      <c r="O101" s="83"/>
      <c r="P101" s="31"/>
      <c r="Q101" s="31"/>
      <c r="R101" s="31"/>
      <c r="S101" s="31"/>
      <c r="T101" s="31"/>
      <c r="U101" s="35"/>
      <c r="V101" s="134">
        <v>0</v>
      </c>
      <c r="W101" s="85">
        <v>0</v>
      </c>
      <c r="X101" s="83">
        <v>0</v>
      </c>
      <c r="Y101" s="83">
        <v>0</v>
      </c>
      <c r="Z101" s="83"/>
      <c r="AA101" s="31"/>
      <c r="AB101" s="132"/>
      <c r="AC101" s="83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/>
      <c r="AY101"/>
      <c r="AZ101" s="83"/>
      <c r="BB101" s="31" t="str">
        <f>BBDD_TERRENO[[#This Row],[Comuna]]&amp;BBDD_TERRENO[[#This Row],[Identificacion Propiedad]]</f>
        <v>ConcepcionHijuela 5</v>
      </c>
    </row>
    <row r="102" spans="1:54" x14ac:dyDescent="0.3">
      <c r="A102" s="31" t="s">
        <v>382</v>
      </c>
      <c r="B102" s="31" t="s">
        <v>386</v>
      </c>
      <c r="C102" s="31" t="s">
        <v>387</v>
      </c>
      <c r="E102" s="42">
        <v>10000</v>
      </c>
      <c r="F102" s="31" t="s">
        <v>73</v>
      </c>
      <c r="G102" s="32">
        <v>42493</v>
      </c>
      <c r="H102" s="31" t="s">
        <v>388</v>
      </c>
      <c r="I102" s="83">
        <v>0.5</v>
      </c>
      <c r="J102" s="83"/>
      <c r="K102" s="83"/>
      <c r="L102" s="83"/>
      <c r="M102" s="83"/>
      <c r="N102" s="83"/>
      <c r="O102" s="83"/>
      <c r="P102" s="31"/>
      <c r="Q102" s="31"/>
      <c r="R102" s="31"/>
      <c r="S102" s="31"/>
      <c r="T102" s="31"/>
      <c r="U102" s="35"/>
      <c r="V102" s="134">
        <v>0</v>
      </c>
      <c r="W102" s="85">
        <v>0</v>
      </c>
      <c r="X102" s="83">
        <v>0</v>
      </c>
      <c r="Y102" s="83">
        <v>0</v>
      </c>
      <c r="Z102" s="83"/>
      <c r="AA102" s="31"/>
      <c r="AB102" s="132"/>
      <c r="AC102" s="83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/>
      <c r="AY102"/>
      <c r="AZ102" s="83"/>
      <c r="BB102" s="31" t="str">
        <f>BBDD_TERRENO[[#This Row],[Comuna]]&amp;BBDD_TERRENO[[#This Row],[Identificacion Propiedad]]</f>
        <v>TemucoLote A-1</v>
      </c>
    </row>
    <row r="103" spans="1:54" x14ac:dyDescent="0.3">
      <c r="A103" s="31" t="s">
        <v>382</v>
      </c>
      <c r="B103" s="31" t="s">
        <v>80</v>
      </c>
      <c r="C103" s="31" t="s">
        <v>389</v>
      </c>
      <c r="E103" s="42">
        <v>6070.11</v>
      </c>
      <c r="F103" s="31" t="s">
        <v>73</v>
      </c>
      <c r="G103" s="32">
        <v>43356</v>
      </c>
      <c r="H103" s="31" t="s">
        <v>390</v>
      </c>
      <c r="I103" s="83">
        <v>2.4838100133276004</v>
      </c>
      <c r="J103" s="83"/>
      <c r="K103" s="83"/>
      <c r="L103" s="83"/>
      <c r="M103" s="83"/>
      <c r="N103" s="83"/>
      <c r="O103" s="83"/>
      <c r="P103" s="31"/>
      <c r="Q103" s="31"/>
      <c r="R103" s="31"/>
      <c r="S103" s="31"/>
      <c r="T103" s="31"/>
      <c r="U103" s="35"/>
      <c r="V103" s="134">
        <v>0</v>
      </c>
      <c r="W103" s="85">
        <v>0</v>
      </c>
      <c r="X103" s="83">
        <v>0</v>
      </c>
      <c r="Y103" s="83">
        <v>0</v>
      </c>
      <c r="Z103" s="83"/>
      <c r="AA103" s="31"/>
      <c r="AB103" s="132"/>
      <c r="AC103" s="83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41"/>
      <c r="AO103" s="41"/>
      <c r="AP103" s="41"/>
      <c r="AQ103" s="41"/>
      <c r="AR103" s="41"/>
      <c r="AS103" s="32"/>
      <c r="AT103" s="31"/>
      <c r="AU103" s="41"/>
      <c r="AV103" s="33"/>
      <c r="AZ103" s="161"/>
      <c r="BB103" s="31" t="str">
        <f>BBDD_TERRENO[[#This Row],[Comuna]]&amp;BBDD_TERRENO[[#This Row],[Identificacion Propiedad]]</f>
        <v>San Pedro de la PazLote F-8C-1</v>
      </c>
    </row>
    <row r="104" spans="1:54" x14ac:dyDescent="0.3">
      <c r="A104" s="31" t="s">
        <v>382</v>
      </c>
      <c r="B104" s="31" t="s">
        <v>80</v>
      </c>
      <c r="C104" s="31" t="s">
        <v>391</v>
      </c>
      <c r="E104" s="42">
        <v>12579.79</v>
      </c>
      <c r="F104" s="31" t="s">
        <v>73</v>
      </c>
      <c r="G104" s="32">
        <v>40833</v>
      </c>
      <c r="H104" s="31" t="s">
        <v>392</v>
      </c>
      <c r="I104" s="83">
        <v>2.191451526615309</v>
      </c>
      <c r="J104" s="83"/>
      <c r="K104" s="83"/>
      <c r="L104" s="83"/>
      <c r="M104" s="83"/>
      <c r="N104" s="83"/>
      <c r="O104" s="83"/>
      <c r="P104" s="31"/>
      <c r="Q104" s="31"/>
      <c r="R104" s="31"/>
      <c r="S104" s="31"/>
      <c r="T104" s="31"/>
      <c r="U104" s="35"/>
      <c r="V104" s="134">
        <v>0</v>
      </c>
      <c r="W104" s="85">
        <v>0</v>
      </c>
      <c r="X104" s="83">
        <v>0</v>
      </c>
      <c r="Y104" s="83">
        <v>0</v>
      </c>
      <c r="Z104" s="83"/>
      <c r="AA104" s="31"/>
      <c r="AB104" s="132"/>
      <c r="AC104" s="83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41"/>
      <c r="AO104" s="41"/>
      <c r="AP104" s="41"/>
      <c r="AQ104" s="41"/>
      <c r="AR104" s="41"/>
      <c r="AS104" s="32"/>
      <c r="AT104" s="31"/>
      <c r="AU104" s="41"/>
      <c r="AV104" s="33"/>
      <c r="AZ104" s="161"/>
      <c r="BB104" s="31" t="str">
        <f>BBDD_TERRENO[[#This Row],[Comuna]]&amp;BBDD_TERRENO[[#This Row],[Identificacion Propiedad]]</f>
        <v>San Pedro de la PazLote F4-A-a</v>
      </c>
    </row>
    <row r="105" spans="1:54" x14ac:dyDescent="0.3">
      <c r="A105" s="31" t="s">
        <v>382</v>
      </c>
      <c r="B105" s="31" t="s">
        <v>80</v>
      </c>
      <c r="C105" s="31" t="s">
        <v>393</v>
      </c>
      <c r="E105" s="42">
        <v>21745.66</v>
      </c>
      <c r="F105" s="31" t="s">
        <v>73</v>
      </c>
      <c r="G105" s="32">
        <v>43356</v>
      </c>
      <c r="H105" s="31" t="s">
        <v>390</v>
      </c>
      <c r="I105" s="83">
        <v>1.3012416270648948</v>
      </c>
      <c r="J105" s="83"/>
      <c r="K105" s="83"/>
      <c r="L105" s="83"/>
      <c r="M105" s="83"/>
      <c r="N105" s="83"/>
      <c r="O105" s="83"/>
      <c r="P105" s="31"/>
      <c r="Q105" s="31"/>
      <c r="R105" s="31"/>
      <c r="S105" s="31"/>
      <c r="T105" s="31"/>
      <c r="U105" s="35"/>
      <c r="V105" s="134">
        <v>0</v>
      </c>
      <c r="W105" s="85">
        <v>0</v>
      </c>
      <c r="X105" s="83">
        <v>0</v>
      </c>
      <c r="Y105" s="83">
        <v>0</v>
      </c>
      <c r="Z105" s="83"/>
      <c r="AA105" s="31"/>
      <c r="AB105" s="132"/>
      <c r="AC105" s="83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41"/>
      <c r="AO105" s="41"/>
      <c r="AP105" s="41"/>
      <c r="AQ105" s="41"/>
      <c r="AR105" s="41"/>
      <c r="AS105" s="32"/>
      <c r="AT105" s="31"/>
      <c r="AU105" s="41"/>
      <c r="AV105" s="33"/>
      <c r="AZ105" s="161"/>
      <c r="BB105" s="31" t="str">
        <f>BBDD_TERRENO[[#This Row],[Comuna]]&amp;BBDD_TERRENO[[#This Row],[Identificacion Propiedad]]</f>
        <v>San Pedro de la PazLote F-9-8C</v>
      </c>
    </row>
    <row r="106" spans="1:54" x14ac:dyDescent="0.3">
      <c r="A106" s="31" t="s">
        <v>382</v>
      </c>
      <c r="B106" s="31" t="s">
        <v>80</v>
      </c>
      <c r="C106" s="31" t="s">
        <v>317</v>
      </c>
      <c r="E106" s="42">
        <v>19458.71</v>
      </c>
      <c r="F106" s="31" t="s">
        <v>73</v>
      </c>
      <c r="G106" s="32">
        <v>42699</v>
      </c>
      <c r="H106" s="31" t="s">
        <v>117</v>
      </c>
      <c r="I106" s="83">
        <v>1.0662099388911188</v>
      </c>
      <c r="J106" s="83"/>
      <c r="K106" s="83"/>
      <c r="L106" s="83"/>
      <c r="M106" s="83"/>
      <c r="N106" s="83"/>
      <c r="O106" s="83"/>
      <c r="P106" s="31"/>
      <c r="Q106" s="31"/>
      <c r="R106" s="31"/>
      <c r="S106" s="31"/>
      <c r="T106" s="31"/>
      <c r="U106" s="35"/>
      <c r="V106" s="134">
        <v>0</v>
      </c>
      <c r="W106" s="85">
        <v>0</v>
      </c>
      <c r="X106" s="83">
        <v>0</v>
      </c>
      <c r="Y106" s="83">
        <v>0</v>
      </c>
      <c r="Z106" s="83"/>
      <c r="AA106" s="31"/>
      <c r="AB106" s="132"/>
      <c r="AC106" s="83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41"/>
      <c r="AO106" s="41"/>
      <c r="AP106" s="41"/>
      <c r="AQ106" s="41"/>
      <c r="AR106" s="41"/>
      <c r="AS106" s="32"/>
      <c r="AT106" s="31"/>
      <c r="AU106" s="41"/>
      <c r="AV106" s="33"/>
      <c r="AZ106" s="161"/>
      <c r="BB106" s="31" t="str">
        <f>BBDD_TERRENO[[#This Row],[Comuna]]&amp;BBDD_TERRENO[[#This Row],[Identificacion Propiedad]]</f>
        <v>San Pedro de la PazExpropiacion</v>
      </c>
    </row>
    <row r="107" spans="1:54" x14ac:dyDescent="0.3">
      <c r="A107" s="31" t="s">
        <v>382</v>
      </c>
      <c r="B107" s="31" t="s">
        <v>80</v>
      </c>
      <c r="C107" s="31" t="s">
        <v>394</v>
      </c>
      <c r="E107" s="42">
        <v>30013.91</v>
      </c>
      <c r="F107" s="31" t="s">
        <v>73</v>
      </c>
      <c r="G107" s="32">
        <v>40626</v>
      </c>
      <c r="H107" s="31" t="s">
        <v>395</v>
      </c>
      <c r="I107" s="83">
        <v>0.93330059295839829</v>
      </c>
      <c r="J107" s="83"/>
      <c r="K107" s="83"/>
      <c r="L107" s="83"/>
      <c r="M107" s="83"/>
      <c r="N107" s="83"/>
      <c r="O107" s="83"/>
      <c r="P107" s="31"/>
      <c r="Q107" s="31"/>
      <c r="R107" s="31"/>
      <c r="S107" s="31"/>
      <c r="T107" s="31"/>
      <c r="U107" s="35"/>
      <c r="V107" s="134">
        <v>0</v>
      </c>
      <c r="W107" s="85">
        <v>0</v>
      </c>
      <c r="X107" s="83">
        <v>0</v>
      </c>
      <c r="Y107" s="83">
        <v>0</v>
      </c>
      <c r="Z107" s="83"/>
      <c r="AA107" s="31"/>
      <c r="AB107" s="132"/>
      <c r="AC107" s="83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41"/>
      <c r="AO107" s="41"/>
      <c r="AP107" s="41"/>
      <c r="AQ107" s="41"/>
      <c r="AR107" s="41"/>
      <c r="AS107" s="32"/>
      <c r="AT107" s="31"/>
      <c r="AU107" s="41"/>
      <c r="AV107" s="33"/>
      <c r="AZ107" s="161"/>
      <c r="BB107" s="31" t="str">
        <f>BBDD_TERRENO[[#This Row],[Comuna]]&amp;BBDD_TERRENO[[#This Row],[Identificacion Propiedad]]</f>
        <v>San Pedro de la PazLote 2A-1, 2A-2</v>
      </c>
    </row>
    <row r="108" spans="1:54" x14ac:dyDescent="0.3">
      <c r="A108" s="31" t="s">
        <v>382</v>
      </c>
      <c r="B108" s="31" t="s">
        <v>80</v>
      </c>
      <c r="C108" s="31" t="s">
        <v>317</v>
      </c>
      <c r="E108" s="42">
        <v>13208.92</v>
      </c>
      <c r="F108" s="31" t="s">
        <v>73</v>
      </c>
      <c r="G108" s="32">
        <v>42584</v>
      </c>
      <c r="H108" s="31" t="s">
        <v>117</v>
      </c>
      <c r="I108" s="83">
        <v>0.90820157837261706</v>
      </c>
      <c r="J108" s="83"/>
      <c r="K108" s="83"/>
      <c r="L108" s="83"/>
      <c r="M108" s="83"/>
      <c r="N108" s="83"/>
      <c r="O108" s="83"/>
      <c r="P108" s="31"/>
      <c r="Q108" s="31"/>
      <c r="R108" s="31"/>
      <c r="S108" s="31"/>
      <c r="T108" s="31"/>
      <c r="U108" s="35"/>
      <c r="V108" s="134">
        <v>0</v>
      </c>
      <c r="W108" s="85">
        <v>0</v>
      </c>
      <c r="X108" s="83">
        <v>0</v>
      </c>
      <c r="Y108" s="83">
        <v>0</v>
      </c>
      <c r="Z108" s="83"/>
      <c r="AA108" s="31"/>
      <c r="AB108" s="132"/>
      <c r="AC108" s="83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41"/>
      <c r="AO108" s="41"/>
      <c r="AP108" s="41"/>
      <c r="AQ108" s="41"/>
      <c r="AR108" s="41"/>
      <c r="AS108" s="32"/>
      <c r="AT108" s="31"/>
      <c r="AU108" s="41"/>
      <c r="AV108" s="33"/>
      <c r="AZ108" s="161"/>
      <c r="BB108" s="31" t="str">
        <f>BBDD_TERRENO[[#This Row],[Comuna]]&amp;BBDD_TERRENO[[#This Row],[Identificacion Propiedad]]</f>
        <v>San Pedro de la PazExpropiacion</v>
      </c>
    </row>
    <row r="109" spans="1:54" x14ac:dyDescent="0.3">
      <c r="A109" s="31" t="s">
        <v>396</v>
      </c>
      <c r="B109" s="31" t="s">
        <v>80</v>
      </c>
      <c r="C109" s="31" t="s">
        <v>397</v>
      </c>
      <c r="E109" s="42">
        <v>25440</v>
      </c>
      <c r="F109" s="31" t="s">
        <v>73</v>
      </c>
      <c r="G109" s="32">
        <v>44144</v>
      </c>
      <c r="H109" s="31" t="s">
        <v>82</v>
      </c>
      <c r="I109" s="83">
        <v>2.57</v>
      </c>
      <c r="J109" s="83"/>
      <c r="K109" s="83"/>
      <c r="L109" s="83"/>
      <c r="M109" s="83"/>
      <c r="N109" s="83"/>
      <c r="O109" s="83"/>
      <c r="P109" s="31"/>
      <c r="Q109" s="31"/>
      <c r="R109" s="31"/>
      <c r="S109" s="31"/>
      <c r="T109" s="31"/>
      <c r="U109" s="35"/>
      <c r="V109" s="134">
        <v>0</v>
      </c>
      <c r="W109" s="85">
        <v>0</v>
      </c>
      <c r="X109" s="83">
        <v>0</v>
      </c>
      <c r="Y109" s="83">
        <v>0</v>
      </c>
      <c r="Z109" s="83">
        <v>25440</v>
      </c>
      <c r="AA109" s="31" t="s">
        <v>398</v>
      </c>
      <c r="AB109" s="132">
        <v>43427</v>
      </c>
      <c r="AC109" s="83" t="s">
        <v>399</v>
      </c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41"/>
      <c r="AO109" s="41"/>
      <c r="AP109" s="41"/>
      <c r="AQ109" s="41"/>
      <c r="AR109" s="41"/>
      <c r="AS109" s="32"/>
      <c r="AT109" s="31"/>
      <c r="AU109" s="41"/>
      <c r="AV109" s="33"/>
      <c r="AZ109" s="161"/>
      <c r="BB109" s="31" t="str">
        <f>BBDD_TERRENO[[#This Row],[Comuna]]&amp;BBDD_TERRENO[[#This Row],[Identificacion Propiedad]]</f>
        <v>San Pedro de la PazLote C-2A</v>
      </c>
    </row>
    <row r="110" spans="1:54" x14ac:dyDescent="0.3">
      <c r="A110" s="31" t="s">
        <v>79</v>
      </c>
      <c r="B110" s="31" t="s">
        <v>71</v>
      </c>
      <c r="C110" s="31" t="s">
        <v>381</v>
      </c>
      <c r="E110" s="42">
        <v>9728.58</v>
      </c>
      <c r="F110" s="31" t="s">
        <v>73</v>
      </c>
      <c r="G110" s="32">
        <v>41635</v>
      </c>
      <c r="H110" s="31" t="s">
        <v>400</v>
      </c>
      <c r="I110" s="83">
        <v>1.6698223173371654</v>
      </c>
      <c r="J110" s="83"/>
      <c r="K110" s="83"/>
      <c r="L110" s="83"/>
      <c r="M110" s="83"/>
      <c r="N110" s="83"/>
      <c r="O110" s="83"/>
      <c r="P110" s="31"/>
      <c r="Q110" s="31"/>
      <c r="R110" s="31"/>
      <c r="S110" s="31"/>
      <c r="T110" s="31"/>
      <c r="U110" s="35"/>
      <c r="V110" s="134">
        <v>0</v>
      </c>
      <c r="W110" s="85">
        <v>0</v>
      </c>
      <c r="X110" s="83">
        <v>0</v>
      </c>
      <c r="Y110" s="83">
        <v>0</v>
      </c>
      <c r="Z110" s="83"/>
      <c r="AA110" s="31"/>
      <c r="AB110" s="132"/>
      <c r="AC110" s="83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>
        <v>6323.5770000000002</v>
      </c>
      <c r="AV110" s="31"/>
      <c r="AW110"/>
      <c r="AY110"/>
      <c r="AZ110" s="83"/>
      <c r="BB110" s="31" t="str">
        <f>BBDD_TERRENO[[#This Row],[Comuna]]&amp;BBDD_TERRENO[[#This Row],[Identificacion Propiedad]]</f>
        <v>Puerto MonttLote A1</v>
      </c>
    </row>
    <row r="111" spans="1:54" x14ac:dyDescent="0.3">
      <c r="A111" s="31" t="s">
        <v>79</v>
      </c>
      <c r="B111" s="31" t="s">
        <v>401</v>
      </c>
      <c r="C111" s="31" t="s">
        <v>402</v>
      </c>
      <c r="E111" s="42">
        <v>17790.89</v>
      </c>
      <c r="F111" s="31" t="s">
        <v>73</v>
      </c>
      <c r="G111" s="32">
        <v>41038</v>
      </c>
      <c r="H111" s="31" t="s">
        <v>403</v>
      </c>
      <c r="I111" s="83">
        <v>6.0143140674806039</v>
      </c>
      <c r="J111" s="83"/>
      <c r="K111" s="83"/>
      <c r="L111" s="83"/>
      <c r="M111" s="83"/>
      <c r="N111" s="83"/>
      <c r="O111" s="83"/>
      <c r="P111" s="31"/>
      <c r="Q111" s="31"/>
      <c r="R111" s="31"/>
      <c r="S111" s="31"/>
      <c r="T111" s="31"/>
      <c r="U111" s="35"/>
      <c r="V111" s="134">
        <v>0</v>
      </c>
      <c r="W111" s="85">
        <v>0</v>
      </c>
      <c r="X111" s="83">
        <v>0</v>
      </c>
      <c r="Y111" s="83">
        <v>0</v>
      </c>
      <c r="Z111" s="83"/>
      <c r="AA111" s="31"/>
      <c r="AB111" s="132"/>
      <c r="AC111" s="83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/>
      <c r="AY111"/>
      <c r="AZ111" s="83"/>
      <c r="BB111" s="31" t="str">
        <f>BBDD_TERRENO[[#This Row],[Comuna]]&amp;BBDD_TERRENO[[#This Row],[Identificacion Propiedad]]</f>
        <v>TalcahuanoEl Morro</v>
      </c>
    </row>
    <row r="112" spans="1:54" x14ac:dyDescent="0.3">
      <c r="A112" s="31" t="s">
        <v>79</v>
      </c>
      <c r="B112" s="31" t="s">
        <v>404</v>
      </c>
      <c r="C112" s="31" t="s">
        <v>405</v>
      </c>
      <c r="E112" s="42">
        <v>22766.58</v>
      </c>
      <c r="F112" s="31" t="s">
        <v>73</v>
      </c>
      <c r="G112" s="32">
        <v>41177</v>
      </c>
      <c r="H112" s="31" t="s">
        <v>406</v>
      </c>
      <c r="I112" s="83">
        <v>1.2085961088578081</v>
      </c>
      <c r="J112" s="83"/>
      <c r="K112" s="83"/>
      <c r="L112" s="83"/>
      <c r="M112" s="83"/>
      <c r="N112" s="83"/>
      <c r="O112" s="83"/>
      <c r="P112" s="31"/>
      <c r="Q112" s="31"/>
      <c r="R112" s="31"/>
      <c r="S112" s="31"/>
      <c r="T112" s="31"/>
      <c r="U112" s="35"/>
      <c r="V112" s="134">
        <v>0</v>
      </c>
      <c r="W112" s="85">
        <v>0</v>
      </c>
      <c r="X112" s="83">
        <v>0</v>
      </c>
      <c r="Y112" s="83">
        <v>0</v>
      </c>
      <c r="Z112" s="83"/>
      <c r="AA112" s="31"/>
      <c r="AB112" s="132"/>
      <c r="AC112" s="83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/>
      <c r="AY112"/>
      <c r="AZ112" s="83"/>
      <c r="BB112" s="31" t="str">
        <f>BBDD_TERRENO[[#This Row],[Comuna]]&amp;BBDD_TERRENO[[#This Row],[Identificacion Propiedad]]</f>
        <v>TalcaLotes 1,2,3,5,6,7,8,9,10</v>
      </c>
    </row>
    <row r="113" spans="1:54" x14ac:dyDescent="0.3">
      <c r="A113" s="31" t="s">
        <v>79</v>
      </c>
      <c r="B113" s="31" t="s">
        <v>386</v>
      </c>
      <c r="C113" s="31" t="s">
        <v>407</v>
      </c>
      <c r="E113" s="42">
        <v>964551</v>
      </c>
      <c r="F113" s="31" t="s">
        <v>73</v>
      </c>
      <c r="G113" s="32">
        <v>41460</v>
      </c>
      <c r="H113" s="31" t="s">
        <v>408</v>
      </c>
      <c r="I113" s="83">
        <v>0.12202568863647438</v>
      </c>
      <c r="J113" s="83"/>
      <c r="K113" s="83"/>
      <c r="L113" s="83"/>
      <c r="M113" s="83"/>
      <c r="N113" s="83"/>
      <c r="O113" s="83"/>
      <c r="P113" s="31"/>
      <c r="Q113" s="31"/>
      <c r="R113" s="31"/>
      <c r="S113" s="31"/>
      <c r="T113" s="31"/>
      <c r="U113" s="35"/>
      <c r="V113" s="134">
        <v>0</v>
      </c>
      <c r="W113" s="85">
        <v>0</v>
      </c>
      <c r="X113" s="83">
        <v>0</v>
      </c>
      <c r="Y113" s="83">
        <v>0</v>
      </c>
      <c r="Z113" s="83"/>
      <c r="AA113" s="31"/>
      <c r="AB113" s="132"/>
      <c r="AC113" s="83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/>
      <c r="AY113"/>
      <c r="AZ113" s="83"/>
      <c r="BB113" s="31" t="str">
        <f>BBDD_TERRENO[[#This Row],[Comuna]]&amp;BBDD_TERRENO[[#This Row],[Identificacion Propiedad]]</f>
        <v>TemucoLotes A2,A3, A4</v>
      </c>
    </row>
    <row r="114" spans="1:54" x14ac:dyDescent="0.3">
      <c r="A114" s="31" t="s">
        <v>79</v>
      </c>
      <c r="B114" s="31" t="s">
        <v>386</v>
      </c>
      <c r="C114" s="31" t="s">
        <v>409</v>
      </c>
      <c r="E114" s="42">
        <v>20000</v>
      </c>
      <c r="F114" s="31" t="s">
        <v>73</v>
      </c>
      <c r="G114" s="32">
        <v>42493</v>
      </c>
      <c r="H114" s="31" t="s">
        <v>410</v>
      </c>
      <c r="I114" s="83">
        <v>1.0035000000000001</v>
      </c>
      <c r="J114" s="83"/>
      <c r="K114" s="83"/>
      <c r="L114" s="83"/>
      <c r="M114" s="83"/>
      <c r="N114" s="83"/>
      <c r="O114" s="83"/>
      <c r="P114" s="31"/>
      <c r="Q114" s="31"/>
      <c r="R114" s="31"/>
      <c r="S114" s="31"/>
      <c r="T114" s="31"/>
      <c r="U114" s="35"/>
      <c r="V114" s="134">
        <v>0</v>
      </c>
      <c r="W114" s="85">
        <v>0</v>
      </c>
      <c r="X114" s="83">
        <v>0</v>
      </c>
      <c r="Y114" s="83">
        <v>0</v>
      </c>
      <c r="Z114" s="83"/>
      <c r="AA114" s="31"/>
      <c r="AB114" s="132"/>
      <c r="AC114" s="83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/>
      <c r="AY114"/>
      <c r="AZ114" s="83"/>
      <c r="BB114" s="31" t="str">
        <f>BBDD_TERRENO[[#This Row],[Comuna]]&amp;BBDD_TERRENO[[#This Row],[Identificacion Propiedad]]</f>
        <v>TemucoLotes A-2-2, A-2-3, A-2-4</v>
      </c>
    </row>
    <row r="115" spans="1:54" x14ac:dyDescent="0.3">
      <c r="A115" s="31" t="s">
        <v>79</v>
      </c>
      <c r="B115" s="31" t="s">
        <v>80</v>
      </c>
      <c r="C115" s="31" t="s">
        <v>411</v>
      </c>
      <c r="E115" s="42">
        <v>10000.280000000001</v>
      </c>
      <c r="F115" s="31" t="s">
        <v>73</v>
      </c>
      <c r="G115" s="32">
        <v>41814</v>
      </c>
      <c r="H115" s="31" t="s">
        <v>412</v>
      </c>
      <c r="I115" s="83">
        <v>1.1999664009407736</v>
      </c>
      <c r="J115" s="83"/>
      <c r="K115" s="83"/>
      <c r="L115" s="83"/>
      <c r="M115" s="83"/>
      <c r="N115" s="83"/>
      <c r="O115" s="83"/>
      <c r="P115" s="31"/>
      <c r="Q115" s="31"/>
      <c r="R115" s="31"/>
      <c r="S115" s="31"/>
      <c r="T115" s="31"/>
      <c r="U115" s="35"/>
      <c r="V115" s="134">
        <v>0</v>
      </c>
      <c r="W115" s="85">
        <v>0</v>
      </c>
      <c r="X115" s="83">
        <v>0</v>
      </c>
      <c r="Y115" s="83">
        <v>0</v>
      </c>
      <c r="Z115" s="83"/>
      <c r="AA115" s="31"/>
      <c r="AB115" s="132"/>
      <c r="AC115" s="83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41"/>
      <c r="AO115" s="41"/>
      <c r="AP115" s="41"/>
      <c r="AQ115" s="41"/>
      <c r="AR115" s="41"/>
      <c r="AS115" s="32"/>
      <c r="AT115" s="31"/>
      <c r="AU115" s="41"/>
      <c r="AV115" s="33"/>
      <c r="AZ115" s="161"/>
      <c r="BB115" s="31" t="str">
        <f>BBDD_TERRENO[[#This Row],[Comuna]]&amp;BBDD_TERRENO[[#This Row],[Identificacion Propiedad]]</f>
        <v>San Pedro de la PazLote 1 (Industrial)</v>
      </c>
    </row>
    <row r="116" spans="1:54" x14ac:dyDescent="0.3">
      <c r="A116" s="31" t="s">
        <v>79</v>
      </c>
      <c r="B116" s="31" t="s">
        <v>80</v>
      </c>
      <c r="C116" s="31" t="s">
        <v>413</v>
      </c>
      <c r="E116" s="42">
        <v>10583.06</v>
      </c>
      <c r="F116" s="31" t="s">
        <v>73</v>
      </c>
      <c r="G116" s="32">
        <v>41927</v>
      </c>
      <c r="H116" s="31" t="s">
        <v>414</v>
      </c>
      <c r="I116" s="83">
        <v>1.1338875523714314</v>
      </c>
      <c r="J116" s="83"/>
      <c r="K116" s="83"/>
      <c r="L116" s="83"/>
      <c r="M116" s="83"/>
      <c r="N116" s="83"/>
      <c r="O116" s="83"/>
      <c r="P116" s="31"/>
      <c r="Q116" s="31"/>
      <c r="R116" s="31"/>
      <c r="S116" s="31"/>
      <c r="T116" s="31"/>
      <c r="U116" s="35"/>
      <c r="V116" s="134">
        <v>0</v>
      </c>
      <c r="W116" s="85">
        <v>0</v>
      </c>
      <c r="X116" s="83">
        <v>0</v>
      </c>
      <c r="Y116" s="83">
        <v>0</v>
      </c>
      <c r="Z116" s="83"/>
      <c r="AA116" s="31"/>
      <c r="AB116" s="132"/>
      <c r="AC116" s="83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41"/>
      <c r="AO116" s="41"/>
      <c r="AP116" s="41"/>
      <c r="AQ116" s="41"/>
      <c r="AR116" s="41"/>
      <c r="AS116" s="32"/>
      <c r="AT116" s="31"/>
      <c r="AU116" s="41"/>
      <c r="AV116" s="33"/>
      <c r="AZ116" s="161"/>
      <c r="BB116" s="31" t="str">
        <f>BBDD_TERRENO[[#This Row],[Comuna]]&amp;BBDD_TERRENO[[#This Row],[Identificacion Propiedad]]</f>
        <v>San Pedro de la PazLote 3 (Industrial)</v>
      </c>
    </row>
    <row r="117" spans="1:54" x14ac:dyDescent="0.3">
      <c r="A117" s="31" t="s">
        <v>79</v>
      </c>
      <c r="B117" s="31" t="s">
        <v>80</v>
      </c>
      <c r="C117" s="31" t="s">
        <v>415</v>
      </c>
      <c r="E117" s="42">
        <v>10000.280000000001</v>
      </c>
      <c r="F117" s="31" t="s">
        <v>73</v>
      </c>
      <c r="G117" s="32">
        <v>41880</v>
      </c>
      <c r="H117" s="31" t="s">
        <v>416</v>
      </c>
      <c r="I117" s="83">
        <v>1.1111688872711563</v>
      </c>
      <c r="J117" s="83"/>
      <c r="K117" s="83"/>
      <c r="L117" s="83"/>
      <c r="M117" s="83"/>
      <c r="N117" s="83"/>
      <c r="O117" s="83"/>
      <c r="P117" s="31"/>
      <c r="Q117" s="31"/>
      <c r="R117" s="31"/>
      <c r="S117" s="31"/>
      <c r="T117" s="31"/>
      <c r="U117" s="35"/>
      <c r="V117" s="134">
        <v>0</v>
      </c>
      <c r="W117" s="85">
        <v>0</v>
      </c>
      <c r="X117" s="83">
        <v>0</v>
      </c>
      <c r="Y117" s="83">
        <v>0</v>
      </c>
      <c r="Z117" s="83"/>
      <c r="AA117" s="31"/>
      <c r="AB117" s="132"/>
      <c r="AC117" s="83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41"/>
      <c r="AO117" s="41"/>
      <c r="AP117" s="41"/>
      <c r="AQ117" s="41"/>
      <c r="AR117" s="41"/>
      <c r="AS117" s="32"/>
      <c r="AT117" s="31"/>
      <c r="AU117" s="41"/>
      <c r="AV117" s="33"/>
      <c r="AZ117" s="161"/>
      <c r="BB117" s="31" t="str">
        <f>BBDD_TERRENO[[#This Row],[Comuna]]&amp;BBDD_TERRENO[[#This Row],[Identificacion Propiedad]]</f>
        <v>San Pedro de la PazLote 2 (Industrial)</v>
      </c>
    </row>
    <row r="118" spans="1:54" x14ac:dyDescent="0.3">
      <c r="A118" s="31" t="s">
        <v>79</v>
      </c>
      <c r="B118" s="31" t="s">
        <v>80</v>
      </c>
      <c r="C118" s="31" t="s">
        <v>417</v>
      </c>
      <c r="E118" s="42">
        <v>175857.18</v>
      </c>
      <c r="F118" s="31" t="s">
        <v>73</v>
      </c>
      <c r="G118" s="32">
        <v>39548</v>
      </c>
      <c r="H118" s="31" t="s">
        <v>418</v>
      </c>
      <c r="I118" s="83">
        <v>1.0764706905910808</v>
      </c>
      <c r="J118" s="83"/>
      <c r="K118" s="83"/>
      <c r="L118" s="83"/>
      <c r="M118" s="83"/>
      <c r="N118" s="83"/>
      <c r="O118" s="83"/>
      <c r="P118" s="31"/>
      <c r="Q118" s="31"/>
      <c r="R118" s="31"/>
      <c r="S118" s="31"/>
      <c r="T118" s="31"/>
      <c r="U118" s="35"/>
      <c r="V118" s="134">
        <v>0</v>
      </c>
      <c r="W118" s="85">
        <v>0</v>
      </c>
      <c r="X118" s="83">
        <v>0</v>
      </c>
      <c r="Y118" s="83">
        <v>0</v>
      </c>
      <c r="Z118" s="83"/>
      <c r="AA118" s="31"/>
      <c r="AB118" s="132"/>
      <c r="AC118" s="83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41"/>
      <c r="AO118" s="41"/>
      <c r="AP118" s="41"/>
      <c r="AQ118" s="41"/>
      <c r="AR118" s="41"/>
      <c r="AS118" s="32"/>
      <c r="AT118" s="31"/>
      <c r="AU118" s="41"/>
      <c r="AV118" s="33"/>
      <c r="AZ118" s="161"/>
      <c r="BB118" s="31" t="str">
        <f>BBDD_TERRENO[[#This Row],[Comuna]]&amp;BBDD_TERRENO[[#This Row],[Identificacion Propiedad]]</f>
        <v>San Pedro de la PazLote C3-1A</v>
      </c>
    </row>
    <row r="119" spans="1:54" x14ac:dyDescent="0.3">
      <c r="A119" s="31" t="s">
        <v>79</v>
      </c>
      <c r="B119" s="31" t="s">
        <v>80</v>
      </c>
      <c r="C119" s="31" t="s">
        <v>419</v>
      </c>
      <c r="E119" s="42">
        <v>47309.8</v>
      </c>
      <c r="F119" s="31" t="s">
        <v>73</v>
      </c>
      <c r="G119" s="32">
        <v>39548</v>
      </c>
      <c r="H119" s="31" t="s">
        <v>418</v>
      </c>
      <c r="I119" s="83">
        <v>1.0764706255363581</v>
      </c>
      <c r="J119" s="83"/>
      <c r="K119" s="83"/>
      <c r="L119" s="83"/>
      <c r="M119" s="83"/>
      <c r="N119" s="83"/>
      <c r="O119" s="83"/>
      <c r="P119" s="31"/>
      <c r="Q119" s="31"/>
      <c r="R119" s="31"/>
      <c r="S119" s="31"/>
      <c r="T119" s="31"/>
      <c r="U119" s="35"/>
      <c r="V119" s="134">
        <v>0</v>
      </c>
      <c r="W119" s="85">
        <v>0</v>
      </c>
      <c r="X119" s="83">
        <v>0</v>
      </c>
      <c r="Y119" s="83">
        <v>0</v>
      </c>
      <c r="Z119" s="83"/>
      <c r="AA119" s="31"/>
      <c r="AB119" s="132"/>
      <c r="AC119" s="83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41"/>
      <c r="AO119" s="41"/>
      <c r="AP119" s="41"/>
      <c r="AQ119" s="41"/>
      <c r="AR119" s="41"/>
      <c r="AS119" s="32"/>
      <c r="AT119" s="31"/>
      <c r="AU119" s="41"/>
      <c r="AV119" s="33"/>
      <c r="AZ119" s="161"/>
      <c r="BB119" s="31" t="str">
        <f>BBDD_TERRENO[[#This Row],[Comuna]]&amp;BBDD_TERRENO[[#This Row],[Identificacion Propiedad]]</f>
        <v>San Pedro de la PazLote C3-1B</v>
      </c>
    </row>
    <row r="120" spans="1:54" x14ac:dyDescent="0.3">
      <c r="A120" s="31" t="s">
        <v>79</v>
      </c>
      <c r="B120" s="31" t="s">
        <v>80</v>
      </c>
      <c r="C120" s="31" t="s">
        <v>420</v>
      </c>
      <c r="E120" s="42">
        <v>40081.21</v>
      </c>
      <c r="F120" s="31" t="s">
        <v>73</v>
      </c>
      <c r="G120" s="32">
        <v>39997</v>
      </c>
      <c r="H120" s="31" t="s">
        <v>421</v>
      </c>
      <c r="I120" s="83">
        <v>1.0053376632092694</v>
      </c>
      <c r="J120" s="83"/>
      <c r="K120" s="83"/>
      <c r="L120" s="83"/>
      <c r="M120" s="83"/>
      <c r="N120" s="83"/>
      <c r="O120" s="83"/>
      <c r="P120" s="31"/>
      <c r="Q120" s="31"/>
      <c r="R120" s="31"/>
      <c r="S120" s="31"/>
      <c r="T120" s="31"/>
      <c r="U120" s="35"/>
      <c r="V120" s="134">
        <v>0</v>
      </c>
      <c r="W120" s="85">
        <v>0</v>
      </c>
      <c r="X120" s="83">
        <v>0</v>
      </c>
      <c r="Y120" s="83">
        <v>0</v>
      </c>
      <c r="Z120" s="83"/>
      <c r="AA120" s="31"/>
      <c r="AB120" s="132"/>
      <c r="AC120" s="83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41"/>
      <c r="AO120" s="41"/>
      <c r="AP120" s="41"/>
      <c r="AQ120" s="41"/>
      <c r="AR120" s="41"/>
      <c r="AS120" s="32"/>
      <c r="AT120" s="31"/>
      <c r="AU120" s="41"/>
      <c r="AV120" s="33"/>
      <c r="AZ120" s="161"/>
      <c r="BB120" s="31" t="str">
        <f>BBDD_TERRENO[[#This Row],[Comuna]]&amp;BBDD_TERRENO[[#This Row],[Identificacion Propiedad]]</f>
        <v>San Pedro de la PazLote L-01 a</v>
      </c>
    </row>
    <row r="121" spans="1:54" x14ac:dyDescent="0.3">
      <c r="A121" s="31" t="s">
        <v>79</v>
      </c>
      <c r="B121" s="31" t="s">
        <v>80</v>
      </c>
      <c r="C121" s="31" t="s">
        <v>422</v>
      </c>
      <c r="E121" s="42">
        <v>31663.569999999996</v>
      </c>
      <c r="F121" s="31" t="s">
        <v>73</v>
      </c>
      <c r="G121" s="32">
        <v>41046</v>
      </c>
      <c r="H121" s="31" t="s">
        <v>423</v>
      </c>
      <c r="I121" s="83">
        <v>0.9893157973027048</v>
      </c>
      <c r="J121" s="83"/>
      <c r="K121" s="83"/>
      <c r="L121" s="83"/>
      <c r="M121" s="83"/>
      <c r="N121" s="83"/>
      <c r="O121" s="83"/>
      <c r="P121" s="31"/>
      <c r="Q121" s="31"/>
      <c r="R121" s="31"/>
      <c r="S121" s="31"/>
      <c r="T121" s="31"/>
      <c r="U121" s="35"/>
      <c r="V121" s="134">
        <v>0</v>
      </c>
      <c r="W121" s="85">
        <v>0</v>
      </c>
      <c r="X121" s="83">
        <v>0</v>
      </c>
      <c r="Y121" s="83">
        <v>0</v>
      </c>
      <c r="Z121" s="83"/>
      <c r="AA121" s="31"/>
      <c r="AB121" s="132"/>
      <c r="AC121" s="83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41"/>
      <c r="AO121" s="41"/>
      <c r="AP121" s="41"/>
      <c r="AQ121" s="41"/>
      <c r="AR121" s="41"/>
      <c r="AS121" s="32"/>
      <c r="AT121" s="31"/>
      <c r="AU121" s="41"/>
      <c r="AV121" s="33"/>
      <c r="AZ121" s="161"/>
      <c r="BB121" s="31" t="str">
        <f>BBDD_TERRENO[[#This Row],[Comuna]]&amp;BBDD_TERRENO[[#This Row],[Identificacion Propiedad]]</f>
        <v>San Pedro de la PazLotes Olas</v>
      </c>
    </row>
    <row r="122" spans="1:54" x14ac:dyDescent="0.3">
      <c r="A122" s="31" t="s">
        <v>79</v>
      </c>
      <c r="B122" s="31" t="s">
        <v>80</v>
      </c>
      <c r="C122" s="31" t="s">
        <v>424</v>
      </c>
      <c r="E122" s="42">
        <v>4978.1099999999997</v>
      </c>
      <c r="F122" s="31" t="s">
        <v>73</v>
      </c>
      <c r="G122" s="32">
        <v>40046</v>
      </c>
      <c r="H122" s="31" t="s">
        <v>333</v>
      </c>
      <c r="I122" s="83">
        <v>0.92360755145772822</v>
      </c>
      <c r="J122" s="83"/>
      <c r="K122" s="83"/>
      <c r="L122" s="83"/>
      <c r="M122" s="83"/>
      <c r="N122" s="83"/>
      <c r="O122" s="83"/>
      <c r="P122" s="31"/>
      <c r="Q122" s="31"/>
      <c r="R122" s="31"/>
      <c r="S122" s="31"/>
      <c r="T122" s="31"/>
      <c r="U122" s="35"/>
      <c r="V122" s="134">
        <v>0</v>
      </c>
      <c r="W122" s="85">
        <v>0</v>
      </c>
      <c r="X122" s="83">
        <v>0</v>
      </c>
      <c r="Y122" s="83">
        <v>0</v>
      </c>
      <c r="Z122" s="83"/>
      <c r="AA122" s="31"/>
      <c r="AB122" s="132"/>
      <c r="AC122" s="83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41"/>
      <c r="AO122" s="41"/>
      <c r="AP122" s="41"/>
      <c r="AQ122" s="41"/>
      <c r="AR122" s="41"/>
      <c r="AS122" s="32"/>
      <c r="AT122" s="31"/>
      <c r="AU122" s="41"/>
      <c r="AV122" s="33"/>
      <c r="AZ122" s="161"/>
      <c r="BB122" s="31" t="str">
        <f>BBDD_TERRENO[[#This Row],[Comuna]]&amp;BBDD_TERRENO[[#This Row],[Identificacion Propiedad]]</f>
        <v>San Pedro de la PazLote 2 A-2</v>
      </c>
    </row>
    <row r="123" spans="1:54" x14ac:dyDescent="0.3">
      <c r="A123" s="31" t="s">
        <v>79</v>
      </c>
      <c r="B123" s="31" t="s">
        <v>80</v>
      </c>
      <c r="C123" s="31" t="s">
        <v>425</v>
      </c>
      <c r="E123" s="42">
        <v>195133.65</v>
      </c>
      <c r="F123" s="31" t="s">
        <v>73</v>
      </c>
      <c r="G123" s="32">
        <v>42069</v>
      </c>
      <c r="H123" s="31" t="s">
        <v>426</v>
      </c>
      <c r="I123" s="83">
        <v>0.40997541941125992</v>
      </c>
      <c r="J123" s="83"/>
      <c r="K123" s="83"/>
      <c r="L123" s="83"/>
      <c r="M123" s="83"/>
      <c r="N123" s="83"/>
      <c r="O123" s="83"/>
      <c r="P123" s="31"/>
      <c r="Q123" s="31"/>
      <c r="R123" s="31"/>
      <c r="S123" s="31"/>
      <c r="T123" s="31"/>
      <c r="U123" s="35"/>
      <c r="V123" s="134">
        <v>0</v>
      </c>
      <c r="W123" s="85">
        <v>0</v>
      </c>
      <c r="X123" s="83">
        <v>0</v>
      </c>
      <c r="Y123" s="83">
        <v>0</v>
      </c>
      <c r="Z123" s="83"/>
      <c r="AA123" s="31"/>
      <c r="AB123" s="132"/>
      <c r="AC123" s="83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41"/>
      <c r="AO123" s="41"/>
      <c r="AP123" s="41"/>
      <c r="AQ123" s="41"/>
      <c r="AR123" s="41"/>
      <c r="AS123" s="32"/>
      <c r="AT123" s="31"/>
      <c r="AU123" s="41"/>
      <c r="AV123" s="33"/>
      <c r="AZ123" s="161"/>
      <c r="BB123" s="31" t="str">
        <f>BBDD_TERRENO[[#This Row],[Comuna]]&amp;BBDD_TERRENO[[#This Row],[Identificacion Propiedad]]</f>
        <v>San Pedro de la PazLote 2D-6</v>
      </c>
    </row>
    <row r="124" spans="1:54" x14ac:dyDescent="0.3">
      <c r="A124" s="31" t="s">
        <v>79</v>
      </c>
      <c r="B124" s="31" t="s">
        <v>71</v>
      </c>
      <c r="C124" s="31" t="s">
        <v>427</v>
      </c>
      <c r="E124" s="42">
        <v>615999.13</v>
      </c>
      <c r="F124" s="31" t="s">
        <v>73</v>
      </c>
      <c r="G124" s="32">
        <v>40127</v>
      </c>
      <c r="H124" s="31" t="s">
        <v>428</v>
      </c>
      <c r="I124" s="83">
        <v>0.30701017386177154</v>
      </c>
      <c r="J124" s="83"/>
      <c r="K124" s="83"/>
      <c r="L124" s="83"/>
      <c r="M124" s="83"/>
      <c r="N124" s="83"/>
      <c r="O124" s="83"/>
      <c r="P124" s="31"/>
      <c r="Q124" s="31"/>
      <c r="R124" s="31"/>
      <c r="S124" s="31"/>
      <c r="T124" s="31"/>
      <c r="U124" s="35"/>
      <c r="V124" s="134">
        <v>0</v>
      </c>
      <c r="W124" s="85">
        <v>0</v>
      </c>
      <c r="X124" s="83">
        <v>0</v>
      </c>
      <c r="Y124" s="83">
        <v>0</v>
      </c>
      <c r="Z124" s="83"/>
      <c r="AA124" s="31"/>
      <c r="AB124" s="132"/>
      <c r="AC124" s="83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/>
      <c r="AY124"/>
      <c r="AZ124" s="83"/>
      <c r="BB124" s="31" t="str">
        <f>BBDD_TERRENO[[#This Row],[Comuna]]&amp;BBDD_TERRENO[[#This Row],[Identificacion Propiedad]]</f>
        <v>Puerto MonttLotes : A1,A2</v>
      </c>
    </row>
    <row r="125" spans="1:54" x14ac:dyDescent="0.3">
      <c r="A125" s="31" t="s">
        <v>429</v>
      </c>
      <c r="B125" s="31" t="s">
        <v>401</v>
      </c>
      <c r="C125" s="31" t="s">
        <v>430</v>
      </c>
      <c r="E125" s="42">
        <v>126643.96</v>
      </c>
      <c r="F125" s="31" t="s">
        <v>73</v>
      </c>
      <c r="G125" s="32">
        <v>40598</v>
      </c>
      <c r="H125" s="31" t="s">
        <v>431</v>
      </c>
      <c r="I125" s="83">
        <v>0.82499789172732751</v>
      </c>
      <c r="J125" s="83"/>
      <c r="K125" s="83"/>
      <c r="L125" s="83"/>
      <c r="M125" s="83"/>
      <c r="N125" s="83"/>
      <c r="O125" s="83"/>
      <c r="P125" s="31"/>
      <c r="Q125" s="31"/>
      <c r="R125" s="31"/>
      <c r="S125" s="31" t="s">
        <v>432</v>
      </c>
      <c r="T125" s="31"/>
      <c r="U125" s="35"/>
      <c r="V125" s="134">
        <v>0</v>
      </c>
      <c r="W125" s="85">
        <v>0</v>
      </c>
      <c r="X125" s="83">
        <v>0</v>
      </c>
      <c r="Y125" s="83">
        <v>0</v>
      </c>
      <c r="Z125" s="83"/>
      <c r="AA125" s="31"/>
      <c r="AB125" s="132"/>
      <c r="AC125" s="83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/>
      <c r="AY125"/>
      <c r="AZ125" s="83"/>
      <c r="BB125" s="31" t="str">
        <f>BBDD_TERRENO[[#This Row],[Comuna]]&amp;BBDD_TERRENO[[#This Row],[Identificacion Propiedad]]</f>
        <v>TalcahuanoLote  B</v>
      </c>
    </row>
    <row r="126" spans="1:54" x14ac:dyDescent="0.3">
      <c r="A126" s="31" t="s">
        <v>433</v>
      </c>
      <c r="B126" s="31" t="s">
        <v>80</v>
      </c>
      <c r="C126" s="31" t="s">
        <v>434</v>
      </c>
      <c r="E126" s="42">
        <v>13100</v>
      </c>
      <c r="F126" s="31" t="s">
        <v>73</v>
      </c>
      <c r="G126" s="32">
        <v>44144</v>
      </c>
      <c r="H126" s="31" t="s">
        <v>82</v>
      </c>
      <c r="I126" s="83">
        <v>2.36</v>
      </c>
      <c r="J126" s="83"/>
      <c r="K126" s="83"/>
      <c r="L126" s="83"/>
      <c r="M126" s="83"/>
      <c r="N126" s="83"/>
      <c r="O126" s="83"/>
      <c r="P126" s="31"/>
      <c r="Q126" s="31"/>
      <c r="R126" s="31"/>
      <c r="S126" s="31"/>
      <c r="T126" s="31"/>
      <c r="U126" s="35"/>
      <c r="V126" s="134">
        <v>0</v>
      </c>
      <c r="W126" s="85">
        <v>0</v>
      </c>
      <c r="X126" s="83">
        <v>0</v>
      </c>
      <c r="Y126" s="83">
        <v>0</v>
      </c>
      <c r="Z126" s="83">
        <v>13100</v>
      </c>
      <c r="AA126" s="31" t="s">
        <v>398</v>
      </c>
      <c r="AB126" s="132">
        <v>43427</v>
      </c>
      <c r="AC126" s="83" t="s">
        <v>435</v>
      </c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41"/>
      <c r="AO126" s="41"/>
      <c r="AP126" s="41"/>
      <c r="AQ126" s="41"/>
      <c r="AR126" s="41"/>
      <c r="AS126" s="32"/>
      <c r="AT126" s="31"/>
      <c r="AU126" s="41"/>
      <c r="AV126" s="33"/>
      <c r="AZ126" s="161"/>
      <c r="BB126" s="31" t="str">
        <f>BBDD_TERRENO[[#This Row],[Comuna]]&amp;BBDD_TERRENO[[#This Row],[Identificacion Propiedad]]</f>
        <v>San Pedro de la PazLote C-2B</v>
      </c>
    </row>
    <row r="127" spans="1:54" x14ac:dyDescent="0.3">
      <c r="A127" s="31" t="s">
        <v>89</v>
      </c>
      <c r="B127" s="31" t="s">
        <v>80</v>
      </c>
      <c r="C127" s="31" t="s">
        <v>436</v>
      </c>
      <c r="E127" s="42">
        <v>9857.9599999999991</v>
      </c>
      <c r="F127" s="31" t="s">
        <v>73</v>
      </c>
      <c r="G127" s="32">
        <v>43830</v>
      </c>
      <c r="H127" s="31" t="s">
        <v>437</v>
      </c>
      <c r="I127" s="83">
        <v>3.3</v>
      </c>
      <c r="J127" s="83"/>
      <c r="K127" s="83"/>
      <c r="L127" s="83"/>
      <c r="M127" s="83"/>
      <c r="N127" s="83"/>
      <c r="O127" s="83"/>
      <c r="P127" s="31"/>
      <c r="Q127" s="31"/>
      <c r="R127" s="31"/>
      <c r="S127" s="31"/>
      <c r="T127" s="31"/>
      <c r="U127" s="35"/>
      <c r="V127" s="134">
        <v>0</v>
      </c>
      <c r="W127" s="85">
        <v>0</v>
      </c>
      <c r="X127" s="83">
        <v>0</v>
      </c>
      <c r="Y127" s="83">
        <v>0</v>
      </c>
      <c r="Z127" s="83"/>
      <c r="AA127" s="31"/>
      <c r="AB127" s="132"/>
      <c r="AC127" s="83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41"/>
      <c r="AO127" s="41"/>
      <c r="AP127" s="41"/>
      <c r="AQ127" s="41"/>
      <c r="AR127" s="41"/>
      <c r="AS127" s="32"/>
      <c r="AT127" s="31"/>
      <c r="AU127" s="41"/>
      <c r="AV127" s="33"/>
      <c r="AZ127" s="161"/>
      <c r="BB127" s="31" t="str">
        <f>BBDD_TERRENO[[#This Row],[Comuna]]&amp;BBDD_TERRENO[[#This Row],[Identificacion Propiedad]]</f>
        <v>San Pedro de la PazLote C7-1A-1A</v>
      </c>
    </row>
    <row r="128" spans="1:54" x14ac:dyDescent="0.3">
      <c r="A128" s="31" t="s">
        <v>89</v>
      </c>
      <c r="B128" s="31" t="s">
        <v>80</v>
      </c>
      <c r="C128" s="31" t="s">
        <v>438</v>
      </c>
      <c r="E128" s="42">
        <v>10380.18</v>
      </c>
      <c r="F128" s="31" t="s">
        <v>73</v>
      </c>
      <c r="G128" s="32">
        <v>44195</v>
      </c>
      <c r="H128" s="31" t="s">
        <v>439</v>
      </c>
      <c r="I128" s="83">
        <v>3.3</v>
      </c>
      <c r="J128" s="83"/>
      <c r="K128" s="83"/>
      <c r="L128" s="83"/>
      <c r="M128" s="83"/>
      <c r="N128" s="83"/>
      <c r="O128" s="83"/>
      <c r="P128" s="31"/>
      <c r="Q128" s="31"/>
      <c r="R128" s="31"/>
      <c r="S128" s="31"/>
      <c r="T128" s="31"/>
      <c r="U128" s="35"/>
      <c r="V128" s="134">
        <v>0</v>
      </c>
      <c r="W128" s="85">
        <v>0</v>
      </c>
      <c r="X128" s="83">
        <v>0</v>
      </c>
      <c r="Y128" s="83">
        <v>0</v>
      </c>
      <c r="Z128" s="83"/>
      <c r="AA128" s="31"/>
      <c r="AB128" s="132"/>
      <c r="AC128" s="83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41"/>
      <c r="AO128" s="41"/>
      <c r="AP128" s="41"/>
      <c r="AQ128" s="41"/>
      <c r="AR128" s="41"/>
      <c r="AS128" s="32"/>
      <c r="AT128" s="31"/>
      <c r="AU128" s="41"/>
      <c r="AV128" s="33"/>
      <c r="AZ128" s="161"/>
      <c r="BB128" s="31" t="str">
        <f>BBDD_TERRENO[[#This Row],[Comuna]]&amp;BBDD_TERRENO[[#This Row],[Identificacion Propiedad]]</f>
        <v>San Pedro de la PazLote C7-1A-1B</v>
      </c>
    </row>
    <row r="129" spans="1:54" x14ac:dyDescent="0.3">
      <c r="A129" s="31" t="s">
        <v>89</v>
      </c>
      <c r="B129" s="31" t="s">
        <v>80</v>
      </c>
      <c r="C129" s="31" t="s">
        <v>440</v>
      </c>
      <c r="E129" s="42">
        <v>1311.15</v>
      </c>
      <c r="F129" s="31" t="s">
        <v>73</v>
      </c>
      <c r="G129" s="32">
        <v>43711</v>
      </c>
      <c r="H129" s="31" t="s">
        <v>441</v>
      </c>
      <c r="I129" s="83">
        <v>3</v>
      </c>
      <c r="J129" s="83"/>
      <c r="K129" s="83"/>
      <c r="L129" s="83"/>
      <c r="M129" s="83"/>
      <c r="N129" s="83"/>
      <c r="O129" s="83"/>
      <c r="P129" s="31"/>
      <c r="Q129" s="31"/>
      <c r="R129" s="31"/>
      <c r="S129" s="31"/>
      <c r="T129" s="31"/>
      <c r="U129" s="35"/>
      <c r="V129" s="134">
        <v>0</v>
      </c>
      <c r="W129" s="85">
        <v>0</v>
      </c>
      <c r="X129" s="83">
        <v>0</v>
      </c>
      <c r="Y129" s="83">
        <v>0</v>
      </c>
      <c r="Z129" s="83"/>
      <c r="AA129" s="31"/>
      <c r="AB129" s="132"/>
      <c r="AC129" s="83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41"/>
      <c r="AO129" s="41"/>
      <c r="AP129" s="41"/>
      <c r="AQ129" s="41"/>
      <c r="AR129" s="41"/>
      <c r="AS129" s="32"/>
      <c r="AT129" s="31"/>
      <c r="AU129" s="41"/>
      <c r="AV129" s="33"/>
      <c r="AZ129" s="161"/>
      <c r="BB129" s="31" t="str">
        <f>BBDD_TERRENO[[#This Row],[Comuna]]&amp;BBDD_TERRENO[[#This Row],[Identificacion Propiedad]]</f>
        <v>San Pedro de la PazLote F-9-X1</v>
      </c>
    </row>
    <row r="130" spans="1:54" x14ac:dyDescent="0.3">
      <c r="A130" s="31" t="s">
        <v>89</v>
      </c>
      <c r="B130" s="31" t="s">
        <v>80</v>
      </c>
      <c r="C130" s="31" t="s">
        <v>442</v>
      </c>
      <c r="E130" s="42">
        <v>3883.86</v>
      </c>
      <c r="F130" s="31" t="s">
        <v>73</v>
      </c>
      <c r="G130" s="32">
        <v>42027</v>
      </c>
      <c r="H130" s="31" t="s">
        <v>443</v>
      </c>
      <c r="I130" s="83">
        <v>2.3167673397084343</v>
      </c>
      <c r="J130" s="83"/>
      <c r="K130" s="83"/>
      <c r="L130" s="83"/>
      <c r="M130" s="83"/>
      <c r="N130" s="83"/>
      <c r="O130" s="83"/>
      <c r="P130" s="31"/>
      <c r="Q130" s="31"/>
      <c r="R130" s="31"/>
      <c r="S130" s="31"/>
      <c r="T130" s="31"/>
      <c r="U130" s="35"/>
      <c r="V130" s="134">
        <v>0</v>
      </c>
      <c r="W130" s="85">
        <v>0</v>
      </c>
      <c r="X130" s="83">
        <v>0</v>
      </c>
      <c r="Y130" s="83">
        <v>0</v>
      </c>
      <c r="Z130" s="83"/>
      <c r="AA130" s="31"/>
      <c r="AB130" s="132"/>
      <c r="AC130" s="83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41"/>
      <c r="AO130" s="41"/>
      <c r="AP130" s="41"/>
      <c r="AQ130" s="41"/>
      <c r="AR130" s="41"/>
      <c r="AS130" s="32"/>
      <c r="AT130" s="31"/>
      <c r="AU130" s="41"/>
      <c r="AV130" s="33"/>
      <c r="AZ130" s="161"/>
      <c r="BB130" s="31" t="str">
        <f>BBDD_TERRENO[[#This Row],[Comuna]]&amp;BBDD_TERRENO[[#This Row],[Identificacion Propiedad]]</f>
        <v>San Pedro de la PazLote F-1A-B</v>
      </c>
    </row>
    <row r="131" spans="1:54" x14ac:dyDescent="0.3">
      <c r="A131" s="31" t="s">
        <v>89</v>
      </c>
      <c r="B131" s="31" t="s">
        <v>80</v>
      </c>
      <c r="C131" s="31" t="s">
        <v>444</v>
      </c>
      <c r="E131" s="42">
        <v>5239.2299999999996</v>
      </c>
      <c r="F131" s="31" t="s">
        <v>73</v>
      </c>
      <c r="G131" s="32">
        <v>44141</v>
      </c>
      <c r="H131" s="31" t="s">
        <v>445</v>
      </c>
      <c r="I131" s="83">
        <v>2.2999999999999998</v>
      </c>
      <c r="J131" s="83"/>
      <c r="K131" s="83"/>
      <c r="L131" s="83"/>
      <c r="M131" s="83"/>
      <c r="N131" s="83"/>
      <c r="O131" s="83"/>
      <c r="P131" s="31"/>
      <c r="Q131" s="31"/>
      <c r="R131" s="31"/>
      <c r="S131" s="31"/>
      <c r="T131" s="31"/>
      <c r="U131" s="35"/>
      <c r="V131" s="134">
        <v>0</v>
      </c>
      <c r="W131" s="85">
        <v>0</v>
      </c>
      <c r="X131" s="83">
        <v>0</v>
      </c>
      <c r="Y131" s="83">
        <v>0</v>
      </c>
      <c r="Z131" s="83"/>
      <c r="AA131" s="31"/>
      <c r="AB131" s="132"/>
      <c r="AC131" s="83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41"/>
      <c r="AO131" s="41"/>
      <c r="AP131" s="41"/>
      <c r="AQ131" s="41"/>
      <c r="AR131" s="41"/>
      <c r="AS131" s="32"/>
      <c r="AT131" s="31"/>
      <c r="AU131" s="41"/>
      <c r="AV131" s="33"/>
      <c r="AZ131" s="161"/>
      <c r="BB131" s="31" t="str">
        <f>BBDD_TERRENO[[#This Row],[Comuna]]&amp;BBDD_TERRENO[[#This Row],[Identificacion Propiedad]]</f>
        <v>San Pedro de la PazLote D2-C-2B</v>
      </c>
    </row>
    <row r="132" spans="1:54" x14ac:dyDescent="0.3">
      <c r="A132" s="31" t="s">
        <v>89</v>
      </c>
      <c r="B132" s="31" t="s">
        <v>80</v>
      </c>
      <c r="C132" s="31" t="s">
        <v>446</v>
      </c>
      <c r="E132" s="42">
        <v>10635.6</v>
      </c>
      <c r="F132" s="31" t="s">
        <v>73</v>
      </c>
      <c r="G132" s="32">
        <v>43356</v>
      </c>
      <c r="H132" s="31" t="s">
        <v>390</v>
      </c>
      <c r="I132" s="83">
        <v>2.0791492722554441</v>
      </c>
      <c r="J132" s="83"/>
      <c r="K132" s="83"/>
      <c r="L132" s="83"/>
      <c r="M132" s="83"/>
      <c r="N132" s="83"/>
      <c r="O132" s="83"/>
      <c r="P132" s="31"/>
      <c r="Q132" s="31"/>
      <c r="R132" s="31"/>
      <c r="S132" s="31"/>
      <c r="T132" s="31"/>
      <c r="U132" s="35"/>
      <c r="V132" s="134">
        <v>0</v>
      </c>
      <c r="W132" s="85">
        <v>0</v>
      </c>
      <c r="X132" s="83">
        <v>0</v>
      </c>
      <c r="Y132" s="83">
        <v>0</v>
      </c>
      <c r="Z132" s="83"/>
      <c r="AA132" s="31"/>
      <c r="AB132" s="132"/>
      <c r="AC132" s="83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41"/>
      <c r="AO132" s="41"/>
      <c r="AP132" s="41"/>
      <c r="AQ132" s="41"/>
      <c r="AR132" s="41"/>
      <c r="AS132" s="32"/>
      <c r="AT132" s="31"/>
      <c r="AU132" s="41"/>
      <c r="AV132" s="33"/>
      <c r="AZ132" s="161"/>
      <c r="BB132" s="31" t="str">
        <f>BBDD_TERRENO[[#This Row],[Comuna]]&amp;BBDD_TERRENO[[#This Row],[Identificacion Propiedad]]</f>
        <v>San Pedro de la PazLote C-9-A1</v>
      </c>
    </row>
    <row r="133" spans="1:54" x14ac:dyDescent="0.3">
      <c r="A133" s="31" t="s">
        <v>89</v>
      </c>
      <c r="B133" s="31" t="s">
        <v>80</v>
      </c>
      <c r="C133" s="31" t="s">
        <v>447</v>
      </c>
      <c r="E133" s="42">
        <v>5600</v>
      </c>
      <c r="F133" s="31" t="s">
        <v>73</v>
      </c>
      <c r="G133" s="32">
        <v>41279</v>
      </c>
      <c r="H133" s="31" t="s">
        <v>448</v>
      </c>
      <c r="I133" s="83">
        <v>2</v>
      </c>
      <c r="J133" s="83"/>
      <c r="K133" s="83"/>
      <c r="L133" s="83"/>
      <c r="M133" s="83"/>
      <c r="N133" s="83"/>
      <c r="O133" s="83"/>
      <c r="P133" s="31"/>
      <c r="Q133" s="31"/>
      <c r="R133" s="31"/>
      <c r="S133" s="31"/>
      <c r="T133" s="31"/>
      <c r="U133" s="35"/>
      <c r="V133" s="134">
        <v>0</v>
      </c>
      <c r="W133" s="85">
        <v>0</v>
      </c>
      <c r="X133" s="83">
        <v>0</v>
      </c>
      <c r="Y133" s="83">
        <v>0</v>
      </c>
      <c r="Z133" s="83"/>
      <c r="AA133" s="31"/>
      <c r="AB133" s="132"/>
      <c r="AC133" s="83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41"/>
      <c r="AO133" s="41"/>
      <c r="AP133" s="41"/>
      <c r="AQ133" s="41"/>
      <c r="AR133" s="41"/>
      <c r="AS133" s="32"/>
      <c r="AT133" s="31"/>
      <c r="AU133" s="41"/>
      <c r="AV133" s="33"/>
      <c r="AZ133" s="161"/>
      <c r="BB133" s="31" t="str">
        <f>BBDD_TERRENO[[#This Row],[Comuna]]&amp;BBDD_TERRENO[[#This Row],[Identificacion Propiedad]]</f>
        <v>San Pedro de la PazLote A7-1a</v>
      </c>
    </row>
    <row r="134" spans="1:54" x14ac:dyDescent="0.3">
      <c r="A134" s="31" t="s">
        <v>89</v>
      </c>
      <c r="B134" s="31" t="s">
        <v>80</v>
      </c>
      <c r="C134" s="31" t="s">
        <v>449</v>
      </c>
      <c r="E134" s="42">
        <v>5000</v>
      </c>
      <c r="F134" s="31" t="s">
        <v>73</v>
      </c>
      <c r="G134" s="32">
        <v>38961</v>
      </c>
      <c r="H134" s="31" t="s">
        <v>450</v>
      </c>
      <c r="I134" s="83">
        <v>2</v>
      </c>
      <c r="J134" s="83"/>
      <c r="K134" s="83"/>
      <c r="L134" s="83"/>
      <c r="M134" s="83"/>
      <c r="N134" s="83"/>
      <c r="O134" s="83"/>
      <c r="P134" s="31"/>
      <c r="Q134" s="31"/>
      <c r="R134" s="31"/>
      <c r="S134" s="31"/>
      <c r="T134" s="31"/>
      <c r="U134" s="35"/>
      <c r="V134" s="134">
        <v>0</v>
      </c>
      <c r="W134" s="85">
        <v>0</v>
      </c>
      <c r="X134" s="83">
        <v>0</v>
      </c>
      <c r="Y134" s="83">
        <v>0</v>
      </c>
      <c r="Z134" s="83"/>
      <c r="AA134" s="31"/>
      <c r="AB134" s="132"/>
      <c r="AC134" s="83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41"/>
      <c r="AO134" s="41"/>
      <c r="AP134" s="41"/>
      <c r="AQ134" s="41"/>
      <c r="AR134" s="41"/>
      <c r="AS134" s="32"/>
      <c r="AT134" s="31"/>
      <c r="AU134" s="41"/>
      <c r="AV134" s="33"/>
      <c r="AZ134" s="161"/>
      <c r="BB134" s="31" t="str">
        <f>BBDD_TERRENO[[#This Row],[Comuna]]&amp;BBDD_TERRENO[[#This Row],[Identificacion Propiedad]]</f>
        <v>San Pedro de la PazLote C8-2A</v>
      </c>
    </row>
    <row r="135" spans="1:54" x14ac:dyDescent="0.3">
      <c r="A135" s="31" t="s">
        <v>89</v>
      </c>
      <c r="B135" s="31" t="s">
        <v>80</v>
      </c>
      <c r="C135" s="31" t="s">
        <v>451</v>
      </c>
      <c r="E135" s="42">
        <v>1500</v>
      </c>
      <c r="F135" s="31" t="s">
        <v>73</v>
      </c>
      <c r="G135" s="32">
        <v>41606</v>
      </c>
      <c r="H135" s="31" t="s">
        <v>448</v>
      </c>
      <c r="I135" s="83">
        <v>2</v>
      </c>
      <c r="J135" s="83"/>
      <c r="K135" s="83"/>
      <c r="L135" s="83"/>
      <c r="M135" s="83"/>
      <c r="N135" s="83"/>
      <c r="O135" s="83"/>
      <c r="P135" s="31"/>
      <c r="Q135" s="31"/>
      <c r="R135" s="31"/>
      <c r="S135" s="31"/>
      <c r="T135" s="31"/>
      <c r="U135" s="35"/>
      <c r="V135" s="134">
        <v>0</v>
      </c>
      <c r="W135" s="85">
        <v>0</v>
      </c>
      <c r="X135" s="83">
        <v>0</v>
      </c>
      <c r="Y135" s="83">
        <v>0</v>
      </c>
      <c r="Z135" s="83"/>
      <c r="AA135" s="31"/>
      <c r="AB135" s="132"/>
      <c r="AC135" s="83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41"/>
      <c r="AO135" s="41"/>
      <c r="AP135" s="41"/>
      <c r="AQ135" s="41"/>
      <c r="AR135" s="41"/>
      <c r="AS135" s="32"/>
      <c r="AT135" s="31"/>
      <c r="AU135" s="41"/>
      <c r="AV135" s="33"/>
      <c r="AZ135" s="161"/>
      <c r="BB135" s="31" t="str">
        <f>BBDD_TERRENO[[#This Row],[Comuna]]&amp;BBDD_TERRENO[[#This Row],[Identificacion Propiedad]]</f>
        <v>San Pedro de la PazLote F-1B</v>
      </c>
    </row>
    <row r="136" spans="1:54" x14ac:dyDescent="0.3">
      <c r="A136" s="31" t="s">
        <v>89</v>
      </c>
      <c r="B136" s="31" t="s">
        <v>452</v>
      </c>
      <c r="C136" s="31" t="s">
        <v>453</v>
      </c>
      <c r="E136" s="42">
        <v>193159.99</v>
      </c>
      <c r="F136" s="31" t="s">
        <v>73</v>
      </c>
      <c r="G136" s="32">
        <v>40759</v>
      </c>
      <c r="H136" s="31" t="s">
        <v>351</v>
      </c>
      <c r="I136" s="83">
        <v>0.27192484323487487</v>
      </c>
      <c r="J136" s="83"/>
      <c r="K136" s="83"/>
      <c r="L136" s="83"/>
      <c r="M136" s="83"/>
      <c r="N136" s="83"/>
      <c r="O136" s="83"/>
      <c r="P136" s="31"/>
      <c r="Q136" s="31"/>
      <c r="R136" s="31"/>
      <c r="S136" s="31"/>
      <c r="T136" s="31"/>
      <c r="U136" s="35"/>
      <c r="V136" s="134">
        <v>0</v>
      </c>
      <c r="W136" s="85">
        <v>0</v>
      </c>
      <c r="X136" s="83">
        <v>0</v>
      </c>
      <c r="Y136" s="83">
        <v>0</v>
      </c>
      <c r="Z136" s="83"/>
      <c r="AA136" s="31"/>
      <c r="AB136" s="132"/>
      <c r="AC136" s="83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/>
      <c r="AY136"/>
      <c r="AZ136" s="83"/>
      <c r="BB136" s="31" t="str">
        <f>BBDD_TERRENO[[#This Row],[Comuna]]&amp;BBDD_TERRENO[[#This Row],[Identificacion Propiedad]]</f>
        <v>Valdivia4 Lotes Angachilla</v>
      </c>
    </row>
    <row r="137" spans="1:54" x14ac:dyDescent="0.3">
      <c r="A137" s="31" t="s">
        <v>89</v>
      </c>
      <c r="B137" s="31" t="s">
        <v>80</v>
      </c>
      <c r="C137" s="31" t="s">
        <v>447</v>
      </c>
      <c r="E137" s="42">
        <v>12423.48</v>
      </c>
      <c r="F137" s="31" t="s">
        <v>73</v>
      </c>
      <c r="G137" s="32">
        <v>41051</v>
      </c>
      <c r="H137" s="31" t="s">
        <v>448</v>
      </c>
      <c r="I137" s="83">
        <v>1.9575835405718895</v>
      </c>
      <c r="J137" s="83"/>
      <c r="K137" s="83"/>
      <c r="L137" s="83"/>
      <c r="M137" s="83"/>
      <c r="N137" s="83"/>
      <c r="O137" s="83"/>
      <c r="P137" s="31"/>
      <c r="Q137" s="31"/>
      <c r="R137" s="31"/>
      <c r="S137" s="31"/>
      <c r="T137" s="31"/>
      <c r="U137" s="35"/>
      <c r="V137" s="134">
        <v>0</v>
      </c>
      <c r="W137" s="85">
        <v>0</v>
      </c>
      <c r="X137" s="83">
        <v>0</v>
      </c>
      <c r="Y137" s="83">
        <v>0</v>
      </c>
      <c r="Z137" s="83"/>
      <c r="AA137" s="31"/>
      <c r="AB137" s="132"/>
      <c r="AC137" s="83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41"/>
      <c r="AO137" s="41"/>
      <c r="AP137" s="41"/>
      <c r="AQ137" s="41"/>
      <c r="AR137" s="41"/>
      <c r="AS137" s="32"/>
      <c r="AT137" s="31"/>
      <c r="AU137" s="41"/>
      <c r="AV137" s="33"/>
      <c r="AZ137" s="161"/>
      <c r="BB137" s="31" t="str">
        <f>BBDD_TERRENO[[#This Row],[Comuna]]&amp;BBDD_TERRENO[[#This Row],[Identificacion Propiedad]]</f>
        <v>San Pedro de la PazLote A7-1a</v>
      </c>
    </row>
    <row r="138" spans="1:54" x14ac:dyDescent="0.3">
      <c r="A138" s="31" t="s">
        <v>89</v>
      </c>
      <c r="B138" s="31" t="s">
        <v>80</v>
      </c>
      <c r="C138" s="31" t="s">
        <v>454</v>
      </c>
      <c r="E138" s="42">
        <v>5000</v>
      </c>
      <c r="F138" s="31" t="s">
        <v>73</v>
      </c>
      <c r="G138" s="32">
        <v>42474</v>
      </c>
      <c r="H138" s="31" t="s">
        <v>455</v>
      </c>
      <c r="I138" s="83">
        <v>1.8</v>
      </c>
      <c r="J138" s="83"/>
      <c r="K138" s="83"/>
      <c r="L138" s="83"/>
      <c r="M138" s="83"/>
      <c r="N138" s="83"/>
      <c r="O138" s="83"/>
      <c r="P138" s="31"/>
      <c r="Q138" s="31"/>
      <c r="R138" s="31"/>
      <c r="S138" s="31"/>
      <c r="T138" s="31"/>
      <c r="U138" s="35"/>
      <c r="V138" s="134">
        <v>0</v>
      </c>
      <c r="W138" s="85">
        <v>0</v>
      </c>
      <c r="X138" s="83">
        <v>0</v>
      </c>
      <c r="Y138" s="83">
        <v>0</v>
      </c>
      <c r="Z138" s="83"/>
      <c r="AA138" s="31"/>
      <c r="AB138" s="132"/>
      <c r="AC138" s="83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41"/>
      <c r="AO138" s="41"/>
      <c r="AP138" s="41"/>
      <c r="AQ138" s="41"/>
      <c r="AR138" s="41"/>
      <c r="AS138" s="32"/>
      <c r="AT138" s="31"/>
      <c r="AU138" s="41"/>
      <c r="AV138" s="33"/>
      <c r="AZ138" s="161"/>
      <c r="BB138" s="31" t="str">
        <f>BBDD_TERRENO[[#This Row],[Comuna]]&amp;BBDD_TERRENO[[#This Row],[Identificacion Propiedad]]</f>
        <v>San Pedro de la PazLote F1-C</v>
      </c>
    </row>
    <row r="139" spans="1:54" x14ac:dyDescent="0.3">
      <c r="A139" s="31" t="s">
        <v>89</v>
      </c>
      <c r="B139" s="31" t="s">
        <v>80</v>
      </c>
      <c r="C139" s="31" t="s">
        <v>456</v>
      </c>
      <c r="E139" s="42">
        <v>2000</v>
      </c>
      <c r="F139" s="31" t="s">
        <v>73</v>
      </c>
      <c r="G139" s="32">
        <v>39246</v>
      </c>
      <c r="H139" s="31" t="s">
        <v>457</v>
      </c>
      <c r="I139" s="83">
        <v>1.5</v>
      </c>
      <c r="J139" s="83"/>
      <c r="K139" s="83"/>
      <c r="L139" s="83"/>
      <c r="M139" s="83"/>
      <c r="N139" s="83"/>
      <c r="O139" s="83"/>
      <c r="P139" s="31"/>
      <c r="Q139" s="31"/>
      <c r="R139" s="31"/>
      <c r="S139" s="31"/>
      <c r="T139" s="31"/>
      <c r="U139" s="35"/>
      <c r="V139" s="134">
        <v>0</v>
      </c>
      <c r="W139" s="85">
        <v>0</v>
      </c>
      <c r="X139" s="83">
        <v>0</v>
      </c>
      <c r="Y139" s="83">
        <v>0</v>
      </c>
      <c r="Z139" s="83"/>
      <c r="AA139" s="31"/>
      <c r="AB139" s="132"/>
      <c r="AC139" s="83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41"/>
      <c r="AO139" s="41"/>
      <c r="AP139" s="41"/>
      <c r="AQ139" s="41"/>
      <c r="AR139" s="41"/>
      <c r="AS139" s="32"/>
      <c r="AT139" s="31"/>
      <c r="AU139" s="41"/>
      <c r="AV139" s="33"/>
      <c r="AZ139" s="161"/>
      <c r="BB139" s="31" t="str">
        <f>BBDD_TERRENO[[#This Row],[Comuna]]&amp;BBDD_TERRENO[[#This Row],[Identificacion Propiedad]]</f>
        <v>San Pedro de la PazLote B2-B-1</v>
      </c>
    </row>
    <row r="140" spans="1:54" x14ac:dyDescent="0.3">
      <c r="A140" s="31" t="s">
        <v>89</v>
      </c>
      <c r="B140" s="31" t="s">
        <v>80</v>
      </c>
      <c r="C140" s="31" t="s">
        <v>458</v>
      </c>
      <c r="E140" s="42">
        <v>12043.16</v>
      </c>
      <c r="F140" s="31" t="s">
        <v>73</v>
      </c>
      <c r="G140" s="32">
        <v>40217</v>
      </c>
      <c r="H140" s="31" t="s">
        <v>351</v>
      </c>
      <c r="I140" s="83">
        <v>1.2291749009396205</v>
      </c>
      <c r="J140" s="83"/>
      <c r="K140" s="83"/>
      <c r="L140" s="83"/>
      <c r="M140" s="83"/>
      <c r="N140" s="83"/>
      <c r="O140" s="83"/>
      <c r="P140" s="31"/>
      <c r="Q140" s="31"/>
      <c r="R140" s="31"/>
      <c r="S140" s="31"/>
      <c r="T140" s="31"/>
      <c r="U140" s="35"/>
      <c r="V140" s="134">
        <v>0</v>
      </c>
      <c r="W140" s="85">
        <v>0</v>
      </c>
      <c r="X140" s="83">
        <v>0</v>
      </c>
      <c r="Y140" s="83">
        <v>0</v>
      </c>
      <c r="Z140" s="83"/>
      <c r="AA140" s="31"/>
      <c r="AB140" s="132"/>
      <c r="AC140" s="83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41"/>
      <c r="AO140" s="41"/>
      <c r="AP140" s="41"/>
      <c r="AQ140" s="41"/>
      <c r="AR140" s="41"/>
      <c r="AS140" s="32"/>
      <c r="AT140" s="31"/>
      <c r="AU140" s="41"/>
      <c r="AV140" s="33"/>
      <c r="AZ140" s="161"/>
      <c r="BB140" s="31" t="str">
        <f>BBDD_TERRENO[[#This Row],[Comuna]]&amp;BBDD_TERRENO[[#This Row],[Identificacion Propiedad]]</f>
        <v>San Pedro de la PazLote F1-B</v>
      </c>
    </row>
    <row r="141" spans="1:54" x14ac:dyDescent="0.3">
      <c r="A141" s="31" t="s">
        <v>89</v>
      </c>
      <c r="B141" s="31" t="s">
        <v>80</v>
      </c>
      <c r="C141" s="31" t="s">
        <v>459</v>
      </c>
      <c r="E141" s="42">
        <v>8980.6200000000008</v>
      </c>
      <c r="F141" s="31" t="s">
        <v>73</v>
      </c>
      <c r="G141" s="32">
        <v>42150</v>
      </c>
      <c r="H141" s="31" t="s">
        <v>460</v>
      </c>
      <c r="I141" s="83">
        <v>1.2000006681053199</v>
      </c>
      <c r="J141" s="83"/>
      <c r="K141" s="83"/>
      <c r="L141" s="83"/>
      <c r="M141" s="83"/>
      <c r="N141" s="83"/>
      <c r="O141" s="83"/>
      <c r="P141" s="31"/>
      <c r="Q141" s="31"/>
      <c r="R141" s="31"/>
      <c r="S141" s="31"/>
      <c r="T141" s="31"/>
      <c r="U141" s="35"/>
      <c r="V141" s="134">
        <v>0</v>
      </c>
      <c r="W141" s="85">
        <v>0</v>
      </c>
      <c r="X141" s="83">
        <v>0</v>
      </c>
      <c r="Y141" s="83">
        <v>0</v>
      </c>
      <c r="Z141" s="83"/>
      <c r="AA141" s="31"/>
      <c r="AB141" s="132"/>
      <c r="AC141" s="83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41"/>
      <c r="AO141" s="41"/>
      <c r="AP141" s="41"/>
      <c r="AQ141" s="41"/>
      <c r="AR141" s="41"/>
      <c r="AS141" s="32"/>
      <c r="AT141" s="31"/>
      <c r="AU141" s="41"/>
      <c r="AV141" s="33"/>
      <c r="AZ141" s="161"/>
      <c r="BB141" s="31" t="str">
        <f>BBDD_TERRENO[[#This Row],[Comuna]]&amp;BBDD_TERRENO[[#This Row],[Identificacion Propiedad]]</f>
        <v>San Pedro de la PazLote D1-C</v>
      </c>
    </row>
    <row r="142" spans="1:54" x14ac:dyDescent="0.3">
      <c r="A142" s="31" t="s">
        <v>89</v>
      </c>
      <c r="B142" s="31" t="s">
        <v>80</v>
      </c>
      <c r="C142" s="31" t="s">
        <v>461</v>
      </c>
      <c r="E142" s="42">
        <v>7405.43</v>
      </c>
      <c r="F142" s="31" t="s">
        <v>73</v>
      </c>
      <c r="G142" s="32">
        <v>41641</v>
      </c>
      <c r="H142" s="31" t="s">
        <v>462</v>
      </c>
      <c r="I142" s="83">
        <v>1.1995360302966624</v>
      </c>
      <c r="J142" s="83"/>
      <c r="K142" s="83"/>
      <c r="L142" s="83"/>
      <c r="M142" s="83"/>
      <c r="N142" s="83"/>
      <c r="O142" s="83"/>
      <c r="P142" s="31"/>
      <c r="Q142" s="31"/>
      <c r="R142" s="31"/>
      <c r="S142" s="31"/>
      <c r="T142" s="31"/>
      <c r="U142" s="35"/>
      <c r="V142" s="134">
        <v>0</v>
      </c>
      <c r="W142" s="85">
        <v>0</v>
      </c>
      <c r="X142" s="83">
        <v>0</v>
      </c>
      <c r="Y142" s="83">
        <v>0</v>
      </c>
      <c r="Z142" s="83"/>
      <c r="AA142" s="31"/>
      <c r="AB142" s="132"/>
      <c r="AC142" s="83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41"/>
      <c r="AO142" s="41"/>
      <c r="AP142" s="41"/>
      <c r="AQ142" s="41"/>
      <c r="AR142" s="41"/>
      <c r="AS142" s="32"/>
      <c r="AT142" s="31"/>
      <c r="AU142" s="41"/>
      <c r="AV142" s="33"/>
      <c r="AZ142" s="161"/>
      <c r="BB142" s="31" t="str">
        <f>BBDD_TERRENO[[#This Row],[Comuna]]&amp;BBDD_TERRENO[[#This Row],[Identificacion Propiedad]]</f>
        <v>San Pedro de la PazLote Z</v>
      </c>
    </row>
    <row r="143" spans="1:54" x14ac:dyDescent="0.3">
      <c r="A143" s="31" t="s">
        <v>89</v>
      </c>
      <c r="B143" s="31" t="s">
        <v>80</v>
      </c>
      <c r="C143" s="31" t="s">
        <v>463</v>
      </c>
      <c r="E143" s="42">
        <v>53340</v>
      </c>
      <c r="F143" s="31" t="s">
        <v>73</v>
      </c>
      <c r="G143" s="32">
        <v>43579</v>
      </c>
      <c r="H143" s="31" t="s">
        <v>464</v>
      </c>
      <c r="I143" s="83">
        <v>1.17</v>
      </c>
      <c r="J143" s="83"/>
      <c r="K143" s="83"/>
      <c r="L143" s="83"/>
      <c r="M143" s="83"/>
      <c r="N143" s="83"/>
      <c r="O143" s="83"/>
      <c r="P143" s="31"/>
      <c r="Q143" s="31"/>
      <c r="R143" s="31"/>
      <c r="S143" s="31"/>
      <c r="T143" s="31"/>
      <c r="U143" s="35"/>
      <c r="V143" s="134">
        <v>0</v>
      </c>
      <c r="W143" s="85">
        <v>0</v>
      </c>
      <c r="X143" s="83">
        <v>0</v>
      </c>
      <c r="Y143" s="83">
        <v>0</v>
      </c>
      <c r="Z143" s="83"/>
      <c r="AA143" s="31"/>
      <c r="AB143" s="132"/>
      <c r="AC143" s="83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41"/>
      <c r="AO143" s="41"/>
      <c r="AP143" s="41"/>
      <c r="AQ143" s="41"/>
      <c r="AR143" s="41"/>
      <c r="AS143" s="32"/>
      <c r="AT143" s="31"/>
      <c r="AU143" s="41"/>
      <c r="AV143" s="33"/>
      <c r="AZ143" s="161"/>
      <c r="BB143" s="31" t="str">
        <f>BBDD_TERRENO[[#This Row],[Comuna]]&amp;BBDD_TERRENO[[#This Row],[Identificacion Propiedad]]</f>
        <v>San Pedro de la PazLote D2-C-1</v>
      </c>
    </row>
    <row r="144" spans="1:54" x14ac:dyDescent="0.3">
      <c r="A144" s="31" t="s">
        <v>89</v>
      </c>
      <c r="B144" s="31" t="s">
        <v>80</v>
      </c>
      <c r="C144" s="31" t="s">
        <v>465</v>
      </c>
      <c r="E144" s="42">
        <v>35337</v>
      </c>
      <c r="F144" s="31" t="s">
        <v>73</v>
      </c>
      <c r="G144" s="32">
        <v>43579</v>
      </c>
      <c r="H144" s="31" t="s">
        <v>464</v>
      </c>
      <c r="I144" s="83">
        <v>1.17</v>
      </c>
      <c r="J144" s="83"/>
      <c r="K144" s="83"/>
      <c r="L144" s="83"/>
      <c r="M144" s="83"/>
      <c r="N144" s="83"/>
      <c r="O144" s="83"/>
      <c r="P144" s="31"/>
      <c r="Q144" s="31"/>
      <c r="R144" s="31"/>
      <c r="S144" s="31"/>
      <c r="T144" s="31"/>
      <c r="U144" s="35"/>
      <c r="V144" s="134">
        <v>0</v>
      </c>
      <c r="W144" s="85">
        <v>0</v>
      </c>
      <c r="X144" s="83">
        <v>0</v>
      </c>
      <c r="Y144" s="83">
        <v>0</v>
      </c>
      <c r="Z144" s="83"/>
      <c r="AA144" s="31"/>
      <c r="AB144" s="132"/>
      <c r="AC144" s="83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41"/>
      <c r="AO144" s="41"/>
      <c r="AP144" s="41"/>
      <c r="AQ144" s="41"/>
      <c r="AR144" s="41"/>
      <c r="AS144" s="32"/>
      <c r="AT144" s="31"/>
      <c r="AU144" s="41"/>
      <c r="AV144" s="33"/>
      <c r="AZ144" s="161"/>
      <c r="BB144" s="31" t="str">
        <f>BBDD_TERRENO[[#This Row],[Comuna]]&amp;BBDD_TERRENO[[#This Row],[Identificacion Propiedad]]</f>
        <v>San Pedro de la PazLote D2-C-3</v>
      </c>
    </row>
    <row r="145" spans="1:54" x14ac:dyDescent="0.3">
      <c r="A145" s="31" t="s">
        <v>89</v>
      </c>
      <c r="B145" s="31" t="s">
        <v>80</v>
      </c>
      <c r="C145" s="31" t="s">
        <v>466</v>
      </c>
      <c r="E145" s="42">
        <v>62373.74</v>
      </c>
      <c r="F145" s="31" t="s">
        <v>73</v>
      </c>
      <c r="G145" s="32">
        <v>43557</v>
      </c>
      <c r="H145" s="31" t="s">
        <v>467</v>
      </c>
      <c r="I145" s="83">
        <v>1.08</v>
      </c>
      <c r="J145" s="83"/>
      <c r="K145" s="83"/>
      <c r="L145" s="83"/>
      <c r="M145" s="83"/>
      <c r="N145" s="83"/>
      <c r="O145" s="83"/>
      <c r="P145" s="31"/>
      <c r="Q145" s="31"/>
      <c r="R145" s="31"/>
      <c r="S145" s="31"/>
      <c r="T145" s="31"/>
      <c r="U145" s="35"/>
      <c r="V145" s="134">
        <v>0</v>
      </c>
      <c r="W145" s="85">
        <v>0</v>
      </c>
      <c r="X145" s="83">
        <v>0</v>
      </c>
      <c r="Y145" s="83">
        <v>0</v>
      </c>
      <c r="Z145" s="83"/>
      <c r="AA145" s="31"/>
      <c r="AB145" s="132"/>
      <c r="AC145" s="83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41"/>
      <c r="AO145" s="41"/>
      <c r="AP145" s="41"/>
      <c r="AQ145" s="41"/>
      <c r="AR145" s="41"/>
      <c r="AS145" s="32"/>
      <c r="AT145" s="31"/>
      <c r="AU145" s="41"/>
      <c r="AV145" s="33"/>
      <c r="AZ145" s="161"/>
      <c r="BB145" s="31" t="str">
        <f>BBDD_TERRENO[[#This Row],[Comuna]]&amp;BBDD_TERRENO[[#This Row],[Identificacion Propiedad]]</f>
        <v>San Pedro de la PazLote D2-B</v>
      </c>
    </row>
    <row r="146" spans="1:54" x14ac:dyDescent="0.3">
      <c r="A146" s="31" t="s">
        <v>89</v>
      </c>
      <c r="B146" s="31" t="s">
        <v>80</v>
      </c>
      <c r="C146" s="31" t="s">
        <v>317</v>
      </c>
      <c r="E146" s="42">
        <v>393.4</v>
      </c>
      <c r="F146" s="31" t="s">
        <v>73</v>
      </c>
      <c r="G146" s="32">
        <v>42972</v>
      </c>
      <c r="H146" s="31" t="s">
        <v>117</v>
      </c>
      <c r="I146" s="83">
        <v>1.0085814259190162</v>
      </c>
      <c r="J146" s="83"/>
      <c r="K146" s="83"/>
      <c r="L146" s="83"/>
      <c r="M146" s="83"/>
      <c r="N146" s="83"/>
      <c r="O146" s="83"/>
      <c r="P146" s="31"/>
      <c r="Q146" s="31"/>
      <c r="R146" s="31"/>
      <c r="S146" s="31"/>
      <c r="T146" s="31"/>
      <c r="U146" s="35"/>
      <c r="V146" s="134">
        <v>0</v>
      </c>
      <c r="W146" s="85">
        <v>0</v>
      </c>
      <c r="X146" s="83">
        <v>0</v>
      </c>
      <c r="Y146" s="83">
        <v>0</v>
      </c>
      <c r="Z146" s="83"/>
      <c r="AA146" s="31"/>
      <c r="AB146" s="132"/>
      <c r="AC146" s="83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41"/>
      <c r="AO146" s="41"/>
      <c r="AP146" s="41"/>
      <c r="AQ146" s="41"/>
      <c r="AR146" s="41"/>
      <c r="AS146" s="32"/>
      <c r="AT146" s="31"/>
      <c r="AU146" s="41"/>
      <c r="AV146" s="33"/>
      <c r="AZ146" s="161"/>
      <c r="BB146" s="31" t="str">
        <f>BBDD_TERRENO[[#This Row],[Comuna]]&amp;BBDD_TERRENO[[#This Row],[Identificacion Propiedad]]</f>
        <v>San Pedro de la PazExpropiacion</v>
      </c>
    </row>
    <row r="147" spans="1:54" x14ac:dyDescent="0.3">
      <c r="A147" s="31" t="s">
        <v>89</v>
      </c>
      <c r="B147" s="31" t="s">
        <v>80</v>
      </c>
      <c r="C147" s="31" t="s">
        <v>317</v>
      </c>
      <c r="E147" s="42">
        <v>435.26</v>
      </c>
      <c r="F147" s="31" t="s">
        <v>73</v>
      </c>
      <c r="G147" s="32">
        <v>42549</v>
      </c>
      <c r="H147" s="31" t="s">
        <v>117</v>
      </c>
      <c r="I147" s="83">
        <v>1.0080981710522532</v>
      </c>
      <c r="J147" s="83"/>
      <c r="K147" s="83"/>
      <c r="L147" s="83"/>
      <c r="M147" s="83"/>
      <c r="N147" s="83"/>
      <c r="O147" s="83"/>
      <c r="P147" s="31"/>
      <c r="Q147" s="31"/>
      <c r="R147" s="31"/>
      <c r="S147" s="31"/>
      <c r="T147" s="31"/>
      <c r="U147" s="35"/>
      <c r="V147" s="134">
        <v>0</v>
      </c>
      <c r="W147" s="85">
        <v>0</v>
      </c>
      <c r="X147" s="83">
        <v>0</v>
      </c>
      <c r="Y147" s="83">
        <v>0</v>
      </c>
      <c r="Z147" s="83"/>
      <c r="AA147" s="31"/>
      <c r="AB147" s="132"/>
      <c r="AC147" s="83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41"/>
      <c r="AO147" s="41"/>
      <c r="AP147" s="41"/>
      <c r="AQ147" s="41"/>
      <c r="AR147" s="41"/>
      <c r="AS147" s="32"/>
      <c r="AT147" s="31"/>
      <c r="AU147" s="41"/>
      <c r="AV147" s="33"/>
      <c r="AZ147" s="161"/>
      <c r="BB147" s="31" t="str">
        <f>BBDD_TERRENO[[#This Row],[Comuna]]&amp;BBDD_TERRENO[[#This Row],[Identificacion Propiedad]]</f>
        <v>San Pedro de la PazExpropiacion</v>
      </c>
    </row>
    <row r="148" spans="1:54" x14ac:dyDescent="0.3">
      <c r="A148" s="31" t="s">
        <v>89</v>
      </c>
      <c r="B148" s="31" t="s">
        <v>80</v>
      </c>
      <c r="C148" s="31" t="s">
        <v>387</v>
      </c>
      <c r="E148" s="42">
        <v>60311.46</v>
      </c>
      <c r="F148" s="31" t="s">
        <v>73</v>
      </c>
      <c r="G148" s="32"/>
      <c r="H148" s="31" t="s">
        <v>125</v>
      </c>
      <c r="I148" s="83">
        <v>1</v>
      </c>
      <c r="J148" s="83"/>
      <c r="K148" s="83"/>
      <c r="L148" s="83"/>
      <c r="M148" s="83"/>
      <c r="N148" s="83"/>
      <c r="O148" s="83"/>
      <c r="P148" s="31"/>
      <c r="Q148" s="31"/>
      <c r="R148" s="31"/>
      <c r="S148" s="31"/>
      <c r="T148" s="31"/>
      <c r="U148" s="35"/>
      <c r="V148" s="134">
        <v>0</v>
      </c>
      <c r="W148" s="85">
        <v>0</v>
      </c>
      <c r="X148" s="83">
        <v>0</v>
      </c>
      <c r="Y148" s="83">
        <v>0</v>
      </c>
      <c r="Z148" s="83"/>
      <c r="AA148" s="31"/>
      <c r="AB148" s="132"/>
      <c r="AC148" s="83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41"/>
      <c r="AO148" s="41"/>
      <c r="AP148" s="41"/>
      <c r="AQ148" s="41"/>
      <c r="AR148" s="41"/>
      <c r="AS148" s="32"/>
      <c r="AT148" s="31"/>
      <c r="AU148" s="41"/>
      <c r="AV148" s="33"/>
      <c r="AZ148" s="161"/>
      <c r="BB148" s="31" t="str">
        <f>BBDD_TERRENO[[#This Row],[Comuna]]&amp;BBDD_TERRENO[[#This Row],[Identificacion Propiedad]]</f>
        <v>San Pedro de la PazLote A-1</v>
      </c>
    </row>
    <row r="149" spans="1:54" x14ac:dyDescent="0.3">
      <c r="A149" s="31" t="s">
        <v>89</v>
      </c>
      <c r="B149" s="31" t="s">
        <v>80</v>
      </c>
      <c r="C149" s="31" t="s">
        <v>468</v>
      </c>
      <c r="E149" s="42">
        <v>1264.23</v>
      </c>
      <c r="F149" s="31" t="s">
        <v>73</v>
      </c>
      <c r="G149" s="32">
        <v>39380</v>
      </c>
      <c r="H149" s="31" t="s">
        <v>469</v>
      </c>
      <c r="I149" s="83">
        <v>1</v>
      </c>
      <c r="J149" s="83"/>
      <c r="K149" s="83"/>
      <c r="L149" s="83"/>
      <c r="M149" s="83"/>
      <c r="N149" s="83"/>
      <c r="O149" s="83"/>
      <c r="P149" s="31"/>
      <c r="Q149" s="31"/>
      <c r="R149" s="31"/>
      <c r="S149" s="31"/>
      <c r="T149" s="31"/>
      <c r="U149" s="35"/>
      <c r="V149" s="134">
        <v>0</v>
      </c>
      <c r="W149" s="85">
        <v>0</v>
      </c>
      <c r="X149" s="83">
        <v>0</v>
      </c>
      <c r="Y149" s="83">
        <v>0</v>
      </c>
      <c r="Z149" s="83"/>
      <c r="AA149" s="31"/>
      <c r="AB149" s="132"/>
      <c r="AC149" s="83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41"/>
      <c r="AO149" s="41"/>
      <c r="AP149" s="41"/>
      <c r="AQ149" s="41"/>
      <c r="AR149" s="41"/>
      <c r="AS149" s="32"/>
      <c r="AT149" s="31"/>
      <c r="AU149" s="41"/>
      <c r="AV149" s="33"/>
      <c r="AZ149" s="161"/>
      <c r="BB149" s="31" t="str">
        <f>BBDD_TERRENO[[#This Row],[Comuna]]&amp;BBDD_TERRENO[[#This Row],[Identificacion Propiedad]]</f>
        <v>San Pedro de la PazLote D1-3 (PEAS)</v>
      </c>
    </row>
    <row r="150" spans="1:54" x14ac:dyDescent="0.3">
      <c r="A150" s="31" t="s">
        <v>89</v>
      </c>
      <c r="B150" s="31" t="s">
        <v>80</v>
      </c>
      <c r="C150" s="31" t="s">
        <v>470</v>
      </c>
      <c r="E150" s="42">
        <v>45536.01</v>
      </c>
      <c r="F150" s="31" t="s">
        <v>73</v>
      </c>
      <c r="G150" s="32">
        <v>42125</v>
      </c>
      <c r="H150" s="31" t="s">
        <v>471</v>
      </c>
      <c r="I150" s="83">
        <v>1</v>
      </c>
      <c r="J150" s="83"/>
      <c r="K150" s="83"/>
      <c r="L150" s="83"/>
      <c r="M150" s="83"/>
      <c r="N150" s="83"/>
      <c r="O150" s="83"/>
      <c r="P150" s="31"/>
      <c r="Q150" s="31"/>
      <c r="R150" s="31"/>
      <c r="S150" s="31"/>
      <c r="T150" s="31"/>
      <c r="U150" s="35"/>
      <c r="V150" s="134">
        <v>0</v>
      </c>
      <c r="W150" s="85">
        <v>0</v>
      </c>
      <c r="X150" s="83">
        <v>0</v>
      </c>
      <c r="Y150" s="83">
        <v>0</v>
      </c>
      <c r="Z150" s="83"/>
      <c r="AA150" s="31"/>
      <c r="AB150" s="132"/>
      <c r="AC150" s="83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41"/>
      <c r="AO150" s="41"/>
      <c r="AP150" s="41"/>
      <c r="AQ150" s="41"/>
      <c r="AR150" s="41"/>
      <c r="AS150" s="32"/>
      <c r="AT150" s="31"/>
      <c r="AU150" s="41"/>
      <c r="AV150" s="33"/>
      <c r="AZ150" s="161"/>
      <c r="BB150" s="31" t="str">
        <f>BBDD_TERRENO[[#This Row],[Comuna]]&amp;BBDD_TERRENO[[#This Row],[Identificacion Propiedad]]</f>
        <v>San Pedro de la PazLote D2-A</v>
      </c>
    </row>
    <row r="151" spans="1:54" x14ac:dyDescent="0.3">
      <c r="A151" s="31" t="s">
        <v>89</v>
      </c>
      <c r="B151" s="31" t="s">
        <v>80</v>
      </c>
      <c r="C151" s="31" t="s">
        <v>472</v>
      </c>
      <c r="E151" s="42">
        <v>66570.350000000006</v>
      </c>
      <c r="F151" s="31" t="s">
        <v>73</v>
      </c>
      <c r="G151" s="32">
        <v>39163</v>
      </c>
      <c r="H151" s="31" t="s">
        <v>421</v>
      </c>
      <c r="I151" s="83">
        <v>0.9989882883295641</v>
      </c>
      <c r="J151" s="83"/>
      <c r="K151" s="83"/>
      <c r="L151" s="83"/>
      <c r="M151" s="83"/>
      <c r="N151" s="83"/>
      <c r="O151" s="83"/>
      <c r="P151" s="31"/>
      <c r="Q151" s="31"/>
      <c r="R151" s="31"/>
      <c r="S151" s="31"/>
      <c r="T151" s="31"/>
      <c r="U151" s="35"/>
      <c r="V151" s="134">
        <v>0</v>
      </c>
      <c r="W151" s="85">
        <v>0</v>
      </c>
      <c r="X151" s="83">
        <v>0</v>
      </c>
      <c r="Y151" s="83">
        <v>0</v>
      </c>
      <c r="Z151" s="83"/>
      <c r="AA151" s="31"/>
      <c r="AB151" s="132"/>
      <c r="AC151" s="83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41"/>
      <c r="AO151" s="41"/>
      <c r="AP151" s="41"/>
      <c r="AQ151" s="41"/>
      <c r="AR151" s="41"/>
      <c r="AS151" s="32"/>
      <c r="AT151" s="31"/>
      <c r="AU151" s="41"/>
      <c r="AV151" s="33"/>
      <c r="AZ151" s="161"/>
      <c r="BB151" s="31" t="str">
        <f>BBDD_TERRENO[[#This Row],[Comuna]]&amp;BBDD_TERRENO[[#This Row],[Identificacion Propiedad]]</f>
        <v>San Pedro de la PazLote D1-A</v>
      </c>
    </row>
    <row r="152" spans="1:54" x14ac:dyDescent="0.3">
      <c r="A152" s="31" t="s">
        <v>89</v>
      </c>
      <c r="B152" s="31" t="s">
        <v>80</v>
      </c>
      <c r="C152" s="31" t="s">
        <v>473</v>
      </c>
      <c r="E152" s="42">
        <v>54587.1</v>
      </c>
      <c r="F152" s="31" t="s">
        <v>73</v>
      </c>
      <c r="G152" s="32">
        <v>42355</v>
      </c>
      <c r="H152" s="31" t="s">
        <v>474</v>
      </c>
      <c r="I152" s="83">
        <v>0.97858285199250372</v>
      </c>
      <c r="J152" s="83"/>
      <c r="K152" s="83"/>
      <c r="L152" s="83"/>
      <c r="M152" s="83"/>
      <c r="N152" s="83"/>
      <c r="O152" s="83"/>
      <c r="P152" s="31"/>
      <c r="Q152" s="31"/>
      <c r="R152" s="31"/>
      <c r="S152" s="31"/>
      <c r="T152" s="31"/>
      <c r="U152" s="35"/>
      <c r="V152" s="134">
        <v>0</v>
      </c>
      <c r="W152" s="85">
        <v>0</v>
      </c>
      <c r="X152" s="83">
        <v>0</v>
      </c>
      <c r="Y152" s="83">
        <v>0</v>
      </c>
      <c r="Z152" s="83"/>
      <c r="AA152" s="31"/>
      <c r="AB152" s="132"/>
      <c r="AC152" s="83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41"/>
      <c r="AO152" s="41"/>
      <c r="AP152" s="41"/>
      <c r="AQ152" s="41"/>
      <c r="AR152" s="41"/>
      <c r="AS152" s="32"/>
      <c r="AT152" s="31"/>
      <c r="AU152" s="41"/>
      <c r="AV152" s="33"/>
      <c r="AZ152" s="161"/>
      <c r="BB152" s="31" t="str">
        <f>BBDD_TERRENO[[#This Row],[Comuna]]&amp;BBDD_TERRENO[[#This Row],[Identificacion Propiedad]]</f>
        <v>San Pedro de la PazLote C1-A, C1-B</v>
      </c>
    </row>
    <row r="153" spans="1:54" x14ac:dyDescent="0.3">
      <c r="A153" s="31" t="s">
        <v>89</v>
      </c>
      <c r="B153" s="31" t="s">
        <v>80</v>
      </c>
      <c r="C153" s="31" t="s">
        <v>317</v>
      </c>
      <c r="E153" s="42">
        <v>332.03</v>
      </c>
      <c r="F153" s="31" t="s">
        <v>73</v>
      </c>
      <c r="G153" s="32">
        <v>42726</v>
      </c>
      <c r="H153" s="31" t="s">
        <v>117</v>
      </c>
      <c r="I153" s="83">
        <v>0.9562256979371736</v>
      </c>
      <c r="J153" s="83"/>
      <c r="K153" s="83"/>
      <c r="L153" s="83"/>
      <c r="M153" s="83"/>
      <c r="N153" s="83"/>
      <c r="O153" s="83"/>
      <c r="P153" s="31"/>
      <c r="Q153" s="31"/>
      <c r="R153" s="31"/>
      <c r="S153" s="31"/>
      <c r="T153" s="31"/>
      <c r="U153" s="35"/>
      <c r="V153" s="134">
        <v>0</v>
      </c>
      <c r="W153" s="85">
        <v>0</v>
      </c>
      <c r="X153" s="83">
        <v>0</v>
      </c>
      <c r="Y153" s="83">
        <v>0</v>
      </c>
      <c r="Z153" s="83"/>
      <c r="AA153" s="31"/>
      <c r="AB153" s="132"/>
      <c r="AC153" s="83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41"/>
      <c r="AO153" s="41"/>
      <c r="AP153" s="41"/>
      <c r="AQ153" s="41"/>
      <c r="AR153" s="41"/>
      <c r="AS153" s="32"/>
      <c r="AT153" s="31"/>
      <c r="AU153" s="41"/>
      <c r="AV153" s="33"/>
      <c r="AZ153" s="161"/>
      <c r="BB153" s="31" t="str">
        <f>BBDD_TERRENO[[#This Row],[Comuna]]&amp;BBDD_TERRENO[[#This Row],[Identificacion Propiedad]]</f>
        <v>San Pedro de la PazExpropiacion</v>
      </c>
    </row>
    <row r="154" spans="1:54" x14ac:dyDescent="0.3">
      <c r="A154" s="31" t="s">
        <v>89</v>
      </c>
      <c r="B154" s="31" t="s">
        <v>80</v>
      </c>
      <c r="C154" s="31" t="s">
        <v>466</v>
      </c>
      <c r="E154" s="42">
        <v>67451.98</v>
      </c>
      <c r="F154" s="31" t="s">
        <v>73</v>
      </c>
      <c r="G154" s="32">
        <v>43557</v>
      </c>
      <c r="H154" s="31" t="s">
        <v>475</v>
      </c>
      <c r="I154" s="83">
        <v>0.92471177273076344</v>
      </c>
      <c r="J154" s="83"/>
      <c r="K154" s="83"/>
      <c r="L154" s="83"/>
      <c r="M154" s="83"/>
      <c r="N154" s="83"/>
      <c r="O154" s="83"/>
      <c r="P154" s="31"/>
      <c r="Q154" s="31"/>
      <c r="R154" s="31"/>
      <c r="S154" s="31"/>
      <c r="T154" s="31"/>
      <c r="U154" s="35"/>
      <c r="V154" s="134">
        <v>0</v>
      </c>
      <c r="W154" s="85">
        <v>0</v>
      </c>
      <c r="X154" s="83">
        <v>0</v>
      </c>
      <c r="Y154" s="83">
        <v>0</v>
      </c>
      <c r="Z154" s="83"/>
      <c r="AA154" s="31"/>
      <c r="AB154" s="132"/>
      <c r="AC154" s="83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41"/>
      <c r="AO154" s="41"/>
      <c r="AP154" s="41"/>
      <c r="AQ154" s="41"/>
      <c r="AR154" s="41"/>
      <c r="AS154" s="32"/>
      <c r="AT154" s="31"/>
      <c r="AU154" s="41"/>
      <c r="AV154" s="33"/>
      <c r="AZ154" s="161"/>
      <c r="BB154" s="31" t="str">
        <f>BBDD_TERRENO[[#This Row],[Comuna]]&amp;BBDD_TERRENO[[#This Row],[Identificacion Propiedad]]</f>
        <v>San Pedro de la PazLote D2-B</v>
      </c>
    </row>
    <row r="155" spans="1:54" x14ac:dyDescent="0.3">
      <c r="A155" s="31" t="s">
        <v>89</v>
      </c>
      <c r="B155" s="31" t="s">
        <v>80</v>
      </c>
      <c r="C155" s="31" t="s">
        <v>317</v>
      </c>
      <c r="E155" s="42">
        <v>945.47</v>
      </c>
      <c r="F155" s="31" t="s">
        <v>73</v>
      </c>
      <c r="G155" s="32">
        <v>42887</v>
      </c>
      <c r="H155" s="31" t="s">
        <v>117</v>
      </c>
      <c r="I155" s="83">
        <v>0.86821264228112549</v>
      </c>
      <c r="J155" s="83"/>
      <c r="K155" s="83"/>
      <c r="L155" s="83"/>
      <c r="M155" s="83"/>
      <c r="N155" s="83"/>
      <c r="O155" s="83"/>
      <c r="P155" s="31"/>
      <c r="Q155" s="31"/>
      <c r="R155" s="31"/>
      <c r="S155" s="31"/>
      <c r="T155" s="31"/>
      <c r="U155" s="35"/>
      <c r="V155" s="134">
        <v>0</v>
      </c>
      <c r="W155" s="85">
        <v>0</v>
      </c>
      <c r="X155" s="83">
        <v>0</v>
      </c>
      <c r="Y155" s="83">
        <v>0</v>
      </c>
      <c r="Z155" s="83"/>
      <c r="AA155" s="31"/>
      <c r="AB155" s="132"/>
      <c r="AC155" s="83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41"/>
      <c r="AO155" s="41"/>
      <c r="AP155" s="41"/>
      <c r="AQ155" s="41"/>
      <c r="AR155" s="41"/>
      <c r="AS155" s="32"/>
      <c r="AT155" s="31"/>
      <c r="AU155" s="41"/>
      <c r="AV155" s="33"/>
      <c r="AZ155" s="161"/>
      <c r="BB155" s="31" t="str">
        <f>BBDD_TERRENO[[#This Row],[Comuna]]&amp;BBDD_TERRENO[[#This Row],[Identificacion Propiedad]]</f>
        <v>San Pedro de la PazExpropiacion</v>
      </c>
    </row>
    <row r="156" spans="1:54" x14ac:dyDescent="0.3">
      <c r="A156" s="31" t="s">
        <v>89</v>
      </c>
      <c r="B156" s="31" t="s">
        <v>80</v>
      </c>
      <c r="C156" s="31" t="s">
        <v>317</v>
      </c>
      <c r="E156" s="42">
        <v>36395.160000000003</v>
      </c>
      <c r="F156" s="31" t="s">
        <v>73</v>
      </c>
      <c r="G156" s="32">
        <v>42726</v>
      </c>
      <c r="H156" s="31" t="s">
        <v>117</v>
      </c>
      <c r="I156" s="83">
        <v>0.85153233387946869</v>
      </c>
      <c r="J156" s="83"/>
      <c r="K156" s="83"/>
      <c r="L156" s="83"/>
      <c r="M156" s="83"/>
      <c r="N156" s="83"/>
      <c r="O156" s="83"/>
      <c r="P156" s="31"/>
      <c r="Q156" s="31"/>
      <c r="R156" s="31"/>
      <c r="S156" s="31"/>
      <c r="T156" s="31"/>
      <c r="U156" s="35"/>
      <c r="V156" s="134">
        <v>0</v>
      </c>
      <c r="W156" s="85">
        <v>0</v>
      </c>
      <c r="X156" s="83">
        <v>0</v>
      </c>
      <c r="Y156" s="83">
        <v>0</v>
      </c>
      <c r="Z156" s="83"/>
      <c r="AA156" s="31"/>
      <c r="AB156" s="132"/>
      <c r="AC156" s="83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41"/>
      <c r="AO156" s="41"/>
      <c r="AP156" s="41"/>
      <c r="AQ156" s="41"/>
      <c r="AR156" s="41"/>
      <c r="AS156" s="32"/>
      <c r="AT156" s="31"/>
      <c r="AU156" s="41"/>
      <c r="AV156" s="33"/>
      <c r="AZ156" s="161"/>
      <c r="BB156" s="31" t="str">
        <f>BBDD_TERRENO[[#This Row],[Comuna]]&amp;BBDD_TERRENO[[#This Row],[Identificacion Propiedad]]</f>
        <v>San Pedro de la PazExpropiacion</v>
      </c>
    </row>
    <row r="157" spans="1:54" x14ac:dyDescent="0.3">
      <c r="A157" s="31" t="s">
        <v>89</v>
      </c>
      <c r="B157" s="31" t="s">
        <v>80</v>
      </c>
      <c r="C157" s="31" t="s">
        <v>463</v>
      </c>
      <c r="E157" s="42">
        <v>53340</v>
      </c>
      <c r="F157" s="31" t="s">
        <v>73</v>
      </c>
      <c r="G157" s="32">
        <v>43579</v>
      </c>
      <c r="H157" s="31" t="s">
        <v>464</v>
      </c>
      <c r="I157" s="83">
        <v>0.85</v>
      </c>
      <c r="J157" s="83"/>
      <c r="K157" s="83"/>
      <c r="L157" s="83"/>
      <c r="M157" s="83"/>
      <c r="N157" s="83"/>
      <c r="O157" s="83"/>
      <c r="P157" s="31"/>
      <c r="Q157" s="31"/>
      <c r="R157" s="31"/>
      <c r="S157" s="31"/>
      <c r="T157" s="31"/>
      <c r="U157" s="35"/>
      <c r="V157" s="134">
        <v>0</v>
      </c>
      <c r="W157" s="85">
        <v>0</v>
      </c>
      <c r="X157" s="83">
        <v>0</v>
      </c>
      <c r="Y157" s="83">
        <v>0</v>
      </c>
      <c r="Z157" s="83"/>
      <c r="AA157" s="31"/>
      <c r="AB157" s="132"/>
      <c r="AC157" s="83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41"/>
      <c r="AO157" s="41"/>
      <c r="AP157" s="41"/>
      <c r="AQ157" s="41"/>
      <c r="AR157" s="41"/>
      <c r="AS157" s="32"/>
      <c r="AT157" s="31"/>
      <c r="AU157" s="41"/>
      <c r="AV157" s="33"/>
      <c r="AZ157" s="161"/>
      <c r="BB157" s="31" t="str">
        <f>BBDD_TERRENO[[#This Row],[Comuna]]&amp;BBDD_TERRENO[[#This Row],[Identificacion Propiedad]]</f>
        <v>San Pedro de la PazLote D2-C-1</v>
      </c>
    </row>
    <row r="158" spans="1:54" x14ac:dyDescent="0.3">
      <c r="A158" s="31" t="s">
        <v>89</v>
      </c>
      <c r="B158" s="31" t="s">
        <v>80</v>
      </c>
      <c r="C158" s="31" t="s">
        <v>465</v>
      </c>
      <c r="E158" s="42">
        <v>35337</v>
      </c>
      <c r="F158" s="31" t="s">
        <v>73</v>
      </c>
      <c r="G158" s="32">
        <v>43579</v>
      </c>
      <c r="H158" s="31" t="s">
        <v>464</v>
      </c>
      <c r="I158" s="83">
        <v>0.84998726547245096</v>
      </c>
      <c r="J158" s="83"/>
      <c r="K158" s="83"/>
      <c r="L158" s="83"/>
      <c r="M158" s="83"/>
      <c r="N158" s="83"/>
      <c r="O158" s="83"/>
      <c r="P158" s="31"/>
      <c r="Q158" s="31"/>
      <c r="R158" s="31"/>
      <c r="S158" s="31"/>
      <c r="T158" s="31"/>
      <c r="U158" s="35"/>
      <c r="V158" s="134">
        <v>0</v>
      </c>
      <c r="W158" s="85">
        <v>0</v>
      </c>
      <c r="X158" s="83">
        <v>0</v>
      </c>
      <c r="Y158" s="83">
        <v>0</v>
      </c>
      <c r="Z158" s="83"/>
      <c r="AA158" s="31"/>
      <c r="AB158" s="132"/>
      <c r="AC158" s="83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41"/>
      <c r="AO158" s="41"/>
      <c r="AP158" s="41"/>
      <c r="AQ158" s="41"/>
      <c r="AR158" s="41"/>
      <c r="AS158" s="32"/>
      <c r="AT158" s="31"/>
      <c r="AU158" s="41"/>
      <c r="AV158" s="33"/>
      <c r="AZ158" s="161"/>
      <c r="BB158" s="31" t="str">
        <f>BBDD_TERRENO[[#This Row],[Comuna]]&amp;BBDD_TERRENO[[#This Row],[Identificacion Propiedad]]</f>
        <v>San Pedro de la PazLote D2-C-3</v>
      </c>
    </row>
    <row r="159" spans="1:54" x14ac:dyDescent="0.3">
      <c r="A159" s="31" t="s">
        <v>89</v>
      </c>
      <c r="B159" s="31" t="s">
        <v>80</v>
      </c>
      <c r="C159" s="31" t="s">
        <v>476</v>
      </c>
      <c r="E159" s="42">
        <v>19648.560000000001</v>
      </c>
      <c r="F159" s="31" t="s">
        <v>73</v>
      </c>
      <c r="G159" s="32">
        <v>38639</v>
      </c>
      <c r="H159" s="31" t="s">
        <v>347</v>
      </c>
      <c r="I159" s="83">
        <v>0.83645773532513312</v>
      </c>
      <c r="J159" s="83"/>
      <c r="K159" s="83"/>
      <c r="L159" s="83"/>
      <c r="M159" s="83"/>
      <c r="N159" s="83"/>
      <c r="O159" s="83"/>
      <c r="P159" s="31"/>
      <c r="Q159" s="31"/>
      <c r="R159" s="31"/>
      <c r="S159" s="31"/>
      <c r="T159" s="31"/>
      <c r="U159" s="35"/>
      <c r="V159" s="134">
        <v>0</v>
      </c>
      <c r="W159" s="85">
        <v>0</v>
      </c>
      <c r="X159" s="83">
        <v>0</v>
      </c>
      <c r="Y159" s="83">
        <v>0</v>
      </c>
      <c r="Z159" s="83"/>
      <c r="AA159" s="31"/>
      <c r="AB159" s="132"/>
      <c r="AC159" s="83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41"/>
      <c r="AO159" s="41"/>
      <c r="AP159" s="41"/>
      <c r="AQ159" s="41"/>
      <c r="AR159" s="41"/>
      <c r="AS159" s="32"/>
      <c r="AT159" s="31"/>
      <c r="AU159" s="41"/>
      <c r="AV159" s="33"/>
      <c r="AZ159" s="161"/>
      <c r="BB159" s="31" t="str">
        <f>BBDD_TERRENO[[#This Row],[Comuna]]&amp;BBDD_TERRENO[[#This Row],[Identificacion Propiedad]]</f>
        <v>San Pedro de la PazLote E-2</v>
      </c>
    </row>
    <row r="160" spans="1:54" x14ac:dyDescent="0.3">
      <c r="A160" s="31" t="s">
        <v>89</v>
      </c>
      <c r="B160" s="31" t="s">
        <v>80</v>
      </c>
      <c r="C160" s="31" t="s">
        <v>477</v>
      </c>
      <c r="E160" s="42">
        <v>97312.17</v>
      </c>
      <c r="F160" s="31" t="s">
        <v>73</v>
      </c>
      <c r="G160" s="32">
        <v>39014</v>
      </c>
      <c r="H160" s="31" t="s">
        <v>351</v>
      </c>
      <c r="I160" s="83">
        <v>0.82659229570155512</v>
      </c>
      <c r="J160" s="83"/>
      <c r="K160" s="83"/>
      <c r="L160" s="83"/>
      <c r="M160" s="83"/>
      <c r="N160" s="83"/>
      <c r="O160" s="83"/>
      <c r="P160" s="31"/>
      <c r="Q160" s="31"/>
      <c r="R160" s="31"/>
      <c r="S160" s="31"/>
      <c r="T160" s="31"/>
      <c r="U160" s="35"/>
      <c r="V160" s="134">
        <v>0</v>
      </c>
      <c r="W160" s="85">
        <v>0</v>
      </c>
      <c r="X160" s="83">
        <v>0</v>
      </c>
      <c r="Y160" s="83">
        <v>0</v>
      </c>
      <c r="Z160" s="83"/>
      <c r="AA160" s="31"/>
      <c r="AB160" s="132"/>
      <c r="AC160" s="83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41"/>
      <c r="AO160" s="41"/>
      <c r="AP160" s="41"/>
      <c r="AQ160" s="41"/>
      <c r="AR160" s="41"/>
      <c r="AS160" s="32"/>
      <c r="AT160" s="31"/>
      <c r="AU160" s="41"/>
      <c r="AV160" s="33"/>
      <c r="AZ160" s="161"/>
      <c r="BB160" s="31" t="str">
        <f>BBDD_TERRENO[[#This Row],[Comuna]]&amp;BBDD_TERRENO[[#This Row],[Identificacion Propiedad]]</f>
        <v>San Pedro de la PazLote B2-A</v>
      </c>
    </row>
    <row r="161" spans="1:54" x14ac:dyDescent="0.3">
      <c r="A161" s="31" t="s">
        <v>89</v>
      </c>
      <c r="B161" s="31" t="s">
        <v>80</v>
      </c>
      <c r="C161" s="31" t="s">
        <v>317</v>
      </c>
      <c r="E161" s="42">
        <v>6041.9</v>
      </c>
      <c r="F161" s="31" t="s">
        <v>73</v>
      </c>
      <c r="G161" s="32">
        <v>42676</v>
      </c>
      <c r="H161" s="31" t="s">
        <v>117</v>
      </c>
      <c r="I161" s="83">
        <v>0.79415245423914949</v>
      </c>
      <c r="J161" s="83"/>
      <c r="K161" s="83"/>
      <c r="L161" s="83"/>
      <c r="M161" s="83"/>
      <c r="N161" s="83"/>
      <c r="O161" s="83"/>
      <c r="P161" s="31"/>
      <c r="Q161" s="31"/>
      <c r="R161" s="31"/>
      <c r="S161" s="31"/>
      <c r="T161" s="31"/>
      <c r="U161" s="35"/>
      <c r="V161" s="134">
        <v>0</v>
      </c>
      <c r="W161" s="85">
        <v>0</v>
      </c>
      <c r="X161" s="83">
        <v>0</v>
      </c>
      <c r="Y161" s="83">
        <v>0</v>
      </c>
      <c r="Z161" s="83"/>
      <c r="AA161" s="31"/>
      <c r="AB161" s="132"/>
      <c r="AC161" s="83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41"/>
      <c r="AO161" s="41"/>
      <c r="AP161" s="41"/>
      <c r="AQ161" s="41"/>
      <c r="AR161" s="41"/>
      <c r="AS161" s="32"/>
      <c r="AT161" s="31"/>
      <c r="AU161" s="41"/>
      <c r="AV161" s="33"/>
      <c r="AZ161" s="161"/>
      <c r="BB161" s="31" t="str">
        <f>BBDD_TERRENO[[#This Row],[Comuna]]&amp;BBDD_TERRENO[[#This Row],[Identificacion Propiedad]]</f>
        <v>San Pedro de la PazExpropiacion</v>
      </c>
    </row>
    <row r="162" spans="1:54" x14ac:dyDescent="0.3">
      <c r="A162" s="31" t="s">
        <v>89</v>
      </c>
      <c r="B162" s="31" t="s">
        <v>80</v>
      </c>
      <c r="C162" s="31" t="s">
        <v>317</v>
      </c>
      <c r="E162" s="42">
        <v>5632.3</v>
      </c>
      <c r="F162" s="31" t="s">
        <v>73</v>
      </c>
      <c r="G162" s="32">
        <v>42689</v>
      </c>
      <c r="H162" s="31" t="s">
        <v>117</v>
      </c>
      <c r="I162" s="83">
        <v>0.76804222112407172</v>
      </c>
      <c r="J162" s="83"/>
      <c r="K162" s="83"/>
      <c r="L162" s="83"/>
      <c r="M162" s="83"/>
      <c r="N162" s="83"/>
      <c r="O162" s="83"/>
      <c r="P162" s="31"/>
      <c r="Q162" s="31"/>
      <c r="R162" s="31"/>
      <c r="S162" s="31"/>
      <c r="T162" s="31"/>
      <c r="U162" s="35"/>
      <c r="V162" s="134">
        <v>0</v>
      </c>
      <c r="W162" s="85">
        <v>0</v>
      </c>
      <c r="X162" s="83">
        <v>0</v>
      </c>
      <c r="Y162" s="83">
        <v>0</v>
      </c>
      <c r="Z162" s="83"/>
      <c r="AA162" s="31"/>
      <c r="AB162" s="132"/>
      <c r="AC162" s="83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41"/>
      <c r="AO162" s="41"/>
      <c r="AP162" s="41"/>
      <c r="AQ162" s="41"/>
      <c r="AR162" s="41"/>
      <c r="AS162" s="32"/>
      <c r="AT162" s="31"/>
      <c r="AU162" s="41"/>
      <c r="AV162" s="33"/>
      <c r="AZ162" s="161"/>
      <c r="BB162" s="31" t="str">
        <f>BBDD_TERRENO[[#This Row],[Comuna]]&amp;BBDD_TERRENO[[#This Row],[Identificacion Propiedad]]</f>
        <v>San Pedro de la PazExpropiacion</v>
      </c>
    </row>
    <row r="163" spans="1:54" x14ac:dyDescent="0.3">
      <c r="A163" s="31" t="s">
        <v>89</v>
      </c>
      <c r="B163" s="31" t="s">
        <v>80</v>
      </c>
      <c r="C163" s="31" t="s">
        <v>478</v>
      </c>
      <c r="E163" s="42">
        <v>13411.9</v>
      </c>
      <c r="F163" s="31" t="s">
        <v>73</v>
      </c>
      <c r="G163" s="32">
        <v>39282</v>
      </c>
      <c r="H163" s="31" t="s">
        <v>421</v>
      </c>
      <c r="I163" s="83">
        <v>0.75157136572745098</v>
      </c>
      <c r="J163" s="83"/>
      <c r="K163" s="83"/>
      <c r="L163" s="83"/>
      <c r="M163" s="83"/>
      <c r="N163" s="83"/>
      <c r="O163" s="83"/>
      <c r="P163" s="31"/>
      <c r="Q163" s="31"/>
      <c r="R163" s="31"/>
      <c r="S163" s="31"/>
      <c r="T163" s="31"/>
      <c r="U163" s="35"/>
      <c r="V163" s="134">
        <v>0</v>
      </c>
      <c r="W163" s="85">
        <v>0</v>
      </c>
      <c r="X163" s="83">
        <v>0</v>
      </c>
      <c r="Y163" s="83">
        <v>0</v>
      </c>
      <c r="Z163" s="83"/>
      <c r="AA163" s="31"/>
      <c r="AB163" s="132"/>
      <c r="AC163" s="83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41"/>
      <c r="AO163" s="41"/>
      <c r="AP163" s="41"/>
      <c r="AQ163" s="41"/>
      <c r="AR163" s="41"/>
      <c r="AS163" s="32"/>
      <c r="AT163" s="31"/>
      <c r="AU163" s="41"/>
      <c r="AV163" s="33"/>
      <c r="AZ163" s="161"/>
      <c r="BB163" s="31" t="str">
        <f>BBDD_TERRENO[[#This Row],[Comuna]]&amp;BBDD_TERRENO[[#This Row],[Identificacion Propiedad]]</f>
        <v>San Pedro de la PazLote D1-B</v>
      </c>
    </row>
    <row r="164" spans="1:54" x14ac:dyDescent="0.3">
      <c r="A164" s="31" t="s">
        <v>89</v>
      </c>
      <c r="B164" s="31" t="s">
        <v>80</v>
      </c>
      <c r="C164" s="31" t="s">
        <v>479</v>
      </c>
      <c r="E164" s="42">
        <v>66221.02</v>
      </c>
      <c r="F164" s="31" t="s">
        <v>73</v>
      </c>
      <c r="G164" s="32">
        <v>38351</v>
      </c>
      <c r="H164" s="31" t="s">
        <v>480</v>
      </c>
      <c r="I164" s="83">
        <v>0.75058006854940296</v>
      </c>
      <c r="J164" s="83"/>
      <c r="K164" s="83"/>
      <c r="L164" s="83"/>
      <c r="M164" s="83"/>
      <c r="N164" s="83"/>
      <c r="O164" s="83"/>
      <c r="P164" s="31"/>
      <c r="Q164" s="31"/>
      <c r="R164" s="31"/>
      <c r="S164" s="31"/>
      <c r="T164" s="31"/>
      <c r="U164" s="35"/>
      <c r="V164" s="134">
        <v>0</v>
      </c>
      <c r="W164" s="85">
        <v>0</v>
      </c>
      <c r="X164" s="83">
        <v>0</v>
      </c>
      <c r="Y164" s="83">
        <v>0</v>
      </c>
      <c r="Z164" s="83"/>
      <c r="AA164" s="31"/>
      <c r="AB164" s="132"/>
      <c r="AC164" s="83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41"/>
      <c r="AO164" s="41"/>
      <c r="AP164" s="41"/>
      <c r="AQ164" s="41"/>
      <c r="AR164" s="41"/>
      <c r="AS164" s="32"/>
      <c r="AT164" s="31"/>
      <c r="AU164" s="41"/>
      <c r="AV164" s="33"/>
      <c r="AZ164" s="161"/>
      <c r="BB164" s="31" t="str">
        <f>BBDD_TERRENO[[#This Row],[Comuna]]&amp;BBDD_TERRENO[[#This Row],[Identificacion Propiedad]]</f>
        <v>San Pedro de la PazLote C6-1-A</v>
      </c>
    </row>
    <row r="165" spans="1:54" x14ac:dyDescent="0.3">
      <c r="A165" s="31" t="s">
        <v>89</v>
      </c>
      <c r="B165" s="31" t="s">
        <v>80</v>
      </c>
      <c r="C165" s="31" t="s">
        <v>481</v>
      </c>
      <c r="E165" s="42">
        <v>17314.310000000001</v>
      </c>
      <c r="F165" s="31" t="s">
        <v>73</v>
      </c>
      <c r="G165" s="32">
        <v>38960</v>
      </c>
      <c r="H165" s="31" t="s">
        <v>482</v>
      </c>
      <c r="I165" s="83">
        <v>0.69304581008425981</v>
      </c>
      <c r="J165" s="83"/>
      <c r="K165" s="83"/>
      <c r="L165" s="83"/>
      <c r="M165" s="83"/>
      <c r="N165" s="83"/>
      <c r="O165" s="83"/>
      <c r="P165" s="31"/>
      <c r="Q165" s="31"/>
      <c r="R165" s="31"/>
      <c r="S165" s="31"/>
      <c r="T165" s="31"/>
      <c r="U165" s="35"/>
      <c r="V165" s="134">
        <v>0</v>
      </c>
      <c r="W165" s="85">
        <v>0</v>
      </c>
      <c r="X165" s="83">
        <v>0</v>
      </c>
      <c r="Y165" s="83">
        <v>0</v>
      </c>
      <c r="Z165" s="83"/>
      <c r="AA165" s="31"/>
      <c r="AB165" s="132"/>
      <c r="AC165" s="83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41"/>
      <c r="AO165" s="41"/>
      <c r="AP165" s="41"/>
      <c r="AQ165" s="41"/>
      <c r="AR165" s="41"/>
      <c r="AS165" s="32"/>
      <c r="AT165" s="31"/>
      <c r="AU165" s="41"/>
      <c r="AV165" s="33"/>
      <c r="AZ165" s="161"/>
      <c r="BB165" s="31" t="str">
        <f>BBDD_TERRENO[[#This Row],[Comuna]]&amp;BBDD_TERRENO[[#This Row],[Identificacion Propiedad]]</f>
        <v>San Pedro de la PazLote D1-6-2</v>
      </c>
    </row>
    <row r="166" spans="1:54" x14ac:dyDescent="0.3">
      <c r="A166" s="31" t="s">
        <v>89</v>
      </c>
      <c r="B166" s="31" t="s">
        <v>80</v>
      </c>
      <c r="C166" s="31" t="s">
        <v>483</v>
      </c>
      <c r="E166" s="42">
        <v>8233.24</v>
      </c>
      <c r="F166" s="31" t="s">
        <v>73</v>
      </c>
      <c r="G166" s="32">
        <v>37320</v>
      </c>
      <c r="H166" s="31" t="s">
        <v>103</v>
      </c>
      <c r="I166" s="83">
        <v>0.67626353659069827</v>
      </c>
      <c r="J166" s="83"/>
      <c r="K166" s="83"/>
      <c r="L166" s="83"/>
      <c r="M166" s="83"/>
      <c r="N166" s="83"/>
      <c r="O166" s="83"/>
      <c r="P166" s="31"/>
      <c r="Q166" s="31"/>
      <c r="R166" s="31"/>
      <c r="S166" s="31"/>
      <c r="T166" s="31"/>
      <c r="U166" s="35"/>
      <c r="V166" s="134">
        <v>0</v>
      </c>
      <c r="W166" s="85">
        <v>0</v>
      </c>
      <c r="X166" s="83">
        <v>0</v>
      </c>
      <c r="Y166" s="83">
        <v>0</v>
      </c>
      <c r="Z166" s="83"/>
      <c r="AA166" s="31"/>
      <c r="AB166" s="132"/>
      <c r="AC166" s="83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41"/>
      <c r="AO166" s="41"/>
      <c r="AP166" s="41"/>
      <c r="AQ166" s="41"/>
      <c r="AR166" s="41"/>
      <c r="AS166" s="32"/>
      <c r="AT166" s="31"/>
      <c r="AU166" s="41"/>
      <c r="AV166" s="33"/>
      <c r="AZ166" s="161"/>
      <c r="BB166" s="31" t="str">
        <f>BBDD_TERRENO[[#This Row],[Comuna]]&amp;BBDD_TERRENO[[#This Row],[Identificacion Propiedad]]</f>
        <v>San Pedro de la PazLote G-2</v>
      </c>
    </row>
    <row r="167" spans="1:54" x14ac:dyDescent="0.3">
      <c r="A167" s="31" t="s">
        <v>89</v>
      </c>
      <c r="B167" s="31" t="s">
        <v>80</v>
      </c>
      <c r="C167" s="31" t="s">
        <v>484</v>
      </c>
      <c r="E167" s="42">
        <v>18769.900000000001</v>
      </c>
      <c r="F167" s="31" t="s">
        <v>73</v>
      </c>
      <c r="G167" s="32">
        <v>39014</v>
      </c>
      <c r="H167" s="31" t="s">
        <v>351</v>
      </c>
      <c r="I167" s="83">
        <v>0.64483774553940088</v>
      </c>
      <c r="J167" s="83"/>
      <c r="K167" s="83"/>
      <c r="L167" s="83"/>
      <c r="M167" s="83"/>
      <c r="N167" s="83"/>
      <c r="O167" s="83"/>
      <c r="P167" s="31"/>
      <c r="Q167" s="31"/>
      <c r="R167" s="31"/>
      <c r="S167" s="31"/>
      <c r="T167" s="31"/>
      <c r="U167" s="35"/>
      <c r="V167" s="134">
        <v>0</v>
      </c>
      <c r="W167" s="85">
        <v>0</v>
      </c>
      <c r="X167" s="83">
        <v>0</v>
      </c>
      <c r="Y167" s="83">
        <v>0</v>
      </c>
      <c r="Z167" s="83"/>
      <c r="AA167" s="31"/>
      <c r="AB167" s="132"/>
      <c r="AC167" s="83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41"/>
      <c r="AO167" s="41"/>
      <c r="AP167" s="41"/>
      <c r="AQ167" s="41"/>
      <c r="AR167" s="41"/>
      <c r="AS167" s="32"/>
      <c r="AT167" s="31"/>
      <c r="AU167" s="41"/>
      <c r="AV167" s="33"/>
      <c r="AZ167" s="161"/>
      <c r="BB167" s="31" t="str">
        <f>BBDD_TERRENO[[#This Row],[Comuna]]&amp;BBDD_TERRENO[[#This Row],[Identificacion Propiedad]]</f>
        <v>San Pedro de la PazLote E-6</v>
      </c>
    </row>
    <row r="168" spans="1:54" x14ac:dyDescent="0.3">
      <c r="A168" s="31" t="s">
        <v>89</v>
      </c>
      <c r="B168" s="31" t="s">
        <v>80</v>
      </c>
      <c r="C168" s="31" t="s">
        <v>485</v>
      </c>
      <c r="E168" s="42">
        <v>20400.599999999999</v>
      </c>
      <c r="F168" s="31" t="s">
        <v>73</v>
      </c>
      <c r="G168" s="32">
        <v>39014</v>
      </c>
      <c r="H168" s="31" t="s">
        <v>351</v>
      </c>
      <c r="I168" s="83">
        <v>0.63912630020685668</v>
      </c>
      <c r="J168" s="83"/>
      <c r="K168" s="83"/>
      <c r="L168" s="83"/>
      <c r="M168" s="83"/>
      <c r="N168" s="83"/>
      <c r="O168" s="83"/>
      <c r="P168" s="31"/>
      <c r="Q168" s="31"/>
      <c r="R168" s="31"/>
      <c r="S168" s="31"/>
      <c r="T168" s="31"/>
      <c r="U168" s="35"/>
      <c r="V168" s="134">
        <v>0</v>
      </c>
      <c r="W168" s="85">
        <v>0</v>
      </c>
      <c r="X168" s="83">
        <v>0</v>
      </c>
      <c r="Y168" s="83">
        <v>0</v>
      </c>
      <c r="Z168" s="83"/>
      <c r="AA168" s="31"/>
      <c r="AB168" s="132"/>
      <c r="AC168" s="83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41"/>
      <c r="AO168" s="41"/>
      <c r="AP168" s="41"/>
      <c r="AQ168" s="41"/>
      <c r="AR168" s="41"/>
      <c r="AS168" s="32"/>
      <c r="AT168" s="31"/>
      <c r="AU168" s="41"/>
      <c r="AV168" s="33"/>
      <c r="AZ168" s="161"/>
      <c r="BB168" s="31" t="str">
        <f>BBDD_TERRENO[[#This Row],[Comuna]]&amp;BBDD_TERRENO[[#This Row],[Identificacion Propiedad]]</f>
        <v>San Pedro de la PazLote E-8</v>
      </c>
    </row>
    <row r="169" spans="1:54" x14ac:dyDescent="0.3">
      <c r="A169" s="31" t="s">
        <v>89</v>
      </c>
      <c r="B169" s="31" t="s">
        <v>80</v>
      </c>
      <c r="C169" s="31" t="s">
        <v>486</v>
      </c>
      <c r="E169" s="42">
        <v>109436.52</v>
      </c>
      <c r="F169" s="31" t="s">
        <v>73</v>
      </c>
      <c r="G169" s="32">
        <v>38351</v>
      </c>
      <c r="H169" s="31" t="s">
        <v>480</v>
      </c>
      <c r="I169" s="83">
        <v>0.6335028745431599</v>
      </c>
      <c r="J169" s="83"/>
      <c r="K169" s="83"/>
      <c r="L169" s="83"/>
      <c r="M169" s="83"/>
      <c r="N169" s="83"/>
      <c r="O169" s="83"/>
      <c r="P169" s="31"/>
      <c r="Q169" s="31"/>
      <c r="R169" s="31"/>
      <c r="S169" s="31"/>
      <c r="T169" s="31"/>
      <c r="U169" s="35"/>
      <c r="V169" s="134">
        <v>0</v>
      </c>
      <c r="W169" s="85">
        <v>0</v>
      </c>
      <c r="X169" s="83">
        <v>0</v>
      </c>
      <c r="Y169" s="83">
        <v>0</v>
      </c>
      <c r="Z169" s="83"/>
      <c r="AA169" s="31"/>
      <c r="AB169" s="132"/>
      <c r="AC169" s="83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41"/>
      <c r="AO169" s="41"/>
      <c r="AP169" s="41"/>
      <c r="AQ169" s="41"/>
      <c r="AR169" s="41"/>
      <c r="AS169" s="32"/>
      <c r="AT169" s="31"/>
      <c r="AU169" s="41"/>
      <c r="AV169" s="33"/>
      <c r="AZ169" s="161"/>
      <c r="BB169" s="31" t="str">
        <f>BBDD_TERRENO[[#This Row],[Comuna]]&amp;BBDD_TERRENO[[#This Row],[Identificacion Propiedad]]</f>
        <v>San Pedro de la PazLote D1-2-1</v>
      </c>
    </row>
    <row r="170" spans="1:54" x14ac:dyDescent="0.3">
      <c r="A170" s="31" t="s">
        <v>89</v>
      </c>
      <c r="B170" s="31" t="s">
        <v>80</v>
      </c>
      <c r="C170" s="31" t="s">
        <v>487</v>
      </c>
      <c r="E170" s="42">
        <v>91575.49</v>
      </c>
      <c r="F170" s="31" t="s">
        <v>73</v>
      </c>
      <c r="G170" s="32">
        <v>38351</v>
      </c>
      <c r="H170" s="31" t="s">
        <v>480</v>
      </c>
      <c r="I170" s="83">
        <v>0.51999994758422807</v>
      </c>
      <c r="J170" s="83"/>
      <c r="K170" s="83"/>
      <c r="L170" s="83"/>
      <c r="M170" s="83"/>
      <c r="N170" s="83"/>
      <c r="O170" s="83"/>
      <c r="P170" s="31"/>
      <c r="Q170" s="31"/>
      <c r="R170" s="31"/>
      <c r="S170" s="31"/>
      <c r="T170" s="31"/>
      <c r="U170" s="35"/>
      <c r="V170" s="134">
        <v>0</v>
      </c>
      <c r="W170" s="85">
        <v>0</v>
      </c>
      <c r="X170" s="83">
        <v>0</v>
      </c>
      <c r="Y170" s="83">
        <v>0</v>
      </c>
      <c r="Z170" s="83"/>
      <c r="AA170" s="31"/>
      <c r="AB170" s="132"/>
      <c r="AC170" s="83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41"/>
      <c r="AO170" s="41"/>
      <c r="AP170" s="41"/>
      <c r="AQ170" s="41"/>
      <c r="AR170" s="41"/>
      <c r="AS170" s="32"/>
      <c r="AT170" s="31"/>
      <c r="AU170" s="41"/>
      <c r="AV170" s="33"/>
      <c r="AZ170" s="161"/>
      <c r="BB170" s="31" t="str">
        <f>BBDD_TERRENO[[#This Row],[Comuna]]&amp;BBDD_TERRENO[[#This Row],[Identificacion Propiedad]]</f>
        <v>San Pedro de la PazLote C4</v>
      </c>
    </row>
    <row r="171" spans="1:54" x14ac:dyDescent="0.3">
      <c r="A171" s="31" t="s">
        <v>89</v>
      </c>
      <c r="B171" s="31" t="s">
        <v>380</v>
      </c>
      <c r="C171" s="31" t="s">
        <v>488</v>
      </c>
      <c r="E171" s="42">
        <v>121300</v>
      </c>
      <c r="F171" s="31" t="s">
        <v>73</v>
      </c>
      <c r="G171" s="32">
        <v>45622</v>
      </c>
      <c r="H171" s="31" t="s">
        <v>489</v>
      </c>
      <c r="I171" s="83">
        <v>0.109</v>
      </c>
      <c r="J171" s="83"/>
      <c r="K171" s="83"/>
      <c r="L171" s="83"/>
      <c r="M171" s="83"/>
      <c r="N171" s="83"/>
      <c r="O171" s="83"/>
      <c r="P171" s="31"/>
      <c r="Q171" s="31"/>
      <c r="R171" s="31"/>
      <c r="S171" s="31"/>
      <c r="T171" s="31"/>
      <c r="U171" s="35"/>
      <c r="V171" s="134">
        <v>0</v>
      </c>
      <c r="W171" s="85">
        <v>0</v>
      </c>
      <c r="X171" s="83">
        <v>0</v>
      </c>
      <c r="Y171" s="83">
        <v>0</v>
      </c>
      <c r="Z171" s="83"/>
      <c r="AA171" s="31"/>
      <c r="AB171" s="132"/>
      <c r="AC171" s="83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/>
      <c r="AY171"/>
      <c r="AZ171" s="83"/>
      <c r="BB171" s="31" t="str">
        <f>BBDD_TERRENO[[#This Row],[Comuna]]&amp;BBDD_TERRENO[[#This Row],[Identificacion Propiedad]]</f>
        <v>CoronelEl Carmen Parcela 2</v>
      </c>
    </row>
    <row r="172" spans="1:54" x14ac:dyDescent="0.3">
      <c r="A172" s="31" t="s">
        <v>89</v>
      </c>
      <c r="B172" s="31" t="s">
        <v>380</v>
      </c>
      <c r="C172" s="31" t="s">
        <v>490</v>
      </c>
      <c r="E172" s="42">
        <v>42380</v>
      </c>
      <c r="F172" s="31" t="s">
        <v>73</v>
      </c>
      <c r="G172" s="32">
        <v>45622</v>
      </c>
      <c r="H172" s="31" t="s">
        <v>489</v>
      </c>
      <c r="I172" s="83">
        <v>0.41618688060405851</v>
      </c>
      <c r="J172" s="83">
        <v>9502428</v>
      </c>
      <c r="K172" s="83">
        <v>9502428</v>
      </c>
      <c r="L172" s="83">
        <v>0</v>
      </c>
      <c r="M172" s="83"/>
      <c r="N172" s="83"/>
      <c r="O172" s="83"/>
      <c r="P172" s="31"/>
      <c r="Q172" s="31"/>
      <c r="R172" s="31"/>
      <c r="S172" s="31" t="s">
        <v>491</v>
      </c>
      <c r="T172" s="31" t="s">
        <v>492</v>
      </c>
      <c r="U172" s="35" t="s">
        <v>98</v>
      </c>
      <c r="V172" s="134">
        <v>0</v>
      </c>
      <c r="W172" s="85">
        <v>-9502428</v>
      </c>
      <c r="X172" s="83">
        <v>0</v>
      </c>
      <c r="Y172" s="83">
        <v>-9502428</v>
      </c>
      <c r="Z172" s="83"/>
      <c r="AA172" s="31"/>
      <c r="AB172" s="132"/>
      <c r="AC172" s="83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/>
      <c r="AY172"/>
      <c r="AZ172" s="83"/>
      <c r="BB172" s="31" t="str">
        <f>BBDD_TERRENO[[#This Row],[Comuna]]&amp;BBDD_TERRENO[[#This Row],[Identificacion Propiedad]]</f>
        <v>CoronelLote A Pileo</v>
      </c>
    </row>
    <row r="173" spans="1:54" x14ac:dyDescent="0.3">
      <c r="A173" s="31" t="s">
        <v>493</v>
      </c>
      <c r="B173" s="31" t="s">
        <v>80</v>
      </c>
      <c r="C173" s="31" t="s">
        <v>494</v>
      </c>
      <c r="E173" s="42">
        <v>17002.310000000001</v>
      </c>
      <c r="F173" s="31" t="s">
        <v>73</v>
      </c>
      <c r="G173" s="32">
        <v>43404</v>
      </c>
      <c r="H173" s="31" t="s">
        <v>495</v>
      </c>
      <c r="I173" s="83">
        <v>2.9995924083256922</v>
      </c>
      <c r="J173" s="83"/>
      <c r="K173" s="83"/>
      <c r="L173" s="83"/>
      <c r="M173" s="83"/>
      <c r="N173" s="83"/>
      <c r="O173" s="83"/>
      <c r="P173" s="31"/>
      <c r="Q173" s="31" t="s">
        <v>149</v>
      </c>
      <c r="R173" s="31" t="s">
        <v>149</v>
      </c>
      <c r="S173" s="31"/>
      <c r="T173" s="31"/>
      <c r="U173" s="35"/>
      <c r="V173" s="134">
        <v>0</v>
      </c>
      <c r="W173" s="85">
        <v>0</v>
      </c>
      <c r="X173" s="83">
        <v>0</v>
      </c>
      <c r="Y173" s="83">
        <v>0</v>
      </c>
      <c r="Z173" s="83"/>
      <c r="AA173" s="31"/>
      <c r="AB173" s="132"/>
      <c r="AC173" s="83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41"/>
      <c r="AO173" s="41"/>
      <c r="AP173" s="41"/>
      <c r="AQ173" s="41"/>
      <c r="AR173" s="41"/>
      <c r="AS173" s="32">
        <v>43381</v>
      </c>
      <c r="AT173" s="31" t="s">
        <v>154</v>
      </c>
      <c r="AU173" s="41"/>
      <c r="AV173" s="33"/>
      <c r="AZ173" s="161"/>
      <c r="BB173" s="31" t="str">
        <f>BBDD_TERRENO[[#This Row],[Comuna]]&amp;BBDD_TERRENO[[#This Row],[Identificacion Propiedad]]</f>
        <v>San Pedro de la PazLote C3-1C-C-2</v>
      </c>
    </row>
    <row r="174" spans="1:54" x14ac:dyDescent="0.3">
      <c r="A174" s="31" t="s">
        <v>496</v>
      </c>
      <c r="B174" s="31" t="s">
        <v>71</v>
      </c>
      <c r="C174" s="31" t="s">
        <v>497</v>
      </c>
      <c r="E174" s="42">
        <v>8842.86</v>
      </c>
      <c r="F174" s="31" t="s">
        <v>73</v>
      </c>
      <c r="G174" s="32">
        <v>44015</v>
      </c>
      <c r="H174" s="31" t="s">
        <v>498</v>
      </c>
      <c r="I174" s="83">
        <v>3.15</v>
      </c>
      <c r="J174" s="83"/>
      <c r="K174" s="83"/>
      <c r="L174" s="83"/>
      <c r="M174" s="83"/>
      <c r="N174" s="83"/>
      <c r="O174" s="83"/>
      <c r="P174" s="31"/>
      <c r="Q174" s="31"/>
      <c r="R174" s="31"/>
      <c r="S174" s="31"/>
      <c r="T174" s="31"/>
      <c r="U174" s="35"/>
      <c r="V174" s="134"/>
      <c r="W174" s="85">
        <v>0</v>
      </c>
      <c r="X174" s="83">
        <v>0</v>
      </c>
      <c r="Y174" s="83">
        <v>0</v>
      </c>
      <c r="Z174" s="83"/>
      <c r="AA174" s="31"/>
      <c r="AB174" s="132"/>
      <c r="AC174" s="83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>
        <v>5747.8590000000004</v>
      </c>
      <c r="AV174" s="31"/>
      <c r="AW174"/>
      <c r="AY174"/>
      <c r="AZ174" s="83"/>
      <c r="BB174" s="31" t="str">
        <f>BBDD_TERRENO[[#This Row],[Comuna]]&amp;BBDD_TERRENO[[#This Row],[Identificacion Propiedad]]</f>
        <v>Puerto MonttLote A-3B</v>
      </c>
    </row>
    <row r="175" spans="1:54" x14ac:dyDescent="0.3">
      <c r="A175" s="31" t="s">
        <v>70</v>
      </c>
      <c r="B175" s="31" t="s">
        <v>71</v>
      </c>
      <c r="C175" s="31" t="s">
        <v>499</v>
      </c>
      <c r="E175" s="42">
        <v>5000</v>
      </c>
      <c r="F175" s="31" t="s">
        <v>73</v>
      </c>
      <c r="G175" s="32">
        <v>45770</v>
      </c>
      <c r="H175" s="31" t="s">
        <v>500</v>
      </c>
      <c r="I175" s="83">
        <v>0.5</v>
      </c>
      <c r="J175" s="83"/>
      <c r="K175" s="83"/>
      <c r="L175" s="83"/>
      <c r="M175" s="83"/>
      <c r="N175" s="83"/>
      <c r="O175" s="83"/>
      <c r="P175" s="31"/>
      <c r="Q175" s="31"/>
      <c r="R175" s="31"/>
      <c r="S175" s="31"/>
      <c r="T175" s="31"/>
      <c r="U175" s="35"/>
      <c r="V175" s="134"/>
      <c r="W175" s="85">
        <v>0</v>
      </c>
      <c r="X175" s="83">
        <v>0</v>
      </c>
      <c r="Y175" s="83">
        <v>0</v>
      </c>
      <c r="Z175" s="83"/>
      <c r="AA175" s="31"/>
      <c r="AB175" s="132"/>
      <c r="AC175" s="83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/>
      <c r="AY175"/>
      <c r="AZ175" s="83"/>
      <c r="BB175" s="31" t="str">
        <f>BBDD_TERRENO[[#This Row],[Comuna]]&amp;BBDD_TERRENO[[#This Row],[Identificacion Propiedad]]</f>
        <v xml:space="preserve">Puerto MonttLote G16 (Numero 16 Mz G) </v>
      </c>
    </row>
    <row r="176" spans="1:54" x14ac:dyDescent="0.3">
      <c r="A176" s="31" t="s">
        <v>70</v>
      </c>
      <c r="B176" s="31" t="s">
        <v>71</v>
      </c>
      <c r="C176" s="31" t="s">
        <v>501</v>
      </c>
      <c r="E176" s="42">
        <v>5000</v>
      </c>
      <c r="F176" s="31" t="s">
        <v>73</v>
      </c>
      <c r="G176" s="32"/>
      <c r="H176" s="31"/>
      <c r="I176" s="83"/>
      <c r="J176" s="83"/>
      <c r="K176" s="83"/>
      <c r="L176" s="83"/>
      <c r="M176" s="83"/>
      <c r="N176" s="83"/>
      <c r="O176" s="83"/>
      <c r="P176" s="31"/>
      <c r="Q176" s="31"/>
      <c r="R176" s="31"/>
      <c r="S176" s="31"/>
      <c r="T176" s="31"/>
      <c r="U176" s="35"/>
      <c r="V176" s="134"/>
      <c r="W176" s="85">
        <v>0</v>
      </c>
      <c r="X176" s="83">
        <v>0</v>
      </c>
      <c r="Y176" s="83">
        <v>0</v>
      </c>
      <c r="Z176" s="83"/>
      <c r="AA176" s="31"/>
      <c r="AB176" s="132"/>
      <c r="AC176" s="83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/>
      <c r="AY176"/>
      <c r="AZ176" s="83"/>
      <c r="BB176" s="31" t="str">
        <f>BBDD_TERRENO[[#This Row],[Comuna]]&amp;BBDD_TERRENO[[#This Row],[Identificacion Propiedad]]</f>
        <v>Puerto MonttLote B11 (Numero 11 Mz B)</v>
      </c>
    </row>
    <row r="177" spans="1:54" x14ac:dyDescent="0.3">
      <c r="A177" s="31" t="s">
        <v>89</v>
      </c>
      <c r="B177" s="31" t="s">
        <v>502</v>
      </c>
      <c r="C177" s="31" t="s">
        <v>503</v>
      </c>
      <c r="E177" s="42">
        <v>42380</v>
      </c>
      <c r="F177" s="31" t="s">
        <v>73</v>
      </c>
      <c r="G177" s="32"/>
      <c r="H177" s="31" t="s">
        <v>504</v>
      </c>
      <c r="I177" s="83"/>
      <c r="J177" s="83"/>
      <c r="K177" s="83"/>
      <c r="L177" s="83"/>
      <c r="M177" s="83"/>
      <c r="N177" s="83"/>
      <c r="O177" s="83"/>
      <c r="P177" s="31" t="s">
        <v>505</v>
      </c>
      <c r="Q177" s="31"/>
      <c r="R177" s="31"/>
      <c r="S177" s="31"/>
      <c r="T177" s="31"/>
      <c r="U177" s="35"/>
      <c r="V177" s="134">
        <v>0</v>
      </c>
      <c r="W177" s="85">
        <v>0</v>
      </c>
      <c r="X177" s="83">
        <v>0</v>
      </c>
      <c r="Y177" s="83">
        <v>0</v>
      </c>
      <c r="Z177" s="83"/>
      <c r="AA177" s="31"/>
      <c r="AB177" s="132"/>
      <c r="AC177" s="83" t="s">
        <v>506</v>
      </c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/>
      <c r="AY177"/>
      <c r="AZ177" s="83"/>
      <c r="BB177" s="31" t="str">
        <f>BBDD_TERRENO[[#This Row],[Comuna]]&amp;BBDD_TERRENO[[#This Row],[Identificacion Propiedad]]</f>
        <v>CORONELLOTE A-1</v>
      </c>
    </row>
    <row r="178" spans="1:54" x14ac:dyDescent="0.3">
      <c r="A178" s="31" t="s">
        <v>507</v>
      </c>
      <c r="B178" s="31" t="s">
        <v>508</v>
      </c>
      <c r="C178" s="31" t="s">
        <v>509</v>
      </c>
      <c r="E178" s="42">
        <v>383000</v>
      </c>
      <c r="F178" s="31" t="s">
        <v>73</v>
      </c>
      <c r="G178" s="32"/>
      <c r="H178" s="31"/>
      <c r="I178" s="83"/>
      <c r="J178" s="83"/>
      <c r="K178" s="83"/>
      <c r="L178" s="83">
        <v>0</v>
      </c>
      <c r="M178" s="83"/>
      <c r="N178" s="83"/>
      <c r="O178" s="83"/>
      <c r="P178" s="31" t="s">
        <v>510</v>
      </c>
      <c r="Q178" s="31"/>
      <c r="R178" s="31"/>
      <c r="S178" s="31"/>
      <c r="T178" s="31"/>
      <c r="U178" s="35"/>
      <c r="V178" s="134">
        <v>0</v>
      </c>
      <c r="W178" s="85">
        <v>0</v>
      </c>
      <c r="X178" s="83">
        <v>0</v>
      </c>
      <c r="Y178" s="83">
        <v>0</v>
      </c>
      <c r="Z178" s="83"/>
      <c r="AA178" s="31"/>
      <c r="AB178" s="132"/>
      <c r="AC178" s="83" t="s">
        <v>511</v>
      </c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/>
      <c r="AY178"/>
      <c r="AZ178" s="83"/>
      <c r="BB178" s="31" t="str">
        <f>BBDD_TERRENO[[#This Row],[Comuna]]&amp;BBDD_TERRENO[[#This Row],[Identificacion Propiedad]]</f>
        <v>PUERTO MONTTPARCELA N°2</v>
      </c>
    </row>
    <row r="179" spans="1:54" x14ac:dyDescent="0.3">
      <c r="A179" s="31" t="s">
        <v>70</v>
      </c>
      <c r="B179" s="31" t="s">
        <v>512</v>
      </c>
      <c r="C179" s="31" t="s">
        <v>513</v>
      </c>
      <c r="E179" s="42">
        <v>12425.09</v>
      </c>
      <c r="F179" s="31" t="s">
        <v>73</v>
      </c>
      <c r="G179" s="32"/>
      <c r="H179" s="31"/>
      <c r="I179" s="83"/>
      <c r="J179" s="83"/>
      <c r="K179" s="83"/>
      <c r="L179" s="83"/>
      <c r="M179" s="83"/>
      <c r="N179" s="83"/>
      <c r="O179" s="83"/>
      <c r="P179" s="31" t="s">
        <v>514</v>
      </c>
      <c r="Q179" s="31" t="s">
        <v>515</v>
      </c>
      <c r="R179" s="31"/>
      <c r="S179" s="31"/>
      <c r="T179" s="31"/>
      <c r="U179" s="35"/>
      <c r="V179" s="134"/>
      <c r="W179" s="85">
        <v>0</v>
      </c>
      <c r="X179" s="83">
        <v>0</v>
      </c>
      <c r="Y179" s="83">
        <v>0</v>
      </c>
      <c r="Z179" s="83"/>
      <c r="AA179" s="31"/>
      <c r="AB179" s="132"/>
      <c r="AC179" s="83" t="s">
        <v>516</v>
      </c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41"/>
      <c r="AO179" s="41"/>
      <c r="AP179" s="41">
        <v>1.59995880111237</v>
      </c>
      <c r="AQ179" s="41"/>
      <c r="AR179" s="41"/>
      <c r="AS179" s="32"/>
      <c r="AT179" s="31"/>
      <c r="AU179" s="41"/>
      <c r="AV179" s="33"/>
      <c r="AZ179" s="161"/>
      <c r="BB179" s="31" t="str">
        <f>BBDD_TERRENO[[#This Row],[Comuna]]&amp;BBDD_TERRENO[[#This Row],[Identificacion Propiedad]]</f>
        <v>SAN PEDRO DE LA PAZ2B-3-X1</v>
      </c>
    </row>
    <row r="180" spans="1:54" x14ac:dyDescent="0.3">
      <c r="A180" s="31" t="s">
        <v>70</v>
      </c>
      <c r="B180" s="31" t="s">
        <v>512</v>
      </c>
      <c r="C180" s="31" t="s">
        <v>517</v>
      </c>
      <c r="E180" s="42">
        <v>12588.68</v>
      </c>
      <c r="F180" s="31" t="s">
        <v>73</v>
      </c>
      <c r="G180" s="32"/>
      <c r="H180" s="31"/>
      <c r="I180" s="83"/>
      <c r="J180" s="83"/>
      <c r="K180" s="83"/>
      <c r="L180" s="83"/>
      <c r="M180" s="83"/>
      <c r="N180" s="83"/>
      <c r="O180" s="83"/>
      <c r="P180" s="31" t="s">
        <v>514</v>
      </c>
      <c r="Q180" s="31" t="s">
        <v>518</v>
      </c>
      <c r="R180" s="31"/>
      <c r="S180" s="31"/>
      <c r="T180" s="31"/>
      <c r="U180" s="35"/>
      <c r="V180" s="134"/>
      <c r="W180" s="85">
        <v>0</v>
      </c>
      <c r="X180" s="83">
        <v>0</v>
      </c>
      <c r="Y180" s="83">
        <v>0</v>
      </c>
      <c r="Z180" s="83"/>
      <c r="AA180" s="31"/>
      <c r="AB180" s="132"/>
      <c r="AC180" s="83" t="s">
        <v>519</v>
      </c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41"/>
      <c r="AO180" s="41"/>
      <c r="AP180" s="41">
        <v>1.59995880111237</v>
      </c>
      <c r="AQ180" s="41"/>
      <c r="AR180" s="41"/>
      <c r="AS180" s="32"/>
      <c r="AT180" s="31"/>
      <c r="AU180" s="41"/>
      <c r="AV180" s="33"/>
      <c r="AZ180" s="161"/>
      <c r="BB180" s="31" t="str">
        <f>BBDD_TERRENO[[#This Row],[Comuna]]&amp;BBDD_TERRENO[[#This Row],[Identificacion Propiedad]]</f>
        <v>SAN PEDRO DE LA PAZ2B-3-X2</v>
      </c>
    </row>
    <row r="181" spans="1:54" x14ac:dyDescent="0.3">
      <c r="A181" s="31" t="s">
        <v>70</v>
      </c>
      <c r="B181" s="31" t="s">
        <v>512</v>
      </c>
      <c r="C181" s="31" t="s">
        <v>520</v>
      </c>
      <c r="E181" s="42">
        <v>12507.56</v>
      </c>
      <c r="F181" s="31" t="s">
        <v>73</v>
      </c>
      <c r="G181" s="32"/>
      <c r="H181" s="31"/>
      <c r="I181" s="83"/>
      <c r="J181" s="83"/>
      <c r="K181" s="83"/>
      <c r="L181" s="83"/>
      <c r="M181" s="83"/>
      <c r="N181" s="83"/>
      <c r="O181" s="83"/>
      <c r="P181" s="31" t="s">
        <v>514</v>
      </c>
      <c r="Q181" s="31" t="s">
        <v>521</v>
      </c>
      <c r="R181" s="31"/>
      <c r="S181" s="31"/>
      <c r="T181" s="31"/>
      <c r="U181" s="35"/>
      <c r="V181" s="134"/>
      <c r="W181" s="85">
        <v>0</v>
      </c>
      <c r="X181" s="83">
        <v>0</v>
      </c>
      <c r="Y181" s="83">
        <v>0</v>
      </c>
      <c r="Z181" s="83"/>
      <c r="AA181" s="31"/>
      <c r="AB181" s="132"/>
      <c r="AC181" s="83" t="s">
        <v>522</v>
      </c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41"/>
      <c r="AO181" s="41"/>
      <c r="AP181" s="41">
        <v>1.59995880111237</v>
      </c>
      <c r="AQ181" s="41"/>
      <c r="AR181" s="41"/>
      <c r="AS181" s="32"/>
      <c r="AT181" s="31"/>
      <c r="AU181" s="41"/>
      <c r="AV181" s="33"/>
      <c r="AZ181" s="161"/>
      <c r="BB181" s="31" t="str">
        <f>BBDD_TERRENO[[#This Row],[Comuna]]&amp;BBDD_TERRENO[[#This Row],[Identificacion Propiedad]]</f>
        <v>SAN PEDRO DE LA PAZ2B-3-X3</v>
      </c>
    </row>
    <row r="182" spans="1:54" x14ac:dyDescent="0.3">
      <c r="A182" s="31" t="s">
        <v>70</v>
      </c>
      <c r="B182" s="31" t="s">
        <v>512</v>
      </c>
      <c r="C182" s="31" t="s">
        <v>523</v>
      </c>
      <c r="E182" s="42">
        <v>27916.63</v>
      </c>
      <c r="F182" s="31" t="s">
        <v>73</v>
      </c>
      <c r="G182" s="32"/>
      <c r="H182" s="31"/>
      <c r="I182" s="83"/>
      <c r="J182" s="83"/>
      <c r="K182" s="83"/>
      <c r="L182" s="83"/>
      <c r="M182" s="83"/>
      <c r="N182" s="83"/>
      <c r="O182" s="83"/>
      <c r="P182" s="31" t="s">
        <v>514</v>
      </c>
      <c r="Q182" s="31" t="s">
        <v>524</v>
      </c>
      <c r="R182" s="31"/>
      <c r="S182" s="31"/>
      <c r="T182" s="31"/>
      <c r="U182" s="35"/>
      <c r="V182" s="134"/>
      <c r="W182" s="85">
        <v>0</v>
      </c>
      <c r="X182" s="83">
        <v>0</v>
      </c>
      <c r="Y182" s="83">
        <v>0</v>
      </c>
      <c r="Z182" s="83"/>
      <c r="AA182" s="31"/>
      <c r="AB182" s="132"/>
      <c r="AC182" s="83" t="s">
        <v>525</v>
      </c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41"/>
      <c r="AO182" s="41"/>
      <c r="AP182" s="41">
        <v>1.59995880111237</v>
      </c>
      <c r="AQ182" s="41"/>
      <c r="AR182" s="41"/>
      <c r="AS182" s="32"/>
      <c r="AT182" s="31"/>
      <c r="AU182" s="41"/>
      <c r="AV182" s="33"/>
      <c r="AZ182" s="161"/>
      <c r="BB182" s="31" t="str">
        <f>BBDD_TERRENO[[#This Row],[Comuna]]&amp;BBDD_TERRENO[[#This Row],[Identificacion Propiedad]]</f>
        <v>SAN PEDRO DE LA PAZ2B-3-X4</v>
      </c>
    </row>
    <row r="183" spans="1:54" x14ac:dyDescent="0.3">
      <c r="A183" s="31" t="s">
        <v>70</v>
      </c>
      <c r="B183" s="31" t="s">
        <v>512</v>
      </c>
      <c r="C183" s="31" t="s">
        <v>526</v>
      </c>
      <c r="E183" s="42">
        <v>61175.24</v>
      </c>
      <c r="F183" s="31" t="s">
        <v>73</v>
      </c>
      <c r="G183" s="32"/>
      <c r="H183" s="31"/>
      <c r="I183" s="83"/>
      <c r="J183" s="83"/>
      <c r="K183" s="83"/>
      <c r="L183" s="83"/>
      <c r="M183" s="83"/>
      <c r="N183" s="83"/>
      <c r="O183" s="83"/>
      <c r="P183" s="31"/>
      <c r="Q183" s="31"/>
      <c r="R183" s="31"/>
      <c r="S183" s="31"/>
      <c r="T183" s="31"/>
      <c r="U183" s="35"/>
      <c r="V183" s="134"/>
      <c r="W183" s="85">
        <v>0</v>
      </c>
      <c r="X183" s="83">
        <v>0</v>
      </c>
      <c r="Y183" s="83">
        <v>0</v>
      </c>
      <c r="Z183" s="83"/>
      <c r="AA183" s="31"/>
      <c r="AB183" s="132"/>
      <c r="AC183" s="83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41"/>
      <c r="AO183" s="41"/>
      <c r="AP183" s="41"/>
      <c r="AQ183" s="41"/>
      <c r="AR183" s="41"/>
      <c r="AS183" s="32"/>
      <c r="AT183" s="31"/>
      <c r="AU183" s="41"/>
      <c r="AV183" s="33"/>
      <c r="AZ183" s="161"/>
      <c r="BB183" s="31" t="str">
        <f>BBDD_TERRENO[[#This Row],[Comuna]]&amp;BBDD_TERRENO[[#This Row],[Identificacion Propiedad]]</f>
        <v>SAN PEDRO DE LA PAZ2B-3-2-B</v>
      </c>
    </row>
    <row r="184" spans="1:54" x14ac:dyDescent="0.3">
      <c r="A184" s="31" t="s">
        <v>70</v>
      </c>
      <c r="B184" s="31" t="s">
        <v>80</v>
      </c>
      <c r="C184" s="31" t="s">
        <v>527</v>
      </c>
      <c r="E184" s="42">
        <v>7238.03</v>
      </c>
      <c r="F184" s="31" t="s">
        <v>73</v>
      </c>
      <c r="G184" s="32">
        <v>45718</v>
      </c>
      <c r="H184" s="31" t="s">
        <v>528</v>
      </c>
      <c r="I184" s="83">
        <v>1.5</v>
      </c>
      <c r="J184" s="83">
        <v>0</v>
      </c>
      <c r="K184" s="83">
        <v>0</v>
      </c>
      <c r="L184" s="83">
        <v>0</v>
      </c>
      <c r="M184" s="83">
        <v>443576</v>
      </c>
      <c r="N184" s="83">
        <v>443576</v>
      </c>
      <c r="O184" s="83">
        <v>0</v>
      </c>
      <c r="P184" s="31" t="s">
        <v>514</v>
      </c>
      <c r="Q184" s="31" t="s">
        <v>529</v>
      </c>
      <c r="R184" s="31" t="s">
        <v>530</v>
      </c>
      <c r="S184" s="31"/>
      <c r="T184" s="31"/>
      <c r="U184" s="35"/>
      <c r="V184" s="134">
        <v>309233090</v>
      </c>
      <c r="W184" s="85">
        <v>443576</v>
      </c>
      <c r="X184" s="83">
        <v>0</v>
      </c>
      <c r="Y184" s="83">
        <v>443576</v>
      </c>
      <c r="Z184" s="83">
        <v>0</v>
      </c>
      <c r="AA184" s="31">
        <v>443576</v>
      </c>
      <c r="AB184" s="132"/>
      <c r="AC184" s="83" t="s">
        <v>531</v>
      </c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41">
        <v>1.5</v>
      </c>
      <c r="AO184" s="41">
        <v>10857.045</v>
      </c>
      <c r="AP184" s="41">
        <v>1.7834963380919948</v>
      </c>
      <c r="AQ184" s="41">
        <v>12909</v>
      </c>
      <c r="AR184" s="41">
        <v>9037</v>
      </c>
      <c r="AS184" s="32">
        <v>45954</v>
      </c>
      <c r="AT184" s="31" t="s">
        <v>532</v>
      </c>
      <c r="AU184" s="41"/>
      <c r="AV184" s="33" t="s">
        <v>532</v>
      </c>
      <c r="AX184" s="31" t="s">
        <v>533</v>
      </c>
      <c r="AZ184" s="161"/>
      <c r="BB184" s="31" t="str">
        <f>BBDD_TERRENO[[#This Row],[Comuna]]&amp;BBDD_TERRENO[[#This Row],[Identificacion Propiedad]]</f>
        <v>San Pedro de la Paz2B-3-2-B5</v>
      </c>
    </row>
    <row r="185" spans="1:54" x14ac:dyDescent="0.3">
      <c r="A185" s="31" t="s">
        <v>70</v>
      </c>
      <c r="B185" s="31" t="s">
        <v>80</v>
      </c>
      <c r="C185" s="31" t="s">
        <v>534</v>
      </c>
      <c r="E185" s="42">
        <v>5766.44</v>
      </c>
      <c r="F185" s="31" t="s">
        <v>73</v>
      </c>
      <c r="G185" s="32">
        <v>45719</v>
      </c>
      <c r="H185" s="31" t="s">
        <v>528</v>
      </c>
      <c r="I185" s="83">
        <v>1.5</v>
      </c>
      <c r="J185" s="83">
        <v>0</v>
      </c>
      <c r="K185" s="83">
        <v>0</v>
      </c>
      <c r="L185" s="83">
        <v>0</v>
      </c>
      <c r="M185" s="83">
        <v>443576</v>
      </c>
      <c r="N185" s="83">
        <v>443576</v>
      </c>
      <c r="O185" s="83">
        <v>0</v>
      </c>
      <c r="P185" s="31" t="s">
        <v>514</v>
      </c>
      <c r="Q185" s="31" t="s">
        <v>535</v>
      </c>
      <c r="R185" s="31"/>
      <c r="S185" s="31"/>
      <c r="T185" s="31"/>
      <c r="U185" s="35"/>
      <c r="V185" s="134">
        <v>307223181</v>
      </c>
      <c r="W185" s="85">
        <v>443576</v>
      </c>
      <c r="X185" s="83">
        <v>0</v>
      </c>
      <c r="Y185" s="83">
        <v>443576</v>
      </c>
      <c r="Z185" s="83">
        <v>0</v>
      </c>
      <c r="AA185" s="31">
        <v>443576</v>
      </c>
      <c r="AB185" s="132"/>
      <c r="AC185" s="83" t="s">
        <v>536</v>
      </c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41">
        <v>1.5</v>
      </c>
      <c r="AO185" s="41">
        <v>8649.66</v>
      </c>
      <c r="AP185" s="41">
        <v>2.1671950111333858</v>
      </c>
      <c r="AQ185" s="41">
        <v>12497</v>
      </c>
      <c r="AR185" s="41">
        <v>8748</v>
      </c>
      <c r="AS185" s="32">
        <v>45954</v>
      </c>
      <c r="AT185" s="31" t="s">
        <v>532</v>
      </c>
      <c r="AU185" s="41"/>
      <c r="AV185" s="33" t="s">
        <v>532</v>
      </c>
      <c r="AX185" s="31" t="s">
        <v>533</v>
      </c>
      <c r="AZ185" s="161"/>
      <c r="BB185" s="31" t="str">
        <f>BBDD_TERRENO[[#This Row],[Comuna]]&amp;BBDD_TERRENO[[#This Row],[Identificacion Propiedad]]</f>
        <v>San Pedro de la Paz2B-3-2-G</v>
      </c>
    </row>
    <row r="186" spans="1:54" x14ac:dyDescent="0.3">
      <c r="A186" s="31" t="s">
        <v>70</v>
      </c>
      <c r="B186" s="31" t="s">
        <v>380</v>
      </c>
      <c r="C186" s="31" t="s">
        <v>537</v>
      </c>
      <c r="E186" s="42">
        <v>10000</v>
      </c>
      <c r="F186" s="31" t="s">
        <v>538</v>
      </c>
      <c r="G186" s="32"/>
      <c r="H186" s="31"/>
      <c r="I186" s="83"/>
      <c r="J186" s="83">
        <v>2736357</v>
      </c>
      <c r="K186" s="83">
        <v>2736357</v>
      </c>
      <c r="L186" s="83">
        <v>0</v>
      </c>
      <c r="M186" s="83">
        <v>2793821</v>
      </c>
      <c r="N186" s="83">
        <v>2793821</v>
      </c>
      <c r="O186" s="83">
        <v>0</v>
      </c>
      <c r="P186" s="31" t="s">
        <v>539</v>
      </c>
      <c r="Q186" s="31" t="s">
        <v>539</v>
      </c>
      <c r="R186" s="31"/>
      <c r="S186" s="31" t="s">
        <v>540</v>
      </c>
      <c r="T186" s="31" t="s">
        <v>492</v>
      </c>
      <c r="U186" s="35" t="s">
        <v>98</v>
      </c>
      <c r="V186" s="134">
        <v>1545.702171438001</v>
      </c>
      <c r="W186" s="85"/>
      <c r="X186" s="83"/>
      <c r="Y186" s="83"/>
      <c r="Z186" s="83"/>
      <c r="AA186" s="31"/>
      <c r="AB186" s="132"/>
      <c r="AC186" s="83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>
        <v>0.2</v>
      </c>
      <c r="AO186" s="31">
        <v>2000</v>
      </c>
      <c r="AP186" s="31">
        <v>0.2</v>
      </c>
      <c r="AQ186" s="31">
        <v>2000</v>
      </c>
      <c r="AR186" s="31"/>
      <c r="AS186" s="31"/>
      <c r="AT186" s="31"/>
      <c r="AU186" s="31"/>
      <c r="AV186" s="31" t="s">
        <v>88</v>
      </c>
      <c r="AW186"/>
      <c r="AY186"/>
      <c r="AZ186" s="83"/>
      <c r="BB186" s="31" t="str">
        <f>BBDD_TERRENO[[#This Row],[Comuna]]&amp;BBDD_TERRENO[[#This Row],[Identificacion Propiedad]]</f>
        <v>CoronelLote 2 Mitrinhue</v>
      </c>
    </row>
    <row r="187" spans="1:54" x14ac:dyDescent="0.3">
      <c r="A187" s="31" t="s">
        <v>70</v>
      </c>
      <c r="B187" s="31" t="s">
        <v>380</v>
      </c>
      <c r="C187" s="31" t="s">
        <v>541</v>
      </c>
      <c r="E187" s="42">
        <v>10000</v>
      </c>
      <c r="F187" s="31" t="s">
        <v>538</v>
      </c>
      <c r="G187" s="32"/>
      <c r="H187" s="31"/>
      <c r="I187" s="83"/>
      <c r="J187" s="83">
        <v>2736357</v>
      </c>
      <c r="K187" s="83">
        <v>2736357</v>
      </c>
      <c r="L187" s="83">
        <v>0</v>
      </c>
      <c r="M187" s="83">
        <v>2793821</v>
      </c>
      <c r="N187" s="83">
        <v>2793821</v>
      </c>
      <c r="O187" s="83">
        <v>0</v>
      </c>
      <c r="P187" s="31" t="s">
        <v>542</v>
      </c>
      <c r="Q187" s="31" t="s">
        <v>542</v>
      </c>
      <c r="R187" s="31"/>
      <c r="S187" s="31" t="s">
        <v>540</v>
      </c>
      <c r="T187" s="31" t="s">
        <v>492</v>
      </c>
      <c r="U187" s="35" t="s">
        <v>98</v>
      </c>
      <c r="V187" s="134">
        <v>1545.702171438001</v>
      </c>
      <c r="W187" s="85"/>
      <c r="X187" s="83"/>
      <c r="Y187" s="83"/>
      <c r="Z187" s="83"/>
      <c r="AA187" s="31"/>
      <c r="AB187" s="132"/>
      <c r="AC187" s="83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>
        <v>0.2</v>
      </c>
      <c r="AO187" s="31">
        <v>2000</v>
      </c>
      <c r="AP187" s="31">
        <v>0.2</v>
      </c>
      <c r="AQ187" s="31">
        <v>2000</v>
      </c>
      <c r="AR187" s="31"/>
      <c r="AS187" s="31"/>
      <c r="AT187" s="31"/>
      <c r="AU187" s="31"/>
      <c r="AV187" s="31" t="s">
        <v>88</v>
      </c>
      <c r="AW187"/>
      <c r="AY187"/>
      <c r="AZ187" s="83"/>
      <c r="BB187" s="31" t="str">
        <f>BBDD_TERRENO[[#This Row],[Comuna]]&amp;BBDD_TERRENO[[#This Row],[Identificacion Propiedad]]</f>
        <v>CoronelLote 1 Mitrinhue</v>
      </c>
    </row>
    <row r="188" spans="1:54" x14ac:dyDescent="0.3">
      <c r="A188" s="31" t="s">
        <v>543</v>
      </c>
      <c r="B188" s="31" t="s">
        <v>380</v>
      </c>
      <c r="C188" s="31" t="s">
        <v>544</v>
      </c>
      <c r="E188" s="42">
        <v>13400</v>
      </c>
      <c r="F188" s="31" t="s">
        <v>538</v>
      </c>
      <c r="G188" s="32"/>
      <c r="H188" s="31"/>
      <c r="I188" s="83"/>
      <c r="J188" s="83"/>
      <c r="K188" s="83"/>
      <c r="L188" s="83"/>
      <c r="M188" s="83"/>
      <c r="N188" s="83"/>
      <c r="O188" s="83"/>
      <c r="P188" s="31"/>
      <c r="Q188" s="31"/>
      <c r="R188" s="31"/>
      <c r="S188" s="31"/>
      <c r="T188" s="31"/>
      <c r="U188" s="35"/>
      <c r="V188" s="134"/>
      <c r="W188" s="85"/>
      <c r="X188" s="83"/>
      <c r="Y188" s="83"/>
      <c r="Z188" s="83"/>
      <c r="AA188" s="31"/>
      <c r="AB188" s="132"/>
      <c r="AC188" s="83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/>
      <c r="AY188"/>
      <c r="AZ188" s="83"/>
      <c r="BB188" s="31" t="str">
        <f>BBDD_TERRENO[[#This Row],[Comuna]]&amp;BBDD_TERRENO[[#This Row],[Identificacion Propiedad]]</f>
        <v>CoronelCURINAN O PARLAMENTOSNLT DPILEO</v>
      </c>
    </row>
    <row r="189" spans="1:54" x14ac:dyDescent="0.3">
      <c r="A189" s="31" t="s">
        <v>543</v>
      </c>
      <c r="B189" s="31" t="s">
        <v>380</v>
      </c>
      <c r="C189" s="31" t="s">
        <v>545</v>
      </c>
      <c r="E189" s="42">
        <v>13437.5</v>
      </c>
      <c r="F189" s="31" t="s">
        <v>538</v>
      </c>
      <c r="G189" s="32"/>
      <c r="H189" s="31"/>
      <c r="I189" s="83"/>
      <c r="J189" s="83"/>
      <c r="K189" s="83"/>
      <c r="L189" s="83"/>
      <c r="M189" s="83"/>
      <c r="N189" s="83"/>
      <c r="O189" s="83"/>
      <c r="P189" s="31"/>
      <c r="Q189" s="31" t="s">
        <v>546</v>
      </c>
      <c r="R189" s="31"/>
      <c r="S189" s="31"/>
      <c r="T189" s="31"/>
      <c r="U189" s="35"/>
      <c r="V189" s="134"/>
      <c r="W189" s="85"/>
      <c r="X189" s="83"/>
      <c r="Y189" s="83"/>
      <c r="Z189" s="83"/>
      <c r="AA189" s="31"/>
      <c r="AB189" s="132"/>
      <c r="AC189" s="83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/>
      <c r="AY189"/>
      <c r="AZ189" s="83"/>
      <c r="BB189" s="31" t="str">
        <f>BBDD_TERRENO[[#This Row],[Comuna]]&amp;BBDD_TERRENO[[#This Row],[Identificacion Propiedad]]</f>
        <v>CoronelLote D (Ex Salazar)</v>
      </c>
    </row>
    <row r="190" spans="1:54" x14ac:dyDescent="0.3">
      <c r="A190" s="31" t="s">
        <v>543</v>
      </c>
      <c r="B190" s="31" t="s">
        <v>380</v>
      </c>
      <c r="C190" s="31" t="s">
        <v>547</v>
      </c>
      <c r="E190" s="42">
        <v>5158</v>
      </c>
      <c r="F190" s="31" t="s">
        <v>538</v>
      </c>
      <c r="G190" s="32"/>
      <c r="H190" s="31"/>
      <c r="I190" s="83"/>
      <c r="J190" s="83"/>
      <c r="K190" s="83"/>
      <c r="L190" s="83"/>
      <c r="M190" s="83"/>
      <c r="N190" s="83"/>
      <c r="O190" s="83"/>
      <c r="P190" s="31"/>
      <c r="Q190" s="31" t="s">
        <v>548</v>
      </c>
      <c r="R190" s="31"/>
      <c r="S190" s="31"/>
      <c r="T190" s="31"/>
      <c r="U190" s="35"/>
      <c r="V190" s="134"/>
      <c r="W190" s="85"/>
      <c r="X190" s="83"/>
      <c r="Y190" s="83"/>
      <c r="Z190" s="83"/>
      <c r="AA190" s="31"/>
      <c r="AB190" s="132"/>
      <c r="AC190" s="83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/>
      <c r="AY190"/>
      <c r="AZ190" s="83"/>
      <c r="BB190" s="31" t="str">
        <f>BBDD_TERRENO[[#This Row],[Comuna]]&amp;BBDD_TERRENO[[#This Row],[Identificacion Propiedad]]</f>
        <v>CoronelLote 73 Patagual</v>
      </c>
    </row>
    <row r="191" spans="1:54" x14ac:dyDescent="0.3">
      <c r="A191" s="31" t="s">
        <v>543</v>
      </c>
      <c r="B191" s="31" t="s">
        <v>380</v>
      </c>
      <c r="C191" s="31" t="s">
        <v>549</v>
      </c>
      <c r="E191" s="42">
        <v>6172</v>
      </c>
      <c r="F191" s="31" t="s">
        <v>538</v>
      </c>
      <c r="G191" s="32"/>
      <c r="H191" s="31"/>
      <c r="I191" s="83"/>
      <c r="J191" s="83"/>
      <c r="K191" s="83"/>
      <c r="L191" s="83"/>
      <c r="M191" s="83"/>
      <c r="N191" s="83"/>
      <c r="O191" s="83"/>
      <c r="P191" s="31"/>
      <c r="Q191" s="31" t="s">
        <v>550</v>
      </c>
      <c r="R191" s="31"/>
      <c r="S191" s="31"/>
      <c r="T191" s="31"/>
      <c r="U191" s="35"/>
      <c r="V191" s="134"/>
      <c r="W191" s="85"/>
      <c r="X191" s="83"/>
      <c r="Y191" s="83"/>
      <c r="Z191" s="83"/>
      <c r="AA191" s="31"/>
      <c r="AB191" s="132"/>
      <c r="AC191" s="83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/>
      <c r="AY191"/>
      <c r="AZ191" s="83"/>
      <c r="BB191" s="31" t="str">
        <f>BBDD_TERRENO[[#This Row],[Comuna]]&amp;BBDD_TERRENO[[#This Row],[Identificacion Propiedad]]</f>
        <v>CoronelLote 72 Patagual</v>
      </c>
    </row>
    <row r="192" spans="1:54" x14ac:dyDescent="0.3">
      <c r="A192" s="31" t="s">
        <v>543</v>
      </c>
      <c r="B192" s="31" t="s">
        <v>380</v>
      </c>
      <c r="C192" s="31" t="s">
        <v>551</v>
      </c>
      <c r="E192" s="42">
        <v>5964</v>
      </c>
      <c r="F192" s="31" t="s">
        <v>538</v>
      </c>
      <c r="G192" s="32"/>
      <c r="H192" s="31"/>
      <c r="I192" s="83"/>
      <c r="J192" s="83"/>
      <c r="K192" s="83"/>
      <c r="L192" s="83"/>
      <c r="M192" s="83"/>
      <c r="N192" s="83"/>
      <c r="O192" s="83"/>
      <c r="P192" s="31"/>
      <c r="Q192" s="31" t="s">
        <v>550</v>
      </c>
      <c r="R192" s="31"/>
      <c r="S192" s="31"/>
      <c r="T192" s="31"/>
      <c r="U192" s="35"/>
      <c r="V192" s="134"/>
      <c r="W192" s="85"/>
      <c r="X192" s="83"/>
      <c r="Y192" s="83"/>
      <c r="Z192" s="83"/>
      <c r="AA192" s="31"/>
      <c r="AB192" s="132"/>
      <c r="AC192" s="83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/>
      <c r="AY192"/>
      <c r="AZ192" s="83"/>
      <c r="BB192" s="31" t="str">
        <f>BBDD_TERRENO[[#This Row],[Comuna]]&amp;BBDD_TERRENO[[#This Row],[Identificacion Propiedad]]</f>
        <v>CoronelLote 71 Patagual (Casa Inquilino)</v>
      </c>
    </row>
    <row r="193" spans="1:54" x14ac:dyDescent="0.3">
      <c r="A193" s="31" t="s">
        <v>543</v>
      </c>
      <c r="B193" s="31" t="s">
        <v>380</v>
      </c>
      <c r="C193" s="31" t="s">
        <v>552</v>
      </c>
      <c r="E193" s="42">
        <v>7245</v>
      </c>
      <c r="F193" s="31" t="s">
        <v>538</v>
      </c>
      <c r="G193" s="32"/>
      <c r="H193" s="31"/>
      <c r="I193" s="83"/>
      <c r="J193" s="83"/>
      <c r="K193" s="83"/>
      <c r="L193" s="83"/>
      <c r="M193" s="83"/>
      <c r="N193" s="83"/>
      <c r="O193" s="83"/>
      <c r="P193" s="31"/>
      <c r="Q193" s="31" t="s">
        <v>548</v>
      </c>
      <c r="R193" s="31"/>
      <c r="S193" s="31"/>
      <c r="T193" s="31"/>
      <c r="U193" s="35"/>
      <c r="V193" s="134"/>
      <c r="W193" s="85"/>
      <c r="X193" s="83"/>
      <c r="Y193" s="83"/>
      <c r="Z193" s="83"/>
      <c r="AA193" s="31"/>
      <c r="AB193" s="132"/>
      <c r="AC193" s="83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/>
      <c r="AY193"/>
      <c r="AZ193" s="83"/>
      <c r="BB193" s="31" t="str">
        <f>BBDD_TERRENO[[#This Row],[Comuna]]&amp;BBDD_TERRENO[[#This Row],[Identificacion Propiedad]]</f>
        <v>CoronelLote 70 Patagual</v>
      </c>
    </row>
    <row r="194" spans="1:54" x14ac:dyDescent="0.3">
      <c r="A194" s="31" t="s">
        <v>543</v>
      </c>
      <c r="B194" s="31" t="s">
        <v>380</v>
      </c>
      <c r="C194" s="31" t="s">
        <v>553</v>
      </c>
      <c r="E194" s="42">
        <v>5084</v>
      </c>
      <c r="F194" s="31" t="s">
        <v>538</v>
      </c>
      <c r="G194" s="32"/>
      <c r="H194" s="31"/>
      <c r="I194" s="83"/>
      <c r="J194" s="83"/>
      <c r="K194" s="83"/>
      <c r="L194" s="83"/>
      <c r="M194" s="83"/>
      <c r="N194" s="83"/>
      <c r="O194" s="83"/>
      <c r="P194" s="31"/>
      <c r="Q194" s="31" t="s">
        <v>548</v>
      </c>
      <c r="R194" s="31"/>
      <c r="S194" s="31"/>
      <c r="T194" s="31"/>
      <c r="U194" s="35"/>
      <c r="V194" s="134"/>
      <c r="W194" s="85"/>
      <c r="X194" s="83"/>
      <c r="Y194" s="83"/>
      <c r="Z194" s="83"/>
      <c r="AA194" s="31"/>
      <c r="AB194" s="132"/>
      <c r="AC194" s="83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/>
      <c r="AY194"/>
      <c r="AZ194" s="83"/>
      <c r="BB194" s="31" t="str">
        <f>BBDD_TERRENO[[#This Row],[Comuna]]&amp;BBDD_TERRENO[[#This Row],[Identificacion Propiedad]]</f>
        <v>CoronelLote 69 Patagual</v>
      </c>
    </row>
    <row r="195" spans="1:54" x14ac:dyDescent="0.3">
      <c r="A195" s="31" t="s">
        <v>543</v>
      </c>
      <c r="B195" s="31" t="s">
        <v>380</v>
      </c>
      <c r="C195" s="31" t="s">
        <v>554</v>
      </c>
      <c r="E195" s="42">
        <v>5066</v>
      </c>
      <c r="F195" s="31" t="s">
        <v>538</v>
      </c>
      <c r="G195" s="32"/>
      <c r="H195" s="31"/>
      <c r="I195" s="83"/>
      <c r="J195" s="83"/>
      <c r="K195" s="83"/>
      <c r="L195" s="83"/>
      <c r="M195" s="83"/>
      <c r="N195" s="83"/>
      <c r="O195" s="83"/>
      <c r="P195" s="31"/>
      <c r="Q195" s="31" t="s">
        <v>548</v>
      </c>
      <c r="R195" s="31"/>
      <c r="S195" s="31"/>
      <c r="T195" s="31"/>
      <c r="U195" s="35"/>
      <c r="V195" s="134"/>
      <c r="W195" s="85"/>
      <c r="X195" s="83"/>
      <c r="Y195" s="83"/>
      <c r="Z195" s="83"/>
      <c r="AA195" s="31"/>
      <c r="AB195" s="132"/>
      <c r="AC195" s="83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/>
      <c r="AY195"/>
      <c r="AZ195" s="83"/>
      <c r="BB195" s="31" t="str">
        <f>BBDD_TERRENO[[#This Row],[Comuna]]&amp;BBDD_TERRENO[[#This Row],[Identificacion Propiedad]]</f>
        <v>CoronelLote 68 Patagual</v>
      </c>
    </row>
    <row r="196" spans="1:54" x14ac:dyDescent="0.3">
      <c r="A196" s="31" t="s">
        <v>543</v>
      </c>
      <c r="B196" s="31" t="s">
        <v>380</v>
      </c>
      <c r="C196" s="31" t="s">
        <v>555</v>
      </c>
      <c r="E196" s="42">
        <v>5145</v>
      </c>
      <c r="F196" s="31" t="s">
        <v>538</v>
      </c>
      <c r="G196" s="32"/>
      <c r="H196" s="31"/>
      <c r="I196" s="83"/>
      <c r="J196" s="83"/>
      <c r="K196" s="83"/>
      <c r="L196" s="83"/>
      <c r="M196" s="83"/>
      <c r="N196" s="83"/>
      <c r="O196" s="83"/>
      <c r="P196" s="31"/>
      <c r="Q196" s="31" t="s">
        <v>548</v>
      </c>
      <c r="R196" s="31"/>
      <c r="S196" s="31"/>
      <c r="T196" s="31"/>
      <c r="U196" s="35"/>
      <c r="V196" s="134"/>
      <c r="W196" s="85"/>
      <c r="X196" s="83"/>
      <c r="Y196" s="83"/>
      <c r="Z196" s="83"/>
      <c r="AA196" s="31"/>
      <c r="AB196" s="132"/>
      <c r="AC196" s="83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/>
      <c r="AY196"/>
      <c r="AZ196" s="83"/>
      <c r="BB196" s="31" t="str">
        <f>BBDD_TERRENO[[#This Row],[Comuna]]&amp;BBDD_TERRENO[[#This Row],[Identificacion Propiedad]]</f>
        <v>CoronelLote 67 Patagual</v>
      </c>
    </row>
    <row r="197" spans="1:54" x14ac:dyDescent="0.3">
      <c r="A197" s="31" t="s">
        <v>543</v>
      </c>
      <c r="B197" s="31" t="s">
        <v>380</v>
      </c>
      <c r="C197" s="31" t="s">
        <v>556</v>
      </c>
      <c r="E197" s="42">
        <v>5080</v>
      </c>
      <c r="F197" s="31" t="s">
        <v>538</v>
      </c>
      <c r="G197" s="32"/>
      <c r="H197" s="31"/>
      <c r="I197" s="83"/>
      <c r="J197" s="83"/>
      <c r="K197" s="83"/>
      <c r="L197" s="83"/>
      <c r="M197" s="83"/>
      <c r="N197" s="83"/>
      <c r="O197" s="83"/>
      <c r="P197" s="31"/>
      <c r="Q197" s="31" t="s">
        <v>548</v>
      </c>
      <c r="R197" s="31"/>
      <c r="S197" s="31"/>
      <c r="T197" s="31"/>
      <c r="U197" s="35"/>
      <c r="V197" s="134"/>
      <c r="W197" s="85"/>
      <c r="X197" s="83"/>
      <c r="Y197" s="83"/>
      <c r="Z197" s="83"/>
      <c r="AA197" s="31"/>
      <c r="AB197" s="132"/>
      <c r="AC197" s="83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/>
      <c r="AY197"/>
      <c r="AZ197" s="83"/>
      <c r="BB197" s="31" t="str">
        <f>BBDD_TERRENO[[#This Row],[Comuna]]&amp;BBDD_TERRENO[[#This Row],[Identificacion Propiedad]]</f>
        <v>CoronelLote 66 Patagual</v>
      </c>
    </row>
    <row r="198" spans="1:54" x14ac:dyDescent="0.3">
      <c r="A198" s="31" t="s">
        <v>543</v>
      </c>
      <c r="B198" s="31" t="s">
        <v>380</v>
      </c>
      <c r="C198" s="31" t="s">
        <v>557</v>
      </c>
      <c r="E198" s="42">
        <v>5098</v>
      </c>
      <c r="F198" s="31" t="s">
        <v>538</v>
      </c>
      <c r="G198" s="32"/>
      <c r="H198" s="31"/>
      <c r="I198" s="83"/>
      <c r="J198" s="83"/>
      <c r="K198" s="83"/>
      <c r="L198" s="83"/>
      <c r="M198" s="83"/>
      <c r="N198" s="83"/>
      <c r="O198" s="83"/>
      <c r="P198" s="31"/>
      <c r="Q198" s="31" t="s">
        <v>548</v>
      </c>
      <c r="R198" s="31"/>
      <c r="S198" s="31"/>
      <c r="T198" s="31"/>
      <c r="U198" s="35"/>
      <c r="V198" s="134"/>
      <c r="W198" s="85"/>
      <c r="X198" s="83"/>
      <c r="Y198" s="83"/>
      <c r="Z198" s="83"/>
      <c r="AA198" s="31"/>
      <c r="AB198" s="132"/>
      <c r="AC198" s="83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/>
      <c r="AY198"/>
      <c r="AZ198" s="83"/>
      <c r="BB198" s="31" t="str">
        <f>BBDD_TERRENO[[#This Row],[Comuna]]&amp;BBDD_TERRENO[[#This Row],[Identificacion Propiedad]]</f>
        <v>CoronelLote 65 Patagual</v>
      </c>
    </row>
    <row r="199" spans="1:54" x14ac:dyDescent="0.3">
      <c r="A199" s="31" t="s">
        <v>543</v>
      </c>
      <c r="B199" s="31" t="s">
        <v>380</v>
      </c>
      <c r="C199" s="31" t="s">
        <v>558</v>
      </c>
      <c r="E199" s="42">
        <v>5065</v>
      </c>
      <c r="F199" s="31" t="s">
        <v>538</v>
      </c>
      <c r="G199" s="32"/>
      <c r="H199" s="31"/>
      <c r="I199" s="83"/>
      <c r="J199" s="83"/>
      <c r="K199" s="83"/>
      <c r="L199" s="83"/>
      <c r="M199" s="83"/>
      <c r="N199" s="83"/>
      <c r="O199" s="83"/>
      <c r="P199" s="31"/>
      <c r="Q199" s="31" t="s">
        <v>548</v>
      </c>
      <c r="R199" s="31"/>
      <c r="S199" s="31"/>
      <c r="T199" s="31"/>
      <c r="U199" s="35"/>
      <c r="V199" s="134"/>
      <c r="W199" s="85"/>
      <c r="X199" s="83"/>
      <c r="Y199" s="83"/>
      <c r="Z199" s="83"/>
      <c r="AA199" s="31"/>
      <c r="AB199" s="132"/>
      <c r="AC199" s="83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/>
      <c r="AY199"/>
      <c r="AZ199" s="83"/>
      <c r="BB199" s="31" t="str">
        <f>BBDD_TERRENO[[#This Row],[Comuna]]&amp;BBDD_TERRENO[[#This Row],[Identificacion Propiedad]]</f>
        <v>CoronelLote 64 Patagual</v>
      </c>
    </row>
    <row r="200" spans="1:54" x14ac:dyDescent="0.3">
      <c r="A200" s="31" t="s">
        <v>543</v>
      </c>
      <c r="B200" s="31" t="s">
        <v>380</v>
      </c>
      <c r="C200" s="31" t="s">
        <v>559</v>
      </c>
      <c r="E200" s="42">
        <v>5063</v>
      </c>
      <c r="F200" s="31" t="s">
        <v>538</v>
      </c>
      <c r="G200" s="32"/>
      <c r="H200" s="31"/>
      <c r="I200" s="83"/>
      <c r="J200" s="83"/>
      <c r="K200" s="83"/>
      <c r="L200" s="83"/>
      <c r="M200" s="83"/>
      <c r="N200" s="83"/>
      <c r="O200" s="83"/>
      <c r="P200" s="31"/>
      <c r="Q200" s="31" t="s">
        <v>548</v>
      </c>
      <c r="R200" s="31"/>
      <c r="S200" s="31"/>
      <c r="T200" s="31"/>
      <c r="U200" s="35"/>
      <c r="V200" s="134"/>
      <c r="W200" s="85"/>
      <c r="X200" s="83"/>
      <c r="Y200" s="83"/>
      <c r="Z200" s="83"/>
      <c r="AA200" s="31"/>
      <c r="AB200" s="132"/>
      <c r="AC200" s="83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/>
      <c r="AY200"/>
      <c r="AZ200" s="83"/>
      <c r="BB200" s="31" t="str">
        <f>BBDD_TERRENO[[#This Row],[Comuna]]&amp;BBDD_TERRENO[[#This Row],[Identificacion Propiedad]]</f>
        <v>CoronelLote 63 Patagual</v>
      </c>
    </row>
    <row r="201" spans="1:54" x14ac:dyDescent="0.3">
      <c r="A201" s="31" t="s">
        <v>543</v>
      </c>
      <c r="B201" s="31" t="s">
        <v>380</v>
      </c>
      <c r="C201" s="31" t="s">
        <v>560</v>
      </c>
      <c r="E201" s="42">
        <v>5087</v>
      </c>
      <c r="F201" s="31" t="s">
        <v>538</v>
      </c>
      <c r="G201" s="32"/>
      <c r="H201" s="31"/>
      <c r="I201" s="83"/>
      <c r="J201" s="83"/>
      <c r="K201" s="83"/>
      <c r="L201" s="83"/>
      <c r="M201" s="83"/>
      <c r="N201" s="83"/>
      <c r="O201" s="83"/>
      <c r="P201" s="31"/>
      <c r="Q201" s="31" t="s">
        <v>548</v>
      </c>
      <c r="R201" s="31"/>
      <c r="S201" s="31"/>
      <c r="T201" s="31"/>
      <c r="U201" s="35"/>
      <c r="V201" s="134"/>
      <c r="W201" s="85"/>
      <c r="X201" s="83"/>
      <c r="Y201" s="83"/>
      <c r="Z201" s="83"/>
      <c r="AA201" s="31"/>
      <c r="AB201" s="132"/>
      <c r="AC201" s="83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/>
      <c r="AY201"/>
      <c r="AZ201" s="83"/>
      <c r="BB201" s="31" t="str">
        <f>BBDD_TERRENO[[#This Row],[Comuna]]&amp;BBDD_TERRENO[[#This Row],[Identificacion Propiedad]]</f>
        <v>CoronelLote 62 Patagual</v>
      </c>
    </row>
    <row r="202" spans="1:54" x14ac:dyDescent="0.3">
      <c r="A202" s="31" t="s">
        <v>543</v>
      </c>
      <c r="B202" s="31" t="s">
        <v>380</v>
      </c>
      <c r="C202" s="31" t="s">
        <v>561</v>
      </c>
      <c r="E202" s="42">
        <v>5126</v>
      </c>
      <c r="F202" s="31" t="s">
        <v>538</v>
      </c>
      <c r="G202" s="32"/>
      <c r="H202" s="31"/>
      <c r="I202" s="83"/>
      <c r="J202" s="83"/>
      <c r="K202" s="83"/>
      <c r="L202" s="83"/>
      <c r="M202" s="83"/>
      <c r="N202" s="83"/>
      <c r="O202" s="83"/>
      <c r="P202" s="31"/>
      <c r="Q202" s="31" t="s">
        <v>548</v>
      </c>
      <c r="R202" s="31"/>
      <c r="S202" s="31"/>
      <c r="T202" s="31"/>
      <c r="U202" s="35"/>
      <c r="V202" s="134"/>
      <c r="W202" s="85"/>
      <c r="X202" s="83"/>
      <c r="Y202" s="83"/>
      <c r="Z202" s="83"/>
      <c r="AA202" s="31"/>
      <c r="AB202" s="132"/>
      <c r="AC202" s="83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/>
      <c r="AY202"/>
      <c r="AZ202" s="83"/>
      <c r="BB202" s="31" t="str">
        <f>BBDD_TERRENO[[#This Row],[Comuna]]&amp;BBDD_TERRENO[[#This Row],[Identificacion Propiedad]]</f>
        <v>CoronelLote 61 Patagual</v>
      </c>
    </row>
    <row r="203" spans="1:54" x14ac:dyDescent="0.3">
      <c r="A203" s="31" t="s">
        <v>543</v>
      </c>
      <c r="B203" s="31" t="s">
        <v>380</v>
      </c>
      <c r="C203" s="31" t="s">
        <v>562</v>
      </c>
      <c r="E203" s="42">
        <v>5069</v>
      </c>
      <c r="F203" s="31" t="s">
        <v>538</v>
      </c>
      <c r="G203" s="32"/>
      <c r="H203" s="31"/>
      <c r="I203" s="83"/>
      <c r="J203" s="83"/>
      <c r="K203" s="83"/>
      <c r="L203" s="83"/>
      <c r="M203" s="83"/>
      <c r="N203" s="83"/>
      <c r="O203" s="83"/>
      <c r="P203" s="31"/>
      <c r="Q203" s="31" t="s">
        <v>548</v>
      </c>
      <c r="R203" s="31"/>
      <c r="S203" s="31"/>
      <c r="T203" s="31"/>
      <c r="U203" s="35"/>
      <c r="V203" s="134"/>
      <c r="W203" s="85"/>
      <c r="X203" s="83"/>
      <c r="Y203" s="83"/>
      <c r="Z203" s="83"/>
      <c r="AA203" s="31"/>
      <c r="AB203" s="132"/>
      <c r="AC203" s="83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/>
      <c r="AY203"/>
      <c r="AZ203" s="83"/>
      <c r="BB203" s="31" t="str">
        <f>BBDD_TERRENO[[#This Row],[Comuna]]&amp;BBDD_TERRENO[[#This Row],[Identificacion Propiedad]]</f>
        <v>CoronelLote 60 Patagual</v>
      </c>
    </row>
    <row r="204" spans="1:54" x14ac:dyDescent="0.3">
      <c r="A204" s="31" t="s">
        <v>543</v>
      </c>
      <c r="B204" s="31" t="s">
        <v>380</v>
      </c>
      <c r="C204" s="31" t="s">
        <v>563</v>
      </c>
      <c r="E204" s="42">
        <v>5053</v>
      </c>
      <c r="F204" s="31" t="s">
        <v>538</v>
      </c>
      <c r="G204" s="32"/>
      <c r="H204" s="31"/>
      <c r="I204" s="83"/>
      <c r="J204" s="83"/>
      <c r="K204" s="83"/>
      <c r="L204" s="83"/>
      <c r="M204" s="83"/>
      <c r="N204" s="83"/>
      <c r="O204" s="83"/>
      <c r="P204" s="31"/>
      <c r="Q204" s="31" t="s">
        <v>548</v>
      </c>
      <c r="R204" s="31"/>
      <c r="S204" s="31"/>
      <c r="T204" s="31"/>
      <c r="U204" s="35"/>
      <c r="V204" s="134"/>
      <c r="W204" s="85"/>
      <c r="X204" s="83"/>
      <c r="Y204" s="83"/>
      <c r="Z204" s="83"/>
      <c r="AA204" s="31"/>
      <c r="AB204" s="132"/>
      <c r="AC204" s="83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/>
      <c r="AY204"/>
      <c r="AZ204" s="83"/>
      <c r="BB204" s="31" t="str">
        <f>BBDD_TERRENO[[#This Row],[Comuna]]&amp;BBDD_TERRENO[[#This Row],[Identificacion Propiedad]]</f>
        <v>CoronelLote 59 Patagual</v>
      </c>
    </row>
    <row r="205" spans="1:54" x14ac:dyDescent="0.3">
      <c r="A205" s="31" t="s">
        <v>543</v>
      </c>
      <c r="B205" s="31" t="s">
        <v>380</v>
      </c>
      <c r="C205" s="31" t="s">
        <v>564</v>
      </c>
      <c r="E205" s="42">
        <v>5008</v>
      </c>
      <c r="F205" s="31" t="s">
        <v>538</v>
      </c>
      <c r="G205" s="32"/>
      <c r="H205" s="31"/>
      <c r="I205" s="83"/>
      <c r="J205" s="83"/>
      <c r="K205" s="83"/>
      <c r="L205" s="83"/>
      <c r="M205" s="83"/>
      <c r="N205" s="83"/>
      <c r="O205" s="83"/>
      <c r="P205" s="31"/>
      <c r="Q205" s="31" t="s">
        <v>548</v>
      </c>
      <c r="R205" s="31"/>
      <c r="S205" s="31"/>
      <c r="T205" s="31"/>
      <c r="U205" s="35"/>
      <c r="V205" s="134"/>
      <c r="W205" s="85"/>
      <c r="X205" s="83"/>
      <c r="Y205" s="83"/>
      <c r="Z205" s="83"/>
      <c r="AA205" s="31"/>
      <c r="AB205" s="132"/>
      <c r="AC205" s="83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/>
      <c r="AY205"/>
      <c r="AZ205" s="83"/>
      <c r="BB205" s="31" t="str">
        <f>BBDD_TERRENO[[#This Row],[Comuna]]&amp;BBDD_TERRENO[[#This Row],[Identificacion Propiedad]]</f>
        <v>CoronelLote 58 Patagual</v>
      </c>
    </row>
    <row r="206" spans="1:54" x14ac:dyDescent="0.3">
      <c r="A206" s="31" t="s">
        <v>543</v>
      </c>
      <c r="B206" s="31" t="s">
        <v>380</v>
      </c>
      <c r="C206" s="31" t="s">
        <v>565</v>
      </c>
      <c r="E206" s="42">
        <v>5063</v>
      </c>
      <c r="F206" s="31" t="s">
        <v>538</v>
      </c>
      <c r="G206" s="32"/>
      <c r="H206" s="31"/>
      <c r="I206" s="83"/>
      <c r="J206" s="83"/>
      <c r="K206" s="83"/>
      <c r="L206" s="83"/>
      <c r="M206" s="83"/>
      <c r="N206" s="83"/>
      <c r="O206" s="83"/>
      <c r="P206" s="31"/>
      <c r="Q206" s="31" t="s">
        <v>548</v>
      </c>
      <c r="R206" s="31"/>
      <c r="S206" s="31"/>
      <c r="T206" s="31"/>
      <c r="U206" s="35"/>
      <c r="V206" s="134"/>
      <c r="W206" s="85"/>
      <c r="X206" s="83"/>
      <c r="Y206" s="83"/>
      <c r="Z206" s="83"/>
      <c r="AA206" s="31"/>
      <c r="AB206" s="132"/>
      <c r="AC206" s="83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/>
      <c r="AY206"/>
      <c r="AZ206" s="83"/>
      <c r="BB206" s="31" t="str">
        <f>BBDD_TERRENO[[#This Row],[Comuna]]&amp;BBDD_TERRENO[[#This Row],[Identificacion Propiedad]]</f>
        <v>CoronelLote 57 Patagual</v>
      </c>
    </row>
    <row r="207" spans="1:54" x14ac:dyDescent="0.3">
      <c r="A207" s="31" t="s">
        <v>543</v>
      </c>
      <c r="B207" s="31" t="s">
        <v>380</v>
      </c>
      <c r="C207" s="31" t="s">
        <v>566</v>
      </c>
      <c r="E207" s="42">
        <v>5046</v>
      </c>
      <c r="F207" s="31" t="s">
        <v>538</v>
      </c>
      <c r="G207" s="32"/>
      <c r="H207" s="31"/>
      <c r="I207" s="83"/>
      <c r="J207" s="83"/>
      <c r="K207" s="83"/>
      <c r="L207" s="83"/>
      <c r="M207" s="83"/>
      <c r="N207" s="83"/>
      <c r="O207" s="83"/>
      <c r="P207" s="31"/>
      <c r="Q207" s="31" t="s">
        <v>548</v>
      </c>
      <c r="R207" s="31"/>
      <c r="S207" s="31"/>
      <c r="T207" s="31"/>
      <c r="U207" s="35"/>
      <c r="V207" s="134"/>
      <c r="W207" s="85"/>
      <c r="X207" s="83"/>
      <c r="Y207" s="83"/>
      <c r="Z207" s="83"/>
      <c r="AA207" s="31"/>
      <c r="AB207" s="132"/>
      <c r="AC207" s="83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/>
      <c r="AY207"/>
      <c r="AZ207" s="83"/>
      <c r="BB207" s="31" t="str">
        <f>BBDD_TERRENO[[#This Row],[Comuna]]&amp;BBDD_TERRENO[[#This Row],[Identificacion Propiedad]]</f>
        <v>CoronelLote 56 Patagual</v>
      </c>
    </row>
    <row r="208" spans="1:54" x14ac:dyDescent="0.3">
      <c r="A208" s="31" t="s">
        <v>543</v>
      </c>
      <c r="B208" s="31" t="s">
        <v>380</v>
      </c>
      <c r="C208" s="31" t="s">
        <v>567</v>
      </c>
      <c r="E208" s="42">
        <v>5088</v>
      </c>
      <c r="F208" s="31" t="s">
        <v>538</v>
      </c>
      <c r="G208" s="32"/>
      <c r="H208" s="31"/>
      <c r="I208" s="83"/>
      <c r="J208" s="83"/>
      <c r="K208" s="83"/>
      <c r="L208" s="83"/>
      <c r="M208" s="83"/>
      <c r="N208" s="83"/>
      <c r="O208" s="83"/>
      <c r="P208" s="31"/>
      <c r="Q208" s="31" t="s">
        <v>548</v>
      </c>
      <c r="R208" s="31"/>
      <c r="S208" s="31"/>
      <c r="T208" s="31"/>
      <c r="U208" s="35"/>
      <c r="V208" s="134"/>
      <c r="W208" s="85"/>
      <c r="X208" s="83"/>
      <c r="Y208" s="83"/>
      <c r="Z208" s="83"/>
      <c r="AA208" s="31"/>
      <c r="AB208" s="132"/>
      <c r="AC208" s="83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/>
      <c r="AY208"/>
      <c r="AZ208" s="83"/>
      <c r="BB208" s="31" t="str">
        <f>BBDD_TERRENO[[#This Row],[Comuna]]&amp;BBDD_TERRENO[[#This Row],[Identificacion Propiedad]]</f>
        <v>CoronelLote 55 Patagual</v>
      </c>
    </row>
    <row r="209" spans="1:54" x14ac:dyDescent="0.3">
      <c r="A209" s="31" t="s">
        <v>543</v>
      </c>
      <c r="B209" s="31" t="s">
        <v>380</v>
      </c>
      <c r="C209" s="31" t="s">
        <v>568</v>
      </c>
      <c r="E209" s="42">
        <v>5164</v>
      </c>
      <c r="F209" s="31" t="s">
        <v>538</v>
      </c>
      <c r="G209" s="32"/>
      <c r="H209" s="31"/>
      <c r="I209" s="83"/>
      <c r="J209" s="83"/>
      <c r="K209" s="83"/>
      <c r="L209" s="83"/>
      <c r="M209" s="83"/>
      <c r="N209" s="83"/>
      <c r="O209" s="83"/>
      <c r="P209" s="31"/>
      <c r="Q209" s="31" t="s">
        <v>548</v>
      </c>
      <c r="R209" s="31"/>
      <c r="S209" s="31"/>
      <c r="T209" s="31"/>
      <c r="U209" s="35"/>
      <c r="V209" s="134"/>
      <c r="W209" s="85"/>
      <c r="X209" s="83"/>
      <c r="Y209" s="83"/>
      <c r="Z209" s="83"/>
      <c r="AA209" s="31"/>
      <c r="AB209" s="132"/>
      <c r="AC209" s="83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/>
      <c r="AY209"/>
      <c r="AZ209" s="83"/>
      <c r="BB209" s="31" t="str">
        <f>BBDD_TERRENO[[#This Row],[Comuna]]&amp;BBDD_TERRENO[[#This Row],[Identificacion Propiedad]]</f>
        <v>CoronelLote 54 Patagual</v>
      </c>
    </row>
    <row r="210" spans="1:54" x14ac:dyDescent="0.3">
      <c r="A210" s="31" t="s">
        <v>543</v>
      </c>
      <c r="B210" s="31" t="s">
        <v>380</v>
      </c>
      <c r="C210" s="31" t="s">
        <v>569</v>
      </c>
      <c r="E210" s="42">
        <v>5143</v>
      </c>
      <c r="F210" s="31" t="s">
        <v>538</v>
      </c>
      <c r="G210" s="32"/>
      <c r="H210" s="31"/>
      <c r="I210" s="83"/>
      <c r="J210" s="83"/>
      <c r="K210" s="83"/>
      <c r="L210" s="83"/>
      <c r="M210" s="83"/>
      <c r="N210" s="83"/>
      <c r="O210" s="83"/>
      <c r="P210" s="31"/>
      <c r="Q210" s="31" t="s">
        <v>548</v>
      </c>
      <c r="R210" s="31"/>
      <c r="S210" s="31"/>
      <c r="T210" s="31"/>
      <c r="U210" s="35"/>
      <c r="V210" s="134"/>
      <c r="W210" s="85"/>
      <c r="X210" s="83"/>
      <c r="Y210" s="83"/>
      <c r="Z210" s="83"/>
      <c r="AA210" s="31"/>
      <c r="AB210" s="132"/>
      <c r="AC210" s="83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/>
      <c r="AY210"/>
      <c r="AZ210" s="83"/>
      <c r="BB210" s="31" t="str">
        <f>BBDD_TERRENO[[#This Row],[Comuna]]&amp;BBDD_TERRENO[[#This Row],[Identificacion Propiedad]]</f>
        <v>CoronelLote 53 Patagual</v>
      </c>
    </row>
    <row r="211" spans="1:54" x14ac:dyDescent="0.3">
      <c r="A211" s="31" t="s">
        <v>543</v>
      </c>
      <c r="B211" s="31" t="s">
        <v>380</v>
      </c>
      <c r="C211" s="31" t="s">
        <v>570</v>
      </c>
      <c r="E211" s="42">
        <v>5057</v>
      </c>
      <c r="F211" s="31" t="s">
        <v>538</v>
      </c>
      <c r="G211" s="32"/>
      <c r="H211" s="31"/>
      <c r="I211" s="83"/>
      <c r="J211" s="83"/>
      <c r="K211" s="83"/>
      <c r="L211" s="83"/>
      <c r="M211" s="83"/>
      <c r="N211" s="83"/>
      <c r="O211" s="83"/>
      <c r="P211" s="31"/>
      <c r="Q211" s="31" t="s">
        <v>548</v>
      </c>
      <c r="R211" s="31"/>
      <c r="S211" s="31"/>
      <c r="T211" s="31"/>
      <c r="U211" s="35"/>
      <c r="V211" s="134"/>
      <c r="W211" s="85"/>
      <c r="X211" s="83"/>
      <c r="Y211" s="83"/>
      <c r="Z211" s="83"/>
      <c r="AA211" s="31"/>
      <c r="AB211" s="132"/>
      <c r="AC211" s="83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/>
      <c r="AY211"/>
      <c r="AZ211" s="83"/>
      <c r="BB211" s="31" t="str">
        <f>BBDD_TERRENO[[#This Row],[Comuna]]&amp;BBDD_TERRENO[[#This Row],[Identificacion Propiedad]]</f>
        <v>CoronelLote 52 Patagual</v>
      </c>
    </row>
    <row r="212" spans="1:54" x14ac:dyDescent="0.3">
      <c r="A212" s="31" t="s">
        <v>543</v>
      </c>
      <c r="B212" s="31" t="s">
        <v>380</v>
      </c>
      <c r="C212" s="31" t="s">
        <v>571</v>
      </c>
      <c r="E212" s="42">
        <v>5102</v>
      </c>
      <c r="F212" s="31" t="s">
        <v>538</v>
      </c>
      <c r="G212" s="32"/>
      <c r="H212" s="31"/>
      <c r="I212" s="83"/>
      <c r="J212" s="83"/>
      <c r="K212" s="83"/>
      <c r="L212" s="83"/>
      <c r="M212" s="83"/>
      <c r="N212" s="83"/>
      <c r="O212" s="83"/>
      <c r="P212" s="31"/>
      <c r="Q212" s="31" t="s">
        <v>548</v>
      </c>
      <c r="R212" s="31"/>
      <c r="S212" s="31"/>
      <c r="T212" s="31"/>
      <c r="U212" s="35"/>
      <c r="V212" s="134"/>
      <c r="W212" s="85"/>
      <c r="X212" s="83"/>
      <c r="Y212" s="83"/>
      <c r="Z212" s="83"/>
      <c r="AA212" s="31"/>
      <c r="AB212" s="132"/>
      <c r="AC212" s="83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/>
      <c r="AY212"/>
      <c r="AZ212" s="83"/>
      <c r="BB212" s="31" t="str">
        <f>BBDD_TERRENO[[#This Row],[Comuna]]&amp;BBDD_TERRENO[[#This Row],[Identificacion Propiedad]]</f>
        <v>CoronelLote 51 Patagual</v>
      </c>
    </row>
    <row r="213" spans="1:54" x14ac:dyDescent="0.3">
      <c r="A213" s="31" t="s">
        <v>543</v>
      </c>
      <c r="B213" s="31" t="s">
        <v>380</v>
      </c>
      <c r="C213" s="31" t="s">
        <v>572</v>
      </c>
      <c r="E213" s="42">
        <v>5076</v>
      </c>
      <c r="F213" s="31" t="s">
        <v>538</v>
      </c>
      <c r="G213" s="32"/>
      <c r="H213" s="31"/>
      <c r="I213" s="83"/>
      <c r="J213" s="83"/>
      <c r="K213" s="83"/>
      <c r="L213" s="83"/>
      <c r="M213" s="83"/>
      <c r="N213" s="83"/>
      <c r="O213" s="83"/>
      <c r="P213" s="31"/>
      <c r="Q213" s="31" t="s">
        <v>548</v>
      </c>
      <c r="R213" s="31"/>
      <c r="S213" s="31"/>
      <c r="T213" s="31"/>
      <c r="U213" s="35"/>
      <c r="V213" s="134"/>
      <c r="W213" s="85"/>
      <c r="X213" s="83"/>
      <c r="Y213" s="83"/>
      <c r="Z213" s="83"/>
      <c r="AA213" s="31"/>
      <c r="AB213" s="132"/>
      <c r="AC213" s="83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/>
      <c r="AY213"/>
      <c r="AZ213" s="83"/>
      <c r="BB213" s="31" t="str">
        <f>BBDD_TERRENO[[#This Row],[Comuna]]&amp;BBDD_TERRENO[[#This Row],[Identificacion Propiedad]]</f>
        <v>CoronelLote 50 Patagual</v>
      </c>
    </row>
    <row r="214" spans="1:54" x14ac:dyDescent="0.3">
      <c r="A214" s="31" t="s">
        <v>543</v>
      </c>
      <c r="B214" s="31" t="s">
        <v>380</v>
      </c>
      <c r="C214" s="31" t="s">
        <v>573</v>
      </c>
      <c r="E214" s="42">
        <v>5050</v>
      </c>
      <c r="F214" s="31" t="s">
        <v>538</v>
      </c>
      <c r="G214" s="32"/>
      <c r="H214" s="31"/>
      <c r="I214" s="83"/>
      <c r="J214" s="83"/>
      <c r="K214" s="83"/>
      <c r="L214" s="83"/>
      <c r="M214" s="83"/>
      <c r="N214" s="83"/>
      <c r="O214" s="83"/>
      <c r="P214" s="31"/>
      <c r="Q214" s="31" t="s">
        <v>548</v>
      </c>
      <c r="R214" s="31"/>
      <c r="S214" s="31"/>
      <c r="T214" s="31"/>
      <c r="U214" s="35"/>
      <c r="V214" s="134"/>
      <c r="W214" s="85"/>
      <c r="X214" s="83"/>
      <c r="Y214" s="83"/>
      <c r="Z214" s="83"/>
      <c r="AA214" s="31"/>
      <c r="AB214" s="132"/>
      <c r="AC214" s="83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/>
      <c r="AY214"/>
      <c r="AZ214" s="83"/>
      <c r="BB214" s="31" t="str">
        <f>BBDD_TERRENO[[#This Row],[Comuna]]&amp;BBDD_TERRENO[[#This Row],[Identificacion Propiedad]]</f>
        <v>CoronelLote 49 Patagual</v>
      </c>
    </row>
    <row r="215" spans="1:54" x14ac:dyDescent="0.3">
      <c r="A215" s="31" t="s">
        <v>543</v>
      </c>
      <c r="B215" s="31" t="s">
        <v>380</v>
      </c>
      <c r="C215" s="31" t="s">
        <v>574</v>
      </c>
      <c r="E215" s="42">
        <v>5081</v>
      </c>
      <c r="F215" s="31" t="s">
        <v>538</v>
      </c>
      <c r="G215" s="32"/>
      <c r="H215" s="31"/>
      <c r="I215" s="83"/>
      <c r="J215" s="83"/>
      <c r="K215" s="83"/>
      <c r="L215" s="83"/>
      <c r="M215" s="83"/>
      <c r="N215" s="83"/>
      <c r="O215" s="83"/>
      <c r="P215" s="31"/>
      <c r="Q215" s="31" t="s">
        <v>548</v>
      </c>
      <c r="R215" s="31"/>
      <c r="S215" s="31"/>
      <c r="T215" s="31"/>
      <c r="U215" s="35"/>
      <c r="V215" s="134"/>
      <c r="W215" s="85"/>
      <c r="X215" s="83"/>
      <c r="Y215" s="83"/>
      <c r="Z215" s="83"/>
      <c r="AA215" s="31"/>
      <c r="AB215" s="132"/>
      <c r="AC215" s="83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/>
      <c r="AY215"/>
      <c r="AZ215" s="83"/>
      <c r="BB215" s="31" t="str">
        <f>BBDD_TERRENO[[#This Row],[Comuna]]&amp;BBDD_TERRENO[[#This Row],[Identificacion Propiedad]]</f>
        <v>CoronelLote 48 Patagual</v>
      </c>
    </row>
    <row r="216" spans="1:54" x14ac:dyDescent="0.3">
      <c r="A216" s="31" t="s">
        <v>543</v>
      </c>
      <c r="B216" s="31" t="s">
        <v>380</v>
      </c>
      <c r="C216" s="31" t="s">
        <v>575</v>
      </c>
      <c r="E216" s="42">
        <v>5058</v>
      </c>
      <c r="F216" s="31" t="s">
        <v>538</v>
      </c>
      <c r="G216" s="32"/>
      <c r="H216" s="31"/>
      <c r="I216" s="83"/>
      <c r="J216" s="83"/>
      <c r="K216" s="83"/>
      <c r="L216" s="83"/>
      <c r="M216" s="83"/>
      <c r="N216" s="83"/>
      <c r="O216" s="83"/>
      <c r="P216" s="31"/>
      <c r="Q216" s="31" t="s">
        <v>548</v>
      </c>
      <c r="R216" s="31"/>
      <c r="S216" s="31"/>
      <c r="T216" s="31"/>
      <c r="U216" s="35"/>
      <c r="V216" s="134"/>
      <c r="W216" s="85"/>
      <c r="X216" s="83"/>
      <c r="Y216" s="83"/>
      <c r="Z216" s="83"/>
      <c r="AA216" s="31"/>
      <c r="AB216" s="132"/>
      <c r="AC216" s="83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/>
      <c r="AY216"/>
      <c r="AZ216" s="83"/>
      <c r="BB216" s="31" t="str">
        <f>BBDD_TERRENO[[#This Row],[Comuna]]&amp;BBDD_TERRENO[[#This Row],[Identificacion Propiedad]]</f>
        <v>CoronelLote 47 Patagual</v>
      </c>
    </row>
    <row r="217" spans="1:54" x14ac:dyDescent="0.3">
      <c r="A217" s="31" t="s">
        <v>543</v>
      </c>
      <c r="B217" s="31" t="s">
        <v>380</v>
      </c>
      <c r="C217" s="31" t="s">
        <v>576</v>
      </c>
      <c r="E217" s="42">
        <v>5043</v>
      </c>
      <c r="F217" s="31" t="s">
        <v>538</v>
      </c>
      <c r="G217" s="32"/>
      <c r="H217" s="31"/>
      <c r="I217" s="83"/>
      <c r="J217" s="83"/>
      <c r="K217" s="83"/>
      <c r="L217" s="83"/>
      <c r="M217" s="83"/>
      <c r="N217" s="83"/>
      <c r="O217" s="83"/>
      <c r="P217" s="31"/>
      <c r="Q217" s="31" t="s">
        <v>548</v>
      </c>
      <c r="R217" s="31"/>
      <c r="S217" s="31"/>
      <c r="T217" s="31"/>
      <c r="U217" s="35"/>
      <c r="V217" s="134"/>
      <c r="W217" s="85"/>
      <c r="X217" s="83"/>
      <c r="Y217" s="83"/>
      <c r="Z217" s="83"/>
      <c r="AA217" s="31"/>
      <c r="AB217" s="132"/>
      <c r="AC217" s="83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/>
      <c r="AY217"/>
      <c r="AZ217" s="83"/>
      <c r="BB217" s="31" t="str">
        <f>BBDD_TERRENO[[#This Row],[Comuna]]&amp;BBDD_TERRENO[[#This Row],[Identificacion Propiedad]]</f>
        <v>CoronelLote 46 Patagual</v>
      </c>
    </row>
    <row r="218" spans="1:54" x14ac:dyDescent="0.3">
      <c r="A218" s="31" t="s">
        <v>543</v>
      </c>
      <c r="B218" s="31" t="s">
        <v>380</v>
      </c>
      <c r="C218" s="31" t="s">
        <v>577</v>
      </c>
      <c r="E218" s="42">
        <v>5030</v>
      </c>
      <c r="F218" s="31" t="s">
        <v>538</v>
      </c>
      <c r="G218" s="32"/>
      <c r="H218" s="31"/>
      <c r="I218" s="83"/>
      <c r="J218" s="83"/>
      <c r="K218" s="83"/>
      <c r="L218" s="83"/>
      <c r="M218" s="83"/>
      <c r="N218" s="83"/>
      <c r="O218" s="83"/>
      <c r="P218" s="31"/>
      <c r="Q218" s="31" t="s">
        <v>548</v>
      </c>
      <c r="R218" s="31"/>
      <c r="S218" s="31"/>
      <c r="T218" s="31"/>
      <c r="U218" s="35"/>
      <c r="V218" s="134"/>
      <c r="W218" s="85"/>
      <c r="X218" s="83"/>
      <c r="Y218" s="83"/>
      <c r="Z218" s="83"/>
      <c r="AA218" s="31"/>
      <c r="AB218" s="132"/>
      <c r="AC218" s="83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/>
      <c r="AY218"/>
      <c r="AZ218" s="83"/>
      <c r="BB218" s="31" t="str">
        <f>BBDD_TERRENO[[#This Row],[Comuna]]&amp;BBDD_TERRENO[[#This Row],[Identificacion Propiedad]]</f>
        <v>CoronelLote 45 Patagual</v>
      </c>
    </row>
    <row r="219" spans="1:54" x14ac:dyDescent="0.3">
      <c r="A219" s="31" t="s">
        <v>543</v>
      </c>
      <c r="B219" s="31" t="s">
        <v>380</v>
      </c>
      <c r="C219" s="31" t="s">
        <v>578</v>
      </c>
      <c r="E219" s="42">
        <v>5058</v>
      </c>
      <c r="F219" s="31" t="s">
        <v>538</v>
      </c>
      <c r="G219" s="32"/>
      <c r="H219" s="31"/>
      <c r="I219" s="83"/>
      <c r="J219" s="83"/>
      <c r="K219" s="83"/>
      <c r="L219" s="83"/>
      <c r="M219" s="83"/>
      <c r="N219" s="83"/>
      <c r="O219" s="83"/>
      <c r="P219" s="31"/>
      <c r="Q219" s="31" t="s">
        <v>548</v>
      </c>
      <c r="R219" s="31"/>
      <c r="S219" s="31"/>
      <c r="T219" s="31"/>
      <c r="U219" s="35"/>
      <c r="V219" s="134"/>
      <c r="W219" s="85"/>
      <c r="X219" s="83"/>
      <c r="Y219" s="83"/>
      <c r="Z219" s="83"/>
      <c r="AA219" s="31"/>
      <c r="AB219" s="132"/>
      <c r="AC219" s="83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/>
      <c r="AY219"/>
      <c r="AZ219" s="83"/>
      <c r="BB219" s="31" t="str">
        <f>BBDD_TERRENO[[#This Row],[Comuna]]&amp;BBDD_TERRENO[[#This Row],[Identificacion Propiedad]]</f>
        <v>CoronelLote 44 Patagual</v>
      </c>
    </row>
    <row r="220" spans="1:54" x14ac:dyDescent="0.3">
      <c r="A220" s="31" t="s">
        <v>543</v>
      </c>
      <c r="B220" s="31" t="s">
        <v>380</v>
      </c>
      <c r="C220" s="31" t="s">
        <v>579</v>
      </c>
      <c r="E220" s="42">
        <v>5075</v>
      </c>
      <c r="F220" s="31" t="s">
        <v>538</v>
      </c>
      <c r="G220" s="32"/>
      <c r="H220" s="31"/>
      <c r="I220" s="83"/>
      <c r="J220" s="83"/>
      <c r="K220" s="83"/>
      <c r="L220" s="83"/>
      <c r="M220" s="83"/>
      <c r="N220" s="83"/>
      <c r="O220" s="83"/>
      <c r="P220" s="31"/>
      <c r="Q220" s="31" t="s">
        <v>548</v>
      </c>
      <c r="R220" s="31"/>
      <c r="S220" s="31"/>
      <c r="T220" s="31"/>
      <c r="U220" s="35"/>
      <c r="V220" s="134"/>
      <c r="W220" s="85"/>
      <c r="X220" s="83"/>
      <c r="Y220" s="83"/>
      <c r="Z220" s="83"/>
      <c r="AA220" s="31"/>
      <c r="AB220" s="132"/>
      <c r="AC220" s="83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/>
      <c r="AY220"/>
      <c r="AZ220" s="83"/>
      <c r="BB220" s="31" t="str">
        <f>BBDD_TERRENO[[#This Row],[Comuna]]&amp;BBDD_TERRENO[[#This Row],[Identificacion Propiedad]]</f>
        <v>CoronelLote 43 Patagual</v>
      </c>
    </row>
    <row r="221" spans="1:54" x14ac:dyDescent="0.3">
      <c r="A221" s="31" t="s">
        <v>543</v>
      </c>
      <c r="B221" s="31" t="s">
        <v>380</v>
      </c>
      <c r="C221" s="31" t="s">
        <v>580</v>
      </c>
      <c r="E221" s="42">
        <v>5130</v>
      </c>
      <c r="F221" s="31" t="s">
        <v>538</v>
      </c>
      <c r="G221" s="32"/>
      <c r="H221" s="31"/>
      <c r="I221" s="83"/>
      <c r="J221" s="83"/>
      <c r="K221" s="83"/>
      <c r="L221" s="83"/>
      <c r="M221" s="83"/>
      <c r="N221" s="83"/>
      <c r="O221" s="83"/>
      <c r="P221" s="31"/>
      <c r="Q221" s="31" t="s">
        <v>548</v>
      </c>
      <c r="R221" s="31"/>
      <c r="S221" s="31"/>
      <c r="T221" s="31"/>
      <c r="U221" s="35"/>
      <c r="V221" s="134"/>
      <c r="W221" s="85"/>
      <c r="X221" s="83"/>
      <c r="Y221" s="83"/>
      <c r="Z221" s="83"/>
      <c r="AA221" s="31"/>
      <c r="AB221" s="132"/>
      <c r="AC221" s="83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/>
      <c r="AY221"/>
      <c r="AZ221" s="83"/>
      <c r="BB221" s="31" t="str">
        <f>BBDD_TERRENO[[#This Row],[Comuna]]&amp;BBDD_TERRENO[[#This Row],[Identificacion Propiedad]]</f>
        <v>CoronelLote 42 Patagual</v>
      </c>
    </row>
    <row r="222" spans="1:54" x14ac:dyDescent="0.3">
      <c r="A222" s="31" t="s">
        <v>543</v>
      </c>
      <c r="B222" s="31" t="s">
        <v>380</v>
      </c>
      <c r="C222" s="31" t="s">
        <v>581</v>
      </c>
      <c r="E222" s="42">
        <v>5058</v>
      </c>
      <c r="F222" s="31" t="s">
        <v>538</v>
      </c>
      <c r="G222" s="32"/>
      <c r="H222" s="31"/>
      <c r="I222" s="83"/>
      <c r="J222" s="83"/>
      <c r="K222" s="83"/>
      <c r="L222" s="83"/>
      <c r="M222" s="83"/>
      <c r="N222" s="83"/>
      <c r="O222" s="83"/>
      <c r="P222" s="31"/>
      <c r="Q222" s="31" t="s">
        <v>548</v>
      </c>
      <c r="R222" s="31"/>
      <c r="S222" s="31"/>
      <c r="T222" s="31"/>
      <c r="U222" s="35"/>
      <c r="V222" s="134"/>
      <c r="W222" s="85"/>
      <c r="X222" s="83"/>
      <c r="Y222" s="83"/>
      <c r="Z222" s="83"/>
      <c r="AA222" s="31"/>
      <c r="AB222" s="132"/>
      <c r="AC222" s="83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/>
      <c r="AY222"/>
      <c r="AZ222" s="83"/>
      <c r="BB222" s="31" t="str">
        <f>BBDD_TERRENO[[#This Row],[Comuna]]&amp;BBDD_TERRENO[[#This Row],[Identificacion Propiedad]]</f>
        <v>CoronelLote 41 Patagual</v>
      </c>
    </row>
    <row r="223" spans="1:54" x14ac:dyDescent="0.3">
      <c r="A223" s="31" t="s">
        <v>543</v>
      </c>
      <c r="B223" s="31" t="s">
        <v>380</v>
      </c>
      <c r="C223" s="31" t="s">
        <v>582</v>
      </c>
      <c r="E223" s="42">
        <v>5026</v>
      </c>
      <c r="F223" s="31" t="s">
        <v>538</v>
      </c>
      <c r="G223" s="32"/>
      <c r="H223" s="31"/>
      <c r="I223" s="83"/>
      <c r="J223" s="83"/>
      <c r="K223" s="83"/>
      <c r="L223" s="83"/>
      <c r="M223" s="83"/>
      <c r="N223" s="83"/>
      <c r="O223" s="83"/>
      <c r="P223" s="31"/>
      <c r="Q223" s="31" t="s">
        <v>548</v>
      </c>
      <c r="R223" s="31"/>
      <c r="S223" s="31"/>
      <c r="T223" s="31"/>
      <c r="U223" s="35"/>
      <c r="V223" s="134"/>
      <c r="W223" s="85"/>
      <c r="X223" s="83"/>
      <c r="Y223" s="83"/>
      <c r="Z223" s="83"/>
      <c r="AA223" s="31"/>
      <c r="AB223" s="132"/>
      <c r="AC223" s="83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/>
      <c r="AY223"/>
      <c r="AZ223" s="83"/>
      <c r="BB223" s="31" t="str">
        <f>BBDD_TERRENO[[#This Row],[Comuna]]&amp;BBDD_TERRENO[[#This Row],[Identificacion Propiedad]]</f>
        <v>CoronelLote 40 Patagual</v>
      </c>
    </row>
    <row r="224" spans="1:54" x14ac:dyDescent="0.3">
      <c r="A224" s="31" t="s">
        <v>543</v>
      </c>
      <c r="B224" s="31" t="s">
        <v>380</v>
      </c>
      <c r="C224" s="31" t="s">
        <v>583</v>
      </c>
      <c r="E224" s="42">
        <v>5031</v>
      </c>
      <c r="F224" s="31" t="s">
        <v>538</v>
      </c>
      <c r="G224" s="32"/>
      <c r="H224" s="31"/>
      <c r="I224" s="83"/>
      <c r="J224" s="83"/>
      <c r="K224" s="83"/>
      <c r="L224" s="83"/>
      <c r="M224" s="83"/>
      <c r="N224" s="83"/>
      <c r="O224" s="83"/>
      <c r="P224" s="31"/>
      <c r="Q224" s="31" t="s">
        <v>548</v>
      </c>
      <c r="R224" s="31"/>
      <c r="S224" s="31"/>
      <c r="T224" s="31"/>
      <c r="U224" s="35"/>
      <c r="V224" s="134"/>
      <c r="W224" s="85"/>
      <c r="X224" s="83"/>
      <c r="Y224" s="83"/>
      <c r="Z224" s="83"/>
      <c r="AA224" s="31"/>
      <c r="AB224" s="132"/>
      <c r="AC224" s="83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/>
      <c r="AY224"/>
      <c r="AZ224" s="83"/>
      <c r="BB224" s="31" t="str">
        <f>BBDD_TERRENO[[#This Row],[Comuna]]&amp;BBDD_TERRENO[[#This Row],[Identificacion Propiedad]]</f>
        <v>CoronelLote 39 Patagual</v>
      </c>
    </row>
    <row r="225" spans="1:54" x14ac:dyDescent="0.3">
      <c r="A225" s="31" t="s">
        <v>543</v>
      </c>
      <c r="B225" s="31" t="s">
        <v>380</v>
      </c>
      <c r="C225" s="31" t="s">
        <v>584</v>
      </c>
      <c r="E225" s="42">
        <v>5058</v>
      </c>
      <c r="F225" s="31" t="s">
        <v>538</v>
      </c>
      <c r="G225" s="32"/>
      <c r="H225" s="31"/>
      <c r="I225" s="83"/>
      <c r="J225" s="83"/>
      <c r="K225" s="83"/>
      <c r="L225" s="83"/>
      <c r="M225" s="83"/>
      <c r="N225" s="83"/>
      <c r="O225" s="83"/>
      <c r="P225" s="31"/>
      <c r="Q225" s="31" t="s">
        <v>548</v>
      </c>
      <c r="R225" s="31"/>
      <c r="S225" s="31"/>
      <c r="T225" s="31"/>
      <c r="U225" s="35"/>
      <c r="V225" s="134"/>
      <c r="W225" s="85"/>
      <c r="X225" s="83"/>
      <c r="Y225" s="83"/>
      <c r="Z225" s="83"/>
      <c r="AA225" s="31"/>
      <c r="AB225" s="132"/>
      <c r="AC225" s="83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/>
      <c r="AY225"/>
      <c r="AZ225" s="83"/>
      <c r="BB225" s="31" t="str">
        <f>BBDD_TERRENO[[#This Row],[Comuna]]&amp;BBDD_TERRENO[[#This Row],[Identificacion Propiedad]]</f>
        <v>CoronelLote 38 Patagual</v>
      </c>
    </row>
    <row r="226" spans="1:54" x14ac:dyDescent="0.3">
      <c r="A226" s="31" t="s">
        <v>543</v>
      </c>
      <c r="B226" s="31" t="s">
        <v>380</v>
      </c>
      <c r="C226" s="31" t="s">
        <v>585</v>
      </c>
      <c r="E226" s="42">
        <v>5092</v>
      </c>
      <c r="F226" s="31" t="s">
        <v>538</v>
      </c>
      <c r="G226" s="32"/>
      <c r="H226" s="31"/>
      <c r="I226" s="83"/>
      <c r="J226" s="83"/>
      <c r="K226" s="83"/>
      <c r="L226" s="83"/>
      <c r="M226" s="83"/>
      <c r="N226" s="83"/>
      <c r="O226" s="83"/>
      <c r="P226" s="31"/>
      <c r="Q226" s="31" t="s">
        <v>548</v>
      </c>
      <c r="R226" s="31"/>
      <c r="S226" s="31"/>
      <c r="T226" s="31"/>
      <c r="U226" s="35"/>
      <c r="V226" s="134"/>
      <c r="W226" s="85"/>
      <c r="X226" s="83"/>
      <c r="Y226" s="83"/>
      <c r="Z226" s="83"/>
      <c r="AA226" s="31"/>
      <c r="AB226" s="132"/>
      <c r="AC226" s="83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/>
      <c r="AY226"/>
      <c r="AZ226" s="83"/>
      <c r="BB226" s="31" t="str">
        <f>BBDD_TERRENO[[#This Row],[Comuna]]&amp;BBDD_TERRENO[[#This Row],[Identificacion Propiedad]]</f>
        <v>CoronelLote 37 Patagual</v>
      </c>
    </row>
    <row r="227" spans="1:54" x14ac:dyDescent="0.3">
      <c r="A227" s="31" t="s">
        <v>543</v>
      </c>
      <c r="B227" s="31" t="s">
        <v>380</v>
      </c>
      <c r="C227" s="31" t="s">
        <v>586</v>
      </c>
      <c r="E227" s="42">
        <v>5043</v>
      </c>
      <c r="F227" s="31" t="s">
        <v>538</v>
      </c>
      <c r="G227" s="32"/>
      <c r="H227" s="31"/>
      <c r="I227" s="83"/>
      <c r="J227" s="83"/>
      <c r="K227" s="83"/>
      <c r="L227" s="83"/>
      <c r="M227" s="83"/>
      <c r="N227" s="83"/>
      <c r="O227" s="83"/>
      <c r="P227" s="31"/>
      <c r="Q227" s="31" t="s">
        <v>548</v>
      </c>
      <c r="R227" s="31"/>
      <c r="S227" s="31"/>
      <c r="T227" s="31"/>
      <c r="U227" s="35"/>
      <c r="V227" s="134"/>
      <c r="W227" s="85"/>
      <c r="X227" s="83"/>
      <c r="Y227" s="83"/>
      <c r="Z227" s="83"/>
      <c r="AA227" s="31"/>
      <c r="AB227" s="132"/>
      <c r="AC227" s="83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/>
      <c r="AY227"/>
      <c r="AZ227" s="83"/>
      <c r="BB227" s="31" t="str">
        <f>BBDD_TERRENO[[#This Row],[Comuna]]&amp;BBDD_TERRENO[[#This Row],[Identificacion Propiedad]]</f>
        <v>CoronelLote 36 Patagual</v>
      </c>
    </row>
    <row r="228" spans="1:54" x14ac:dyDescent="0.3">
      <c r="A228" s="31" t="s">
        <v>543</v>
      </c>
      <c r="B228" s="31" t="s">
        <v>380</v>
      </c>
      <c r="C228" s="31" t="s">
        <v>587</v>
      </c>
      <c r="E228" s="42">
        <v>5058</v>
      </c>
      <c r="F228" s="31" t="s">
        <v>538</v>
      </c>
      <c r="G228" s="32"/>
      <c r="H228" s="31"/>
      <c r="I228" s="83"/>
      <c r="J228" s="83"/>
      <c r="K228" s="83"/>
      <c r="L228" s="83"/>
      <c r="M228" s="83"/>
      <c r="N228" s="83"/>
      <c r="O228" s="83"/>
      <c r="P228" s="31"/>
      <c r="Q228" s="31" t="s">
        <v>548</v>
      </c>
      <c r="R228" s="31"/>
      <c r="S228" s="31"/>
      <c r="T228" s="31"/>
      <c r="U228" s="35"/>
      <c r="V228" s="134"/>
      <c r="W228" s="85"/>
      <c r="X228" s="83"/>
      <c r="Y228" s="83"/>
      <c r="Z228" s="83"/>
      <c r="AA228" s="31"/>
      <c r="AB228" s="132"/>
      <c r="AC228" s="83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/>
      <c r="AY228"/>
      <c r="AZ228" s="83"/>
      <c r="BB228" s="31" t="str">
        <f>BBDD_TERRENO[[#This Row],[Comuna]]&amp;BBDD_TERRENO[[#This Row],[Identificacion Propiedad]]</f>
        <v>CoronelLote 35 Patagual</v>
      </c>
    </row>
    <row r="229" spans="1:54" x14ac:dyDescent="0.3">
      <c r="A229" s="31" t="s">
        <v>543</v>
      </c>
      <c r="B229" s="31" t="s">
        <v>380</v>
      </c>
      <c r="C229" s="31" t="s">
        <v>588</v>
      </c>
      <c r="E229" s="42">
        <v>5098</v>
      </c>
      <c r="F229" s="31" t="s">
        <v>538</v>
      </c>
      <c r="G229" s="32"/>
      <c r="H229" s="31"/>
      <c r="I229" s="83"/>
      <c r="J229" s="83"/>
      <c r="K229" s="83"/>
      <c r="L229" s="83"/>
      <c r="M229" s="83"/>
      <c r="N229" s="83"/>
      <c r="O229" s="83"/>
      <c r="P229" s="31"/>
      <c r="Q229" s="31" t="s">
        <v>548</v>
      </c>
      <c r="R229" s="31"/>
      <c r="S229" s="31"/>
      <c r="T229" s="31"/>
      <c r="U229" s="35"/>
      <c r="V229" s="134"/>
      <c r="W229" s="85"/>
      <c r="X229" s="83"/>
      <c r="Y229" s="83"/>
      <c r="Z229" s="83"/>
      <c r="AA229" s="31"/>
      <c r="AB229" s="132"/>
      <c r="AC229" s="83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/>
      <c r="AY229"/>
      <c r="AZ229" s="83"/>
      <c r="BB229" s="31" t="str">
        <f>BBDD_TERRENO[[#This Row],[Comuna]]&amp;BBDD_TERRENO[[#This Row],[Identificacion Propiedad]]</f>
        <v>CoronelLote 34 Patagual</v>
      </c>
    </row>
    <row r="230" spans="1:54" x14ac:dyDescent="0.3">
      <c r="A230" s="31" t="s">
        <v>543</v>
      </c>
      <c r="B230" s="31" t="s">
        <v>380</v>
      </c>
      <c r="C230" s="31" t="s">
        <v>589</v>
      </c>
      <c r="E230" s="42">
        <v>5068</v>
      </c>
      <c r="F230" s="31" t="s">
        <v>538</v>
      </c>
      <c r="G230" s="32"/>
      <c r="H230" s="31"/>
      <c r="I230" s="83"/>
      <c r="J230" s="83"/>
      <c r="K230" s="83"/>
      <c r="L230" s="83"/>
      <c r="M230" s="83"/>
      <c r="N230" s="83"/>
      <c r="O230" s="83"/>
      <c r="P230" s="31"/>
      <c r="Q230" s="31" t="s">
        <v>548</v>
      </c>
      <c r="R230" s="31"/>
      <c r="S230" s="31"/>
      <c r="T230" s="31"/>
      <c r="U230" s="35"/>
      <c r="V230" s="134"/>
      <c r="W230" s="85"/>
      <c r="X230" s="83"/>
      <c r="Y230" s="83"/>
      <c r="Z230" s="83"/>
      <c r="AA230" s="31"/>
      <c r="AB230" s="132"/>
      <c r="AC230" s="83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/>
      <c r="AY230"/>
      <c r="AZ230" s="83"/>
      <c r="BB230" s="31" t="str">
        <f>BBDD_TERRENO[[#This Row],[Comuna]]&amp;BBDD_TERRENO[[#This Row],[Identificacion Propiedad]]</f>
        <v>CoronelLote 33 Patagual</v>
      </c>
    </row>
    <row r="231" spans="1:54" x14ac:dyDescent="0.3">
      <c r="A231" s="31" t="s">
        <v>543</v>
      </c>
      <c r="B231" s="31" t="s">
        <v>380</v>
      </c>
      <c r="C231" s="31" t="s">
        <v>590</v>
      </c>
      <c r="E231" s="42">
        <v>5119</v>
      </c>
      <c r="F231" s="31" t="s">
        <v>538</v>
      </c>
      <c r="G231" s="32"/>
      <c r="H231" s="31"/>
      <c r="I231" s="83"/>
      <c r="J231" s="83"/>
      <c r="K231" s="83"/>
      <c r="L231" s="83"/>
      <c r="M231" s="83"/>
      <c r="N231" s="83"/>
      <c r="O231" s="83"/>
      <c r="P231" s="31"/>
      <c r="Q231" s="31" t="s">
        <v>548</v>
      </c>
      <c r="R231" s="31"/>
      <c r="S231" s="31"/>
      <c r="T231" s="31"/>
      <c r="U231" s="35"/>
      <c r="V231" s="134"/>
      <c r="W231" s="85"/>
      <c r="X231" s="83"/>
      <c r="Y231" s="83"/>
      <c r="Z231" s="83"/>
      <c r="AA231" s="31"/>
      <c r="AB231" s="132"/>
      <c r="AC231" s="83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/>
      <c r="AY231"/>
      <c r="AZ231" s="83"/>
      <c r="BB231" s="31" t="str">
        <f>BBDD_TERRENO[[#This Row],[Comuna]]&amp;BBDD_TERRENO[[#This Row],[Identificacion Propiedad]]</f>
        <v>CoronelLote 32 Patagual</v>
      </c>
    </row>
    <row r="232" spans="1:54" x14ac:dyDescent="0.3">
      <c r="A232" s="31" t="s">
        <v>543</v>
      </c>
      <c r="B232" s="31" t="s">
        <v>380</v>
      </c>
      <c r="C232" s="31" t="s">
        <v>591</v>
      </c>
      <c r="E232" s="42">
        <v>5142</v>
      </c>
      <c r="F232" s="31" t="s">
        <v>538</v>
      </c>
      <c r="G232" s="32"/>
      <c r="H232" s="31"/>
      <c r="I232" s="83"/>
      <c r="J232" s="83"/>
      <c r="K232" s="83"/>
      <c r="L232" s="83"/>
      <c r="M232" s="83"/>
      <c r="N232" s="83"/>
      <c r="O232" s="83"/>
      <c r="P232" s="31"/>
      <c r="Q232" s="31" t="s">
        <v>548</v>
      </c>
      <c r="R232" s="31"/>
      <c r="S232" s="31"/>
      <c r="T232" s="31"/>
      <c r="U232" s="35"/>
      <c r="V232" s="134"/>
      <c r="W232" s="85"/>
      <c r="X232" s="83"/>
      <c r="Y232" s="83"/>
      <c r="Z232" s="83"/>
      <c r="AA232" s="31"/>
      <c r="AB232" s="132"/>
      <c r="AC232" s="83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/>
      <c r="AY232"/>
      <c r="AZ232" s="83"/>
      <c r="BB232" s="31" t="str">
        <f>BBDD_TERRENO[[#This Row],[Comuna]]&amp;BBDD_TERRENO[[#This Row],[Identificacion Propiedad]]</f>
        <v>CoronelLote 31 Patagual</v>
      </c>
    </row>
    <row r="233" spans="1:54" x14ac:dyDescent="0.3">
      <c r="A233" s="31" t="s">
        <v>543</v>
      </c>
      <c r="B233" s="31" t="s">
        <v>380</v>
      </c>
      <c r="C233" s="31" t="s">
        <v>592</v>
      </c>
      <c r="E233" s="42">
        <v>5005</v>
      </c>
      <c r="F233" s="31" t="s">
        <v>538</v>
      </c>
      <c r="G233" s="32"/>
      <c r="H233" s="31"/>
      <c r="I233" s="83"/>
      <c r="J233" s="83"/>
      <c r="K233" s="83"/>
      <c r="L233" s="83"/>
      <c r="M233" s="83"/>
      <c r="N233" s="83"/>
      <c r="O233" s="83"/>
      <c r="P233" s="31"/>
      <c r="Q233" s="31" t="s">
        <v>548</v>
      </c>
      <c r="R233" s="31"/>
      <c r="S233" s="31"/>
      <c r="T233" s="31"/>
      <c r="U233" s="35"/>
      <c r="V233" s="134"/>
      <c r="W233" s="85"/>
      <c r="X233" s="83"/>
      <c r="Y233" s="83"/>
      <c r="Z233" s="83"/>
      <c r="AA233" s="31"/>
      <c r="AB233" s="132"/>
      <c r="AC233" s="83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/>
      <c r="AY233"/>
      <c r="AZ233" s="83"/>
      <c r="BB233" s="31" t="str">
        <f>BBDD_TERRENO[[#This Row],[Comuna]]&amp;BBDD_TERRENO[[#This Row],[Identificacion Propiedad]]</f>
        <v>CoronelLote 30 Patagual</v>
      </c>
    </row>
    <row r="234" spans="1:54" x14ac:dyDescent="0.3">
      <c r="A234" s="31" t="s">
        <v>543</v>
      </c>
      <c r="B234" s="31" t="s">
        <v>380</v>
      </c>
      <c r="C234" s="31" t="s">
        <v>593</v>
      </c>
      <c r="E234" s="42">
        <v>5058</v>
      </c>
      <c r="F234" s="31" t="s">
        <v>538</v>
      </c>
      <c r="G234" s="32"/>
      <c r="H234" s="31"/>
      <c r="I234" s="83"/>
      <c r="J234" s="83"/>
      <c r="K234" s="83"/>
      <c r="L234" s="83"/>
      <c r="M234" s="83"/>
      <c r="N234" s="83"/>
      <c r="O234" s="83"/>
      <c r="P234" s="31"/>
      <c r="Q234" s="31" t="s">
        <v>548</v>
      </c>
      <c r="R234" s="31"/>
      <c r="S234" s="31"/>
      <c r="T234" s="31"/>
      <c r="U234" s="35"/>
      <c r="V234" s="134"/>
      <c r="W234" s="85"/>
      <c r="X234" s="83"/>
      <c r="Y234" s="83"/>
      <c r="Z234" s="83"/>
      <c r="AA234" s="31"/>
      <c r="AB234" s="132"/>
      <c r="AC234" s="83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/>
      <c r="AY234"/>
      <c r="AZ234" s="83"/>
      <c r="BB234" s="31" t="str">
        <f>BBDD_TERRENO[[#This Row],[Comuna]]&amp;BBDD_TERRENO[[#This Row],[Identificacion Propiedad]]</f>
        <v>CoronelLote 29 Patagual</v>
      </c>
    </row>
    <row r="235" spans="1:54" x14ac:dyDescent="0.3">
      <c r="A235" s="31" t="s">
        <v>543</v>
      </c>
      <c r="B235" s="31" t="s">
        <v>380</v>
      </c>
      <c r="C235" s="31" t="s">
        <v>594</v>
      </c>
      <c r="E235" s="42">
        <v>5074</v>
      </c>
      <c r="F235" s="31" t="s">
        <v>538</v>
      </c>
      <c r="G235" s="32"/>
      <c r="H235" s="31"/>
      <c r="I235" s="83"/>
      <c r="J235" s="83"/>
      <c r="K235" s="83"/>
      <c r="L235" s="83"/>
      <c r="M235" s="83"/>
      <c r="N235" s="83"/>
      <c r="O235" s="83"/>
      <c r="P235" s="31"/>
      <c r="Q235" s="31" t="s">
        <v>548</v>
      </c>
      <c r="R235" s="31"/>
      <c r="S235" s="31"/>
      <c r="T235" s="31"/>
      <c r="U235" s="35"/>
      <c r="V235" s="134"/>
      <c r="W235" s="85"/>
      <c r="X235" s="83"/>
      <c r="Y235" s="83"/>
      <c r="Z235" s="83"/>
      <c r="AA235" s="31"/>
      <c r="AB235" s="132"/>
      <c r="AC235" s="83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/>
      <c r="AY235"/>
      <c r="AZ235" s="83"/>
      <c r="BB235" s="31" t="str">
        <f>BBDD_TERRENO[[#This Row],[Comuna]]&amp;BBDD_TERRENO[[#This Row],[Identificacion Propiedad]]</f>
        <v>CoronelLote 28 Patagual</v>
      </c>
    </row>
    <row r="236" spans="1:54" x14ac:dyDescent="0.3">
      <c r="A236" s="31" t="s">
        <v>543</v>
      </c>
      <c r="B236" s="31" t="s">
        <v>380</v>
      </c>
      <c r="C236" s="31" t="s">
        <v>595</v>
      </c>
      <c r="E236" s="42">
        <v>5041</v>
      </c>
      <c r="F236" s="31" t="s">
        <v>538</v>
      </c>
      <c r="G236" s="32"/>
      <c r="H236" s="31"/>
      <c r="I236" s="83"/>
      <c r="J236" s="83"/>
      <c r="K236" s="83"/>
      <c r="L236" s="83"/>
      <c r="M236" s="83"/>
      <c r="N236" s="83"/>
      <c r="O236" s="83"/>
      <c r="P236" s="31"/>
      <c r="Q236" s="31" t="s">
        <v>548</v>
      </c>
      <c r="R236" s="31"/>
      <c r="S236" s="31"/>
      <c r="T236" s="31"/>
      <c r="U236" s="35"/>
      <c r="V236" s="134"/>
      <c r="W236" s="85"/>
      <c r="X236" s="83"/>
      <c r="Y236" s="83"/>
      <c r="Z236" s="83"/>
      <c r="AA236" s="31"/>
      <c r="AB236" s="132"/>
      <c r="AC236" s="83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/>
      <c r="AY236"/>
      <c r="AZ236" s="83"/>
      <c r="BB236" s="31" t="str">
        <f>BBDD_TERRENO[[#This Row],[Comuna]]&amp;BBDD_TERRENO[[#This Row],[Identificacion Propiedad]]</f>
        <v>CoronelLote 27 Patagual</v>
      </c>
    </row>
    <row r="237" spans="1:54" x14ac:dyDescent="0.3">
      <c r="A237" s="31" t="s">
        <v>543</v>
      </c>
      <c r="B237" s="31" t="s">
        <v>380</v>
      </c>
      <c r="C237" s="31" t="s">
        <v>596</v>
      </c>
      <c r="E237" s="42">
        <v>5107</v>
      </c>
      <c r="F237" s="31" t="s">
        <v>538</v>
      </c>
      <c r="G237" s="32"/>
      <c r="H237" s="31"/>
      <c r="I237" s="83"/>
      <c r="J237" s="83"/>
      <c r="K237" s="83"/>
      <c r="L237" s="83"/>
      <c r="M237" s="83"/>
      <c r="N237" s="83"/>
      <c r="O237" s="83"/>
      <c r="P237" s="31"/>
      <c r="Q237" s="31" t="s">
        <v>548</v>
      </c>
      <c r="R237" s="31"/>
      <c r="S237" s="31"/>
      <c r="T237" s="31"/>
      <c r="U237" s="35"/>
      <c r="V237" s="134"/>
      <c r="W237" s="85"/>
      <c r="X237" s="83"/>
      <c r="Y237" s="83"/>
      <c r="Z237" s="83"/>
      <c r="AA237" s="31"/>
      <c r="AB237" s="132"/>
      <c r="AC237" s="83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/>
      <c r="AY237"/>
      <c r="AZ237" s="83"/>
      <c r="BB237" s="31" t="str">
        <f>BBDD_TERRENO[[#This Row],[Comuna]]&amp;BBDD_TERRENO[[#This Row],[Identificacion Propiedad]]</f>
        <v>CoronelLote 26 Patagual</v>
      </c>
    </row>
    <row r="238" spans="1:54" x14ac:dyDescent="0.3">
      <c r="A238" s="31" t="s">
        <v>543</v>
      </c>
      <c r="B238" s="31" t="s">
        <v>380</v>
      </c>
      <c r="C238" s="31" t="s">
        <v>597</v>
      </c>
      <c r="E238" s="42">
        <v>5010</v>
      </c>
      <c r="F238" s="31" t="s">
        <v>538</v>
      </c>
      <c r="G238" s="32"/>
      <c r="H238" s="31"/>
      <c r="I238" s="83"/>
      <c r="J238" s="83"/>
      <c r="K238" s="83"/>
      <c r="L238" s="83"/>
      <c r="M238" s="83"/>
      <c r="N238" s="83"/>
      <c r="O238" s="83"/>
      <c r="P238" s="31"/>
      <c r="Q238" s="31" t="s">
        <v>548</v>
      </c>
      <c r="R238" s="31"/>
      <c r="S238" s="31"/>
      <c r="T238" s="31"/>
      <c r="U238" s="35"/>
      <c r="V238" s="134"/>
      <c r="W238" s="85"/>
      <c r="X238" s="83"/>
      <c r="Y238" s="83"/>
      <c r="Z238" s="83"/>
      <c r="AA238" s="31"/>
      <c r="AB238" s="132"/>
      <c r="AC238" s="83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/>
      <c r="AY238"/>
      <c r="AZ238" s="83"/>
      <c r="BB238" s="31" t="str">
        <f>BBDD_TERRENO[[#This Row],[Comuna]]&amp;BBDD_TERRENO[[#This Row],[Identificacion Propiedad]]</f>
        <v>CoronelLote 25 Patagual</v>
      </c>
    </row>
    <row r="239" spans="1:54" x14ac:dyDescent="0.3">
      <c r="A239" s="31" t="s">
        <v>543</v>
      </c>
      <c r="B239" s="31" t="s">
        <v>380</v>
      </c>
      <c r="C239" s="31" t="s">
        <v>598</v>
      </c>
      <c r="E239" s="42">
        <v>5007</v>
      </c>
      <c r="F239" s="31" t="s">
        <v>538</v>
      </c>
      <c r="G239" s="32"/>
      <c r="H239" s="31"/>
      <c r="I239" s="83"/>
      <c r="J239" s="83"/>
      <c r="K239" s="83"/>
      <c r="L239" s="83"/>
      <c r="M239" s="83"/>
      <c r="N239" s="83"/>
      <c r="O239" s="83"/>
      <c r="P239" s="31"/>
      <c r="Q239" s="31" t="s">
        <v>548</v>
      </c>
      <c r="R239" s="31"/>
      <c r="S239" s="31"/>
      <c r="T239" s="31"/>
      <c r="U239" s="35"/>
      <c r="V239" s="134"/>
      <c r="W239" s="85"/>
      <c r="X239" s="83"/>
      <c r="Y239" s="83"/>
      <c r="Z239" s="83"/>
      <c r="AA239" s="31"/>
      <c r="AB239" s="132"/>
      <c r="AC239" s="83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/>
      <c r="AY239"/>
      <c r="AZ239" s="83"/>
      <c r="BB239" s="31" t="str">
        <f>BBDD_TERRENO[[#This Row],[Comuna]]&amp;BBDD_TERRENO[[#This Row],[Identificacion Propiedad]]</f>
        <v>CoronelLote 24 Patagual</v>
      </c>
    </row>
    <row r="240" spans="1:54" x14ac:dyDescent="0.3">
      <c r="A240" s="31" t="s">
        <v>543</v>
      </c>
      <c r="B240" s="31" t="s">
        <v>380</v>
      </c>
      <c r="C240" s="31" t="s">
        <v>599</v>
      </c>
      <c r="E240" s="42">
        <v>5074</v>
      </c>
      <c r="F240" s="31" t="s">
        <v>538</v>
      </c>
      <c r="G240" s="32"/>
      <c r="H240" s="31"/>
      <c r="I240" s="83"/>
      <c r="J240" s="83"/>
      <c r="K240" s="83"/>
      <c r="L240" s="83"/>
      <c r="M240" s="83"/>
      <c r="N240" s="83"/>
      <c r="O240" s="83"/>
      <c r="P240" s="31"/>
      <c r="Q240" s="31" t="s">
        <v>548</v>
      </c>
      <c r="R240" s="31"/>
      <c r="S240" s="31"/>
      <c r="T240" s="31"/>
      <c r="U240" s="35"/>
      <c r="V240" s="134"/>
      <c r="W240" s="85"/>
      <c r="X240" s="83"/>
      <c r="Y240" s="83"/>
      <c r="Z240" s="83"/>
      <c r="AA240" s="31"/>
      <c r="AB240" s="132"/>
      <c r="AC240" s="83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/>
      <c r="AY240"/>
      <c r="AZ240" s="83"/>
      <c r="BB240" s="31" t="str">
        <f>BBDD_TERRENO[[#This Row],[Comuna]]&amp;BBDD_TERRENO[[#This Row],[Identificacion Propiedad]]</f>
        <v>CoronelLote 23 Patagual</v>
      </c>
    </row>
    <row r="241" spans="1:54" x14ac:dyDescent="0.3">
      <c r="A241" s="31" t="s">
        <v>543</v>
      </c>
      <c r="B241" s="31" t="s">
        <v>380</v>
      </c>
      <c r="C241" s="31" t="s">
        <v>600</v>
      </c>
      <c r="E241" s="42">
        <v>5026</v>
      </c>
      <c r="F241" s="31" t="s">
        <v>538</v>
      </c>
      <c r="G241" s="32"/>
      <c r="H241" s="31"/>
      <c r="I241" s="83"/>
      <c r="J241" s="83"/>
      <c r="K241" s="83"/>
      <c r="L241" s="83"/>
      <c r="M241" s="83"/>
      <c r="N241" s="83"/>
      <c r="O241" s="83"/>
      <c r="P241" s="31"/>
      <c r="Q241" s="31" t="s">
        <v>548</v>
      </c>
      <c r="R241" s="31"/>
      <c r="S241" s="31"/>
      <c r="T241" s="31"/>
      <c r="U241" s="35"/>
      <c r="V241" s="134"/>
      <c r="W241" s="85"/>
      <c r="X241" s="83"/>
      <c r="Y241" s="83"/>
      <c r="Z241" s="83"/>
      <c r="AA241" s="31"/>
      <c r="AB241" s="132"/>
      <c r="AC241" s="83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/>
      <c r="AY241"/>
      <c r="AZ241" s="83"/>
      <c r="BB241" s="31" t="str">
        <f>BBDD_TERRENO[[#This Row],[Comuna]]&amp;BBDD_TERRENO[[#This Row],[Identificacion Propiedad]]</f>
        <v>CoronelLote 22 Patagual</v>
      </c>
    </row>
    <row r="242" spans="1:54" x14ac:dyDescent="0.3">
      <c r="A242" s="31" t="s">
        <v>543</v>
      </c>
      <c r="B242" s="31" t="s">
        <v>380</v>
      </c>
      <c r="C242" s="31" t="s">
        <v>601</v>
      </c>
      <c r="E242" s="42">
        <v>5030</v>
      </c>
      <c r="F242" s="31" t="s">
        <v>538</v>
      </c>
      <c r="G242" s="32"/>
      <c r="H242" s="31"/>
      <c r="I242" s="83"/>
      <c r="J242" s="83"/>
      <c r="K242" s="83"/>
      <c r="L242" s="83"/>
      <c r="M242" s="83"/>
      <c r="N242" s="83"/>
      <c r="O242" s="83"/>
      <c r="P242" s="31"/>
      <c r="Q242" s="31" t="s">
        <v>548</v>
      </c>
      <c r="R242" s="31"/>
      <c r="S242" s="31"/>
      <c r="T242" s="31"/>
      <c r="U242" s="35"/>
      <c r="V242" s="134"/>
      <c r="W242" s="85"/>
      <c r="X242" s="83"/>
      <c r="Y242" s="83"/>
      <c r="Z242" s="83"/>
      <c r="AA242" s="31"/>
      <c r="AB242" s="132"/>
      <c r="AC242" s="83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/>
      <c r="AY242"/>
      <c r="AZ242" s="83"/>
      <c r="BB242" s="31" t="str">
        <f>BBDD_TERRENO[[#This Row],[Comuna]]&amp;BBDD_TERRENO[[#This Row],[Identificacion Propiedad]]</f>
        <v>CoronelLote 21 Patagual</v>
      </c>
    </row>
    <row r="243" spans="1:54" x14ac:dyDescent="0.3">
      <c r="A243" s="31" t="s">
        <v>543</v>
      </c>
      <c r="B243" s="31" t="s">
        <v>380</v>
      </c>
      <c r="C243" s="31" t="s">
        <v>602</v>
      </c>
      <c r="E243" s="42">
        <v>5082</v>
      </c>
      <c r="F243" s="31" t="s">
        <v>538</v>
      </c>
      <c r="G243" s="32"/>
      <c r="H243" s="31"/>
      <c r="I243" s="83"/>
      <c r="J243" s="83"/>
      <c r="K243" s="83"/>
      <c r="L243" s="83"/>
      <c r="M243" s="83"/>
      <c r="N243" s="83"/>
      <c r="O243" s="83"/>
      <c r="P243" s="31"/>
      <c r="Q243" s="31" t="s">
        <v>548</v>
      </c>
      <c r="R243" s="31"/>
      <c r="S243" s="31"/>
      <c r="T243" s="31"/>
      <c r="U243" s="35"/>
      <c r="V243" s="134"/>
      <c r="W243" s="85"/>
      <c r="X243" s="83"/>
      <c r="Y243" s="83"/>
      <c r="Z243" s="83"/>
      <c r="AA243" s="31"/>
      <c r="AB243" s="132"/>
      <c r="AC243" s="83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/>
      <c r="AY243"/>
      <c r="AZ243" s="83"/>
      <c r="BB243" s="31" t="str">
        <f>BBDD_TERRENO[[#This Row],[Comuna]]&amp;BBDD_TERRENO[[#This Row],[Identificacion Propiedad]]</f>
        <v>CoronelLote 20 Patagual</v>
      </c>
    </row>
    <row r="244" spans="1:54" x14ac:dyDescent="0.3">
      <c r="A244" s="31" t="s">
        <v>543</v>
      </c>
      <c r="B244" s="31" t="s">
        <v>380</v>
      </c>
      <c r="C244" s="31" t="s">
        <v>603</v>
      </c>
      <c r="E244" s="42">
        <v>5022</v>
      </c>
      <c r="F244" s="31" t="s">
        <v>538</v>
      </c>
      <c r="G244" s="32"/>
      <c r="H244" s="31"/>
      <c r="I244" s="83"/>
      <c r="J244" s="83"/>
      <c r="K244" s="83"/>
      <c r="L244" s="83"/>
      <c r="M244" s="83"/>
      <c r="N244" s="83"/>
      <c r="O244" s="83"/>
      <c r="P244" s="31"/>
      <c r="Q244" s="31" t="s">
        <v>548</v>
      </c>
      <c r="R244" s="31"/>
      <c r="S244" s="31"/>
      <c r="T244" s="31"/>
      <c r="U244" s="35"/>
      <c r="V244" s="134"/>
      <c r="W244" s="85"/>
      <c r="X244" s="83"/>
      <c r="Y244" s="83"/>
      <c r="Z244" s="83"/>
      <c r="AA244" s="31"/>
      <c r="AB244" s="132"/>
      <c r="AC244" s="83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/>
      <c r="AY244"/>
      <c r="AZ244" s="83"/>
      <c r="BB244" s="31" t="str">
        <f>BBDD_TERRENO[[#This Row],[Comuna]]&amp;BBDD_TERRENO[[#This Row],[Identificacion Propiedad]]</f>
        <v>CoronelLote 19 Patagual</v>
      </c>
    </row>
    <row r="245" spans="1:54" x14ac:dyDescent="0.3">
      <c r="A245" s="31" t="s">
        <v>543</v>
      </c>
      <c r="B245" s="31" t="s">
        <v>380</v>
      </c>
      <c r="C245" s="31" t="s">
        <v>604</v>
      </c>
      <c r="E245" s="42">
        <v>5075</v>
      </c>
      <c r="F245" s="31" t="s">
        <v>538</v>
      </c>
      <c r="G245" s="32"/>
      <c r="H245" s="31"/>
      <c r="I245" s="83"/>
      <c r="J245" s="83"/>
      <c r="K245" s="83"/>
      <c r="L245" s="83"/>
      <c r="M245" s="83"/>
      <c r="N245" s="83"/>
      <c r="O245" s="83"/>
      <c r="P245" s="31"/>
      <c r="Q245" s="31" t="s">
        <v>548</v>
      </c>
      <c r="R245" s="31"/>
      <c r="S245" s="31"/>
      <c r="T245" s="31"/>
      <c r="U245" s="35"/>
      <c r="V245" s="134"/>
      <c r="W245" s="85"/>
      <c r="X245" s="83"/>
      <c r="Y245" s="83"/>
      <c r="Z245" s="83"/>
      <c r="AA245" s="31"/>
      <c r="AB245" s="132"/>
      <c r="AC245" s="83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/>
      <c r="AY245"/>
      <c r="AZ245" s="83"/>
      <c r="BB245" s="31" t="str">
        <f>BBDD_TERRENO[[#This Row],[Comuna]]&amp;BBDD_TERRENO[[#This Row],[Identificacion Propiedad]]</f>
        <v>CoronelLote 18 Patagual</v>
      </c>
    </row>
    <row r="246" spans="1:54" x14ac:dyDescent="0.3">
      <c r="A246" s="31" t="s">
        <v>543</v>
      </c>
      <c r="B246" s="31" t="s">
        <v>380</v>
      </c>
      <c r="C246" s="31" t="s">
        <v>605</v>
      </c>
      <c r="E246" s="42">
        <v>5082</v>
      </c>
      <c r="F246" s="31" t="s">
        <v>538</v>
      </c>
      <c r="G246" s="32"/>
      <c r="H246" s="31"/>
      <c r="I246" s="83"/>
      <c r="J246" s="83"/>
      <c r="K246" s="83"/>
      <c r="L246" s="83"/>
      <c r="M246" s="83"/>
      <c r="N246" s="83"/>
      <c r="O246" s="83"/>
      <c r="P246" s="31"/>
      <c r="Q246" s="31" t="s">
        <v>548</v>
      </c>
      <c r="R246" s="31"/>
      <c r="S246" s="31"/>
      <c r="T246" s="31"/>
      <c r="U246" s="35"/>
      <c r="V246" s="134"/>
      <c r="W246" s="85"/>
      <c r="X246" s="83"/>
      <c r="Y246" s="83"/>
      <c r="Z246" s="83"/>
      <c r="AA246" s="31"/>
      <c r="AB246" s="132"/>
      <c r="AC246" s="83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/>
      <c r="AY246"/>
      <c r="AZ246" s="83"/>
      <c r="BB246" s="31" t="str">
        <f>BBDD_TERRENO[[#This Row],[Comuna]]&amp;BBDD_TERRENO[[#This Row],[Identificacion Propiedad]]</f>
        <v xml:space="preserve">CoronelLote 17 Patagual </v>
      </c>
    </row>
    <row r="247" spans="1:54" x14ac:dyDescent="0.3">
      <c r="A247" s="31" t="s">
        <v>543</v>
      </c>
      <c r="B247" s="31" t="s">
        <v>380</v>
      </c>
      <c r="C247" s="31" t="s">
        <v>606</v>
      </c>
      <c r="E247" s="42">
        <v>5030</v>
      </c>
      <c r="F247" s="31" t="s">
        <v>538</v>
      </c>
      <c r="G247" s="32"/>
      <c r="H247" s="31"/>
      <c r="I247" s="83"/>
      <c r="J247" s="83"/>
      <c r="K247" s="83"/>
      <c r="L247" s="83"/>
      <c r="M247" s="83"/>
      <c r="N247" s="83"/>
      <c r="O247" s="83"/>
      <c r="P247" s="31"/>
      <c r="Q247" s="31" t="s">
        <v>548</v>
      </c>
      <c r="R247" s="31"/>
      <c r="S247" s="31"/>
      <c r="T247" s="31"/>
      <c r="U247" s="35"/>
      <c r="V247" s="134"/>
      <c r="W247" s="85"/>
      <c r="X247" s="83"/>
      <c r="Y247" s="83"/>
      <c r="Z247" s="83"/>
      <c r="AA247" s="31"/>
      <c r="AB247" s="132"/>
      <c r="AC247" s="83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/>
      <c r="AY247"/>
      <c r="AZ247" s="83"/>
      <c r="BB247" s="31" t="str">
        <f>BBDD_TERRENO[[#This Row],[Comuna]]&amp;BBDD_TERRENO[[#This Row],[Identificacion Propiedad]]</f>
        <v>CoronelLote 16 Patagual</v>
      </c>
    </row>
    <row r="248" spans="1:54" x14ac:dyDescent="0.3">
      <c r="A248" s="31" t="s">
        <v>543</v>
      </c>
      <c r="B248" s="31" t="s">
        <v>380</v>
      </c>
      <c r="C248" s="31" t="s">
        <v>607</v>
      </c>
      <c r="E248" s="42">
        <v>5074</v>
      </c>
      <c r="F248" s="31" t="s">
        <v>538</v>
      </c>
      <c r="G248" s="32"/>
      <c r="H248" s="31"/>
      <c r="I248" s="83"/>
      <c r="J248" s="83"/>
      <c r="K248" s="83"/>
      <c r="L248" s="83"/>
      <c r="M248" s="83"/>
      <c r="N248" s="83"/>
      <c r="O248" s="83"/>
      <c r="P248" s="31"/>
      <c r="Q248" s="31" t="s">
        <v>548</v>
      </c>
      <c r="R248" s="31"/>
      <c r="S248" s="31"/>
      <c r="T248" s="31"/>
      <c r="U248" s="35"/>
      <c r="V248" s="134"/>
      <c r="W248" s="85"/>
      <c r="X248" s="83"/>
      <c r="Y248" s="83"/>
      <c r="Z248" s="83"/>
      <c r="AA248" s="31"/>
      <c r="AB248" s="132"/>
      <c r="AC248" s="83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/>
      <c r="AY248"/>
      <c r="AZ248" s="83"/>
      <c r="BB248" s="31" t="str">
        <f>BBDD_TERRENO[[#This Row],[Comuna]]&amp;BBDD_TERRENO[[#This Row],[Identificacion Propiedad]]</f>
        <v>CoronelLote 15 Patagual (casa)</v>
      </c>
    </row>
    <row r="249" spans="1:54" x14ac:dyDescent="0.3">
      <c r="A249" s="31" t="s">
        <v>543</v>
      </c>
      <c r="B249" s="31" t="s">
        <v>380</v>
      </c>
      <c r="C249" s="31" t="s">
        <v>608</v>
      </c>
      <c r="E249" s="42">
        <v>5052</v>
      </c>
      <c r="F249" s="31" t="s">
        <v>538</v>
      </c>
      <c r="G249" s="32"/>
      <c r="H249" s="31"/>
      <c r="I249" s="83"/>
      <c r="J249" s="83"/>
      <c r="K249" s="83"/>
      <c r="L249" s="83"/>
      <c r="M249" s="83"/>
      <c r="N249" s="83"/>
      <c r="O249" s="83"/>
      <c r="P249" s="31"/>
      <c r="Q249" s="31" t="s">
        <v>548</v>
      </c>
      <c r="R249" s="31"/>
      <c r="S249" s="31"/>
      <c r="T249" s="31"/>
      <c r="U249" s="35"/>
      <c r="V249" s="134"/>
      <c r="W249" s="85"/>
      <c r="X249" s="83"/>
      <c r="Y249" s="83"/>
      <c r="Z249" s="83"/>
      <c r="AA249" s="31"/>
      <c r="AB249" s="132"/>
      <c r="AC249" s="83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/>
      <c r="AY249"/>
      <c r="AZ249" s="83"/>
      <c r="BB249" s="31" t="str">
        <f>BBDD_TERRENO[[#This Row],[Comuna]]&amp;BBDD_TERRENO[[#This Row],[Identificacion Propiedad]]</f>
        <v>CoronelLote 14 Patagual</v>
      </c>
    </row>
    <row r="250" spans="1:54" x14ac:dyDescent="0.3">
      <c r="A250" s="31" t="s">
        <v>543</v>
      </c>
      <c r="B250" s="31" t="s">
        <v>380</v>
      </c>
      <c r="C250" s="31" t="s">
        <v>609</v>
      </c>
      <c r="E250" s="42">
        <v>5040</v>
      </c>
      <c r="F250" s="31" t="s">
        <v>538</v>
      </c>
      <c r="G250" s="32"/>
      <c r="H250" s="31"/>
      <c r="I250" s="83"/>
      <c r="J250" s="83"/>
      <c r="K250" s="83"/>
      <c r="L250" s="83"/>
      <c r="M250" s="83"/>
      <c r="N250" s="83"/>
      <c r="O250" s="83"/>
      <c r="P250" s="31"/>
      <c r="Q250" s="31" t="s">
        <v>548</v>
      </c>
      <c r="R250" s="31"/>
      <c r="S250" s="31"/>
      <c r="T250" s="31"/>
      <c r="U250" s="35"/>
      <c r="V250" s="134"/>
      <c r="W250" s="85"/>
      <c r="X250" s="83"/>
      <c r="Y250" s="83"/>
      <c r="Z250" s="83"/>
      <c r="AA250" s="31"/>
      <c r="AB250" s="132"/>
      <c r="AC250" s="83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/>
      <c r="AY250"/>
      <c r="AZ250" s="83"/>
      <c r="BB250" s="31" t="str">
        <f>BBDD_TERRENO[[#This Row],[Comuna]]&amp;BBDD_TERRENO[[#This Row],[Identificacion Propiedad]]</f>
        <v>CoronelLote 13 Patagual (casa)</v>
      </c>
    </row>
    <row r="251" spans="1:54" x14ac:dyDescent="0.3">
      <c r="A251" s="31" t="s">
        <v>543</v>
      </c>
      <c r="B251" s="31" t="s">
        <v>380</v>
      </c>
      <c r="C251" s="31" t="s">
        <v>610</v>
      </c>
      <c r="E251" s="42">
        <v>5070</v>
      </c>
      <c r="F251" s="31" t="s">
        <v>538</v>
      </c>
      <c r="G251" s="32"/>
      <c r="H251" s="31"/>
      <c r="I251" s="83"/>
      <c r="J251" s="83"/>
      <c r="K251" s="83"/>
      <c r="L251" s="83"/>
      <c r="M251" s="83"/>
      <c r="N251" s="83"/>
      <c r="O251" s="83"/>
      <c r="P251" s="31"/>
      <c r="Q251" s="31" t="s">
        <v>548</v>
      </c>
      <c r="R251" s="31"/>
      <c r="S251" s="31"/>
      <c r="T251" s="31"/>
      <c r="U251" s="35"/>
      <c r="V251" s="134"/>
      <c r="W251" s="85"/>
      <c r="X251" s="83"/>
      <c r="Y251" s="83"/>
      <c r="Z251" s="83"/>
      <c r="AA251" s="31"/>
      <c r="AB251" s="132"/>
      <c r="AC251" s="83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/>
      <c r="AY251"/>
      <c r="AZ251" s="83"/>
      <c r="BB251" s="31" t="str">
        <f>BBDD_TERRENO[[#This Row],[Comuna]]&amp;BBDD_TERRENO[[#This Row],[Identificacion Propiedad]]</f>
        <v>CoronelLote 12 Patagual</v>
      </c>
    </row>
    <row r="252" spans="1:54" x14ac:dyDescent="0.3">
      <c r="A252" s="31" t="s">
        <v>543</v>
      </c>
      <c r="B252" s="31" t="s">
        <v>380</v>
      </c>
      <c r="C252" s="31" t="s">
        <v>611</v>
      </c>
      <c r="E252" s="42">
        <v>5098</v>
      </c>
      <c r="F252" s="31" t="s">
        <v>538</v>
      </c>
      <c r="G252" s="32"/>
      <c r="H252" s="31"/>
      <c r="I252" s="83"/>
      <c r="J252" s="83"/>
      <c r="K252" s="83"/>
      <c r="L252" s="83"/>
      <c r="M252" s="83"/>
      <c r="N252" s="83"/>
      <c r="O252" s="83"/>
      <c r="P252" s="31"/>
      <c r="Q252" s="31" t="s">
        <v>548</v>
      </c>
      <c r="R252" s="31"/>
      <c r="S252" s="31"/>
      <c r="T252" s="31"/>
      <c r="U252" s="35"/>
      <c r="V252" s="134"/>
      <c r="W252" s="85"/>
      <c r="X252" s="83"/>
      <c r="Y252" s="83"/>
      <c r="Z252" s="83"/>
      <c r="AA252" s="31"/>
      <c r="AB252" s="132"/>
      <c r="AC252" s="83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/>
      <c r="AY252"/>
      <c r="AZ252" s="83"/>
      <c r="BB252" s="31" t="str">
        <f>BBDD_TERRENO[[#This Row],[Comuna]]&amp;BBDD_TERRENO[[#This Row],[Identificacion Propiedad]]</f>
        <v>CoronelLote 11 Patagual</v>
      </c>
    </row>
    <row r="253" spans="1:54" x14ac:dyDescent="0.3">
      <c r="A253" s="31" t="s">
        <v>543</v>
      </c>
      <c r="B253" s="31" t="s">
        <v>380</v>
      </c>
      <c r="C253" s="31" t="s">
        <v>612</v>
      </c>
      <c r="E253" s="42">
        <v>5051</v>
      </c>
      <c r="F253" s="31" t="s">
        <v>538</v>
      </c>
      <c r="G253" s="32"/>
      <c r="H253" s="31"/>
      <c r="I253" s="83"/>
      <c r="J253" s="83"/>
      <c r="K253" s="83"/>
      <c r="L253" s="83"/>
      <c r="M253" s="83"/>
      <c r="N253" s="83"/>
      <c r="O253" s="83"/>
      <c r="P253" s="31"/>
      <c r="Q253" s="31" t="s">
        <v>548</v>
      </c>
      <c r="R253" s="31"/>
      <c r="S253" s="31"/>
      <c r="T253" s="31"/>
      <c r="U253" s="35"/>
      <c r="V253" s="134"/>
      <c r="W253" s="85"/>
      <c r="X253" s="83"/>
      <c r="Y253" s="83"/>
      <c r="Z253" s="83"/>
      <c r="AA253" s="31"/>
      <c r="AB253" s="132"/>
      <c r="AC253" s="83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/>
      <c r="AY253"/>
      <c r="AZ253" s="83"/>
      <c r="BB253" s="31" t="str">
        <f>BBDD_TERRENO[[#This Row],[Comuna]]&amp;BBDD_TERRENO[[#This Row],[Identificacion Propiedad]]</f>
        <v>CoronelLote 10 Patagual</v>
      </c>
    </row>
    <row r="254" spans="1:54" x14ac:dyDescent="0.3">
      <c r="A254" s="31" t="s">
        <v>543</v>
      </c>
      <c r="B254" s="31" t="s">
        <v>380</v>
      </c>
      <c r="C254" s="31" t="s">
        <v>613</v>
      </c>
      <c r="E254" s="42">
        <v>5005</v>
      </c>
      <c r="F254" s="31" t="s">
        <v>538</v>
      </c>
      <c r="G254" s="32"/>
      <c r="H254" s="31"/>
      <c r="I254" s="83"/>
      <c r="J254" s="83"/>
      <c r="K254" s="83"/>
      <c r="L254" s="83"/>
      <c r="M254" s="83"/>
      <c r="N254" s="83"/>
      <c r="O254" s="83"/>
      <c r="P254" s="31"/>
      <c r="Q254" s="31" t="s">
        <v>548</v>
      </c>
      <c r="R254" s="31"/>
      <c r="S254" s="31"/>
      <c r="T254" s="31"/>
      <c r="U254" s="35"/>
      <c r="V254" s="134"/>
      <c r="W254" s="85"/>
      <c r="X254" s="83"/>
      <c r="Y254" s="83"/>
      <c r="Z254" s="83"/>
      <c r="AA254" s="31"/>
      <c r="AB254" s="132"/>
      <c r="AC254" s="83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/>
      <c r="AY254"/>
      <c r="AZ254" s="83"/>
      <c r="BB254" s="31" t="str">
        <f>BBDD_TERRENO[[#This Row],[Comuna]]&amp;BBDD_TERRENO[[#This Row],[Identificacion Propiedad]]</f>
        <v>CoronelLote 09 Patagual</v>
      </c>
    </row>
    <row r="255" spans="1:54" x14ac:dyDescent="0.3">
      <c r="A255" s="31" t="s">
        <v>543</v>
      </c>
      <c r="B255" s="31" t="s">
        <v>380</v>
      </c>
      <c r="C255" s="31" t="s">
        <v>614</v>
      </c>
      <c r="E255" s="42">
        <v>5019</v>
      </c>
      <c r="F255" s="31" t="s">
        <v>538</v>
      </c>
      <c r="G255" s="32"/>
      <c r="H255" s="31"/>
      <c r="I255" s="83"/>
      <c r="J255" s="83"/>
      <c r="K255" s="83"/>
      <c r="L255" s="83"/>
      <c r="M255" s="83"/>
      <c r="N255" s="83"/>
      <c r="O255" s="83"/>
      <c r="P255" s="31"/>
      <c r="Q255" s="31" t="s">
        <v>548</v>
      </c>
      <c r="R255" s="31"/>
      <c r="S255" s="31"/>
      <c r="T255" s="31"/>
      <c r="U255" s="35"/>
      <c r="V255" s="134"/>
      <c r="W255" s="85"/>
      <c r="X255" s="83"/>
      <c r="Y255" s="83"/>
      <c r="Z255" s="83"/>
      <c r="AA255" s="31"/>
      <c r="AB255" s="132"/>
      <c r="AC255" s="83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/>
      <c r="AY255"/>
      <c r="AZ255" s="83"/>
      <c r="BB255" s="31" t="str">
        <f>BBDD_TERRENO[[#This Row],[Comuna]]&amp;BBDD_TERRENO[[#This Row],[Identificacion Propiedad]]</f>
        <v>CoronelLote 08 Patagual</v>
      </c>
    </row>
    <row r="256" spans="1:54" x14ac:dyDescent="0.3">
      <c r="A256" s="31" t="s">
        <v>543</v>
      </c>
      <c r="B256" s="31" t="s">
        <v>380</v>
      </c>
      <c r="C256" s="31" t="s">
        <v>615</v>
      </c>
      <c r="E256" s="42">
        <v>5083</v>
      </c>
      <c r="F256" s="31" t="s">
        <v>538</v>
      </c>
      <c r="G256" s="32"/>
      <c r="H256" s="31"/>
      <c r="I256" s="83"/>
      <c r="J256" s="83"/>
      <c r="K256" s="83"/>
      <c r="L256" s="83"/>
      <c r="M256" s="83"/>
      <c r="N256" s="83"/>
      <c r="O256" s="83"/>
      <c r="P256" s="31"/>
      <c r="Q256" s="31" t="s">
        <v>548</v>
      </c>
      <c r="R256" s="31"/>
      <c r="S256" s="31"/>
      <c r="T256" s="31"/>
      <c r="U256" s="35"/>
      <c r="V256" s="134"/>
      <c r="W256" s="85"/>
      <c r="X256" s="83"/>
      <c r="Y256" s="83"/>
      <c r="Z256" s="83"/>
      <c r="AA256" s="31"/>
      <c r="AB256" s="132"/>
      <c r="AC256" s="83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/>
      <c r="AY256"/>
      <c r="AZ256" s="83"/>
      <c r="BB256" s="31" t="str">
        <f>BBDD_TERRENO[[#This Row],[Comuna]]&amp;BBDD_TERRENO[[#This Row],[Identificacion Propiedad]]</f>
        <v>CoronelLote 07 Patagual</v>
      </c>
    </row>
    <row r="257" spans="1:54" x14ac:dyDescent="0.3">
      <c r="A257" s="31" t="s">
        <v>543</v>
      </c>
      <c r="B257" s="31" t="s">
        <v>380</v>
      </c>
      <c r="C257" s="31" t="s">
        <v>616</v>
      </c>
      <c r="E257" s="42">
        <v>5850</v>
      </c>
      <c r="F257" s="31" t="s">
        <v>538</v>
      </c>
      <c r="G257" s="32"/>
      <c r="H257" s="31"/>
      <c r="I257" s="83"/>
      <c r="J257" s="83"/>
      <c r="K257" s="83"/>
      <c r="L257" s="83"/>
      <c r="M257" s="83"/>
      <c r="N257" s="83"/>
      <c r="O257" s="83"/>
      <c r="P257" s="31"/>
      <c r="Q257" s="31" t="s">
        <v>550</v>
      </c>
      <c r="R257" s="31"/>
      <c r="S257" s="31"/>
      <c r="T257" s="31"/>
      <c r="U257" s="35"/>
      <c r="V257" s="134"/>
      <c r="W257" s="85"/>
      <c r="X257" s="83"/>
      <c r="Y257" s="83"/>
      <c r="Z257" s="83"/>
      <c r="AA257" s="31"/>
      <c r="AB257" s="132"/>
      <c r="AC257" s="83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/>
      <c r="AY257"/>
      <c r="AZ257" s="83"/>
      <c r="BB257" s="31" t="str">
        <f>BBDD_TERRENO[[#This Row],[Comuna]]&amp;BBDD_TERRENO[[#This Row],[Identificacion Propiedad]]</f>
        <v>CoronelLote 06 Patagual</v>
      </c>
    </row>
    <row r="258" spans="1:54" x14ac:dyDescent="0.3">
      <c r="A258" s="31" t="s">
        <v>543</v>
      </c>
      <c r="B258" s="31" t="s">
        <v>380</v>
      </c>
      <c r="C258" s="31" t="s">
        <v>617</v>
      </c>
      <c r="E258" s="42">
        <v>5882</v>
      </c>
      <c r="F258" s="31" t="s">
        <v>538</v>
      </c>
      <c r="G258" s="32"/>
      <c r="H258" s="31"/>
      <c r="I258" s="83"/>
      <c r="J258" s="83"/>
      <c r="K258" s="83"/>
      <c r="L258" s="83"/>
      <c r="M258" s="83"/>
      <c r="N258" s="83"/>
      <c r="O258" s="83"/>
      <c r="P258" s="31"/>
      <c r="Q258" s="31" t="s">
        <v>550</v>
      </c>
      <c r="R258" s="31"/>
      <c r="S258" s="31"/>
      <c r="T258" s="31"/>
      <c r="U258" s="35"/>
      <c r="V258" s="134"/>
      <c r="W258" s="85"/>
      <c r="X258" s="83"/>
      <c r="Y258" s="83"/>
      <c r="Z258" s="83"/>
      <c r="AA258" s="31"/>
      <c r="AB258" s="132"/>
      <c r="AC258" s="83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/>
      <c r="AY258"/>
      <c r="AZ258" s="83"/>
      <c r="BB258" s="31" t="str">
        <f>BBDD_TERRENO[[#This Row],[Comuna]]&amp;BBDD_TERRENO[[#This Row],[Identificacion Propiedad]]</f>
        <v>CoronelLote 05 Patagual</v>
      </c>
    </row>
    <row r="259" spans="1:54" x14ac:dyDescent="0.3">
      <c r="A259" s="31" t="s">
        <v>543</v>
      </c>
      <c r="B259" s="31" t="s">
        <v>380</v>
      </c>
      <c r="C259" s="31" t="s">
        <v>618</v>
      </c>
      <c r="E259" s="42">
        <v>5866</v>
      </c>
      <c r="F259" s="31" t="s">
        <v>538</v>
      </c>
      <c r="G259" s="32"/>
      <c r="H259" s="31"/>
      <c r="I259" s="83"/>
      <c r="J259" s="83"/>
      <c r="K259" s="83"/>
      <c r="L259" s="83"/>
      <c r="M259" s="83"/>
      <c r="N259" s="83"/>
      <c r="O259" s="83"/>
      <c r="P259" s="31"/>
      <c r="Q259" s="31" t="s">
        <v>550</v>
      </c>
      <c r="R259" s="31"/>
      <c r="S259" s="31"/>
      <c r="T259" s="31"/>
      <c r="U259" s="35"/>
      <c r="V259" s="134"/>
      <c r="W259" s="85"/>
      <c r="X259" s="83"/>
      <c r="Y259" s="83"/>
      <c r="Z259" s="83"/>
      <c r="AA259" s="31"/>
      <c r="AB259" s="132"/>
      <c r="AC259" s="83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/>
      <c r="AY259"/>
      <c r="AZ259" s="83"/>
      <c r="BB259" s="31" t="str">
        <f>BBDD_TERRENO[[#This Row],[Comuna]]&amp;BBDD_TERRENO[[#This Row],[Identificacion Propiedad]]</f>
        <v>CoronelLote 04 Patagual</v>
      </c>
    </row>
    <row r="260" spans="1:54" x14ac:dyDescent="0.3">
      <c r="A260" s="31" t="s">
        <v>543</v>
      </c>
      <c r="B260" s="31" t="s">
        <v>380</v>
      </c>
      <c r="C260" s="31" t="s">
        <v>619</v>
      </c>
      <c r="E260" s="42">
        <v>5860</v>
      </c>
      <c r="F260" s="31" t="s">
        <v>538</v>
      </c>
      <c r="G260" s="32"/>
      <c r="H260" s="31"/>
      <c r="I260" s="83"/>
      <c r="J260" s="83"/>
      <c r="K260" s="83"/>
      <c r="L260" s="83"/>
      <c r="M260" s="83"/>
      <c r="N260" s="83"/>
      <c r="O260" s="83"/>
      <c r="P260" s="31"/>
      <c r="Q260" s="31" t="s">
        <v>550</v>
      </c>
      <c r="R260" s="31"/>
      <c r="S260" s="31"/>
      <c r="T260" s="31"/>
      <c r="U260" s="35"/>
      <c r="V260" s="134"/>
      <c r="W260" s="85"/>
      <c r="X260" s="83"/>
      <c r="Y260" s="83"/>
      <c r="Z260" s="83"/>
      <c r="AA260" s="31"/>
      <c r="AB260" s="132"/>
      <c r="AC260" s="83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/>
      <c r="AY260"/>
      <c r="AZ260" s="83"/>
      <c r="BB260" s="31" t="str">
        <f>BBDD_TERRENO[[#This Row],[Comuna]]&amp;BBDD_TERRENO[[#This Row],[Identificacion Propiedad]]</f>
        <v>CoronelLote 03 Patagual</v>
      </c>
    </row>
    <row r="261" spans="1:54" x14ac:dyDescent="0.3">
      <c r="A261" s="31" t="s">
        <v>543</v>
      </c>
      <c r="B261" s="31" t="s">
        <v>380</v>
      </c>
      <c r="C261" s="31" t="s">
        <v>620</v>
      </c>
      <c r="E261" s="42">
        <v>5849</v>
      </c>
      <c r="F261" s="31" t="s">
        <v>538</v>
      </c>
      <c r="G261" s="32"/>
      <c r="H261" s="31"/>
      <c r="I261" s="83"/>
      <c r="J261" s="83"/>
      <c r="K261" s="83"/>
      <c r="L261" s="83"/>
      <c r="M261" s="83"/>
      <c r="N261" s="83"/>
      <c r="O261" s="83"/>
      <c r="P261" s="31"/>
      <c r="Q261" s="31" t="s">
        <v>550</v>
      </c>
      <c r="R261" s="31"/>
      <c r="S261" s="31"/>
      <c r="T261" s="31"/>
      <c r="U261" s="35"/>
      <c r="V261" s="134"/>
      <c r="W261" s="85"/>
      <c r="X261" s="83"/>
      <c r="Y261" s="83"/>
      <c r="Z261" s="83"/>
      <c r="AA261" s="31"/>
      <c r="AB261" s="132"/>
      <c r="AC261" s="83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/>
      <c r="AY261"/>
      <c r="AZ261" s="83"/>
      <c r="BB261" s="31" t="str">
        <f>BBDD_TERRENO[[#This Row],[Comuna]]&amp;BBDD_TERRENO[[#This Row],[Identificacion Propiedad]]</f>
        <v>CoronelLote 02 Patagual</v>
      </c>
    </row>
    <row r="262" spans="1:54" x14ac:dyDescent="0.3">
      <c r="A262" s="31" t="s">
        <v>543</v>
      </c>
      <c r="B262" s="31" t="s">
        <v>380</v>
      </c>
      <c r="C262" s="31" t="s">
        <v>621</v>
      </c>
      <c r="E262" s="42">
        <v>5826</v>
      </c>
      <c r="F262" s="31" t="s">
        <v>538</v>
      </c>
      <c r="G262" s="32"/>
      <c r="H262" s="31"/>
      <c r="I262" s="83"/>
      <c r="J262" s="83"/>
      <c r="K262" s="83"/>
      <c r="L262" s="83"/>
      <c r="M262" s="83"/>
      <c r="N262" s="83"/>
      <c r="O262" s="83"/>
      <c r="P262" s="31"/>
      <c r="Q262" s="31" t="s">
        <v>550</v>
      </c>
      <c r="R262" s="31"/>
      <c r="S262" s="31"/>
      <c r="T262" s="31"/>
      <c r="U262" s="35"/>
      <c r="V262" s="134"/>
      <c r="W262" s="85"/>
      <c r="X262" s="83"/>
      <c r="Y262" s="83"/>
      <c r="Z262" s="83"/>
      <c r="AA262" s="31"/>
      <c r="AB262" s="132"/>
      <c r="AC262" s="83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/>
      <c r="AY262"/>
      <c r="AZ262" s="83"/>
      <c r="BB262" s="31" t="str">
        <f>BBDD_TERRENO[[#This Row],[Comuna]]&amp;BBDD_TERRENO[[#This Row],[Identificacion Propiedad]]</f>
        <v>CoronelLote 01 Patagual</v>
      </c>
    </row>
    <row r="263" spans="1:54" x14ac:dyDescent="0.3">
      <c r="A263" s="31" t="s">
        <v>543</v>
      </c>
      <c r="B263" s="31" t="s">
        <v>622</v>
      </c>
      <c r="C263" s="31" t="s">
        <v>623</v>
      </c>
      <c r="E263" s="42">
        <v>3546000</v>
      </c>
      <c r="F263" s="31" t="s">
        <v>538</v>
      </c>
      <c r="G263" s="32"/>
      <c r="H263" s="31"/>
      <c r="I263" s="83"/>
      <c r="J263" s="83"/>
      <c r="K263" s="83"/>
      <c r="L263" s="83"/>
      <c r="M263" s="83"/>
      <c r="N263" s="83"/>
      <c r="O263" s="83"/>
      <c r="P263" s="31" t="s">
        <v>624</v>
      </c>
      <c r="Q263" s="31" t="s">
        <v>625</v>
      </c>
      <c r="R263" s="31"/>
      <c r="S263" s="31"/>
      <c r="T263" s="31"/>
      <c r="U263" s="35"/>
      <c r="V263" s="134"/>
      <c r="W263" s="85"/>
      <c r="X263" s="83"/>
      <c r="Y263" s="83"/>
      <c r="Z263" s="83"/>
      <c r="AA263" s="31"/>
      <c r="AB263" s="132"/>
      <c r="AC263" s="83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/>
      <c r="AY263"/>
      <c r="AZ263" s="83"/>
      <c r="BB263" s="31" t="str">
        <f>BBDD_TERRENO[[#This Row],[Comuna]]&amp;BBDD_TERRENO[[#This Row],[Identificacion Propiedad]]</f>
        <v>San Fabián de AlicoFundo Las Mercedes: Lote 2</v>
      </c>
    </row>
    <row r="264" spans="1:54" x14ac:dyDescent="0.3">
      <c r="A264" s="31" t="s">
        <v>543</v>
      </c>
      <c r="B264" s="31" t="s">
        <v>622</v>
      </c>
      <c r="C264" s="31" t="s">
        <v>626</v>
      </c>
      <c r="E264" s="42">
        <v>505000</v>
      </c>
      <c r="F264" s="31" t="s">
        <v>538</v>
      </c>
      <c r="G264" s="32"/>
      <c r="H264" s="31"/>
      <c r="I264" s="83"/>
      <c r="J264" s="83"/>
      <c r="K264" s="83"/>
      <c r="L264" s="83"/>
      <c r="M264" s="83"/>
      <c r="N264" s="83"/>
      <c r="O264" s="83"/>
      <c r="P264" s="31" t="s">
        <v>627</v>
      </c>
      <c r="Q264" s="31" t="s">
        <v>628</v>
      </c>
      <c r="R264" s="31"/>
      <c r="S264" s="31"/>
      <c r="T264" s="31"/>
      <c r="U264" s="35"/>
      <c r="V264" s="134"/>
      <c r="W264" s="85"/>
      <c r="X264" s="83"/>
      <c r="Y264" s="83"/>
      <c r="Z264" s="83"/>
      <c r="AA264" s="31"/>
      <c r="AB264" s="132"/>
      <c r="AC264" s="83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/>
      <c r="AY264"/>
      <c r="AZ264" s="83"/>
      <c r="BB264" s="31" t="str">
        <f>BBDD_TERRENO[[#This Row],[Comuna]]&amp;BBDD_TERRENO[[#This Row],[Identificacion Propiedad]]</f>
        <v xml:space="preserve">San Fabián de AlicoFundo Las Bandurrias: Lote 2 </v>
      </c>
    </row>
    <row r="265" spans="1:54" x14ac:dyDescent="0.3">
      <c r="A265" s="31" t="s">
        <v>543</v>
      </c>
      <c r="B265" s="31" t="s">
        <v>622</v>
      </c>
      <c r="C265" s="31" t="s">
        <v>629</v>
      </c>
      <c r="E265" s="42">
        <v>626000</v>
      </c>
      <c r="F265" s="31" t="s">
        <v>538</v>
      </c>
      <c r="G265" s="32"/>
      <c r="H265" s="31"/>
      <c r="I265" s="83"/>
      <c r="J265" s="83"/>
      <c r="K265" s="83"/>
      <c r="L265" s="83"/>
      <c r="M265" s="83"/>
      <c r="N265" s="83"/>
      <c r="O265" s="83"/>
      <c r="P265" s="31" t="s">
        <v>630</v>
      </c>
      <c r="Q265" s="31" t="s">
        <v>631</v>
      </c>
      <c r="R265" s="31"/>
      <c r="S265" s="31"/>
      <c r="T265" s="31"/>
      <c r="U265" s="35"/>
      <c r="V265" s="134"/>
      <c r="W265" s="85"/>
      <c r="X265" s="83"/>
      <c r="Y265" s="83"/>
      <c r="Z265" s="83"/>
      <c r="AA265" s="31"/>
      <c r="AB265" s="132"/>
      <c r="AC265" s="83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/>
      <c r="AY265"/>
      <c r="AZ265" s="83"/>
      <c r="BB265" s="31" t="str">
        <f>BBDD_TERRENO[[#This Row],[Comuna]]&amp;BBDD_TERRENO[[#This Row],[Identificacion Propiedad]]</f>
        <v>San Fabián de AlicoFundo La Montaña 2: Lote 2</v>
      </c>
    </row>
    <row r="266" spans="1:54" x14ac:dyDescent="0.3">
      <c r="A266" s="31" t="s">
        <v>543</v>
      </c>
      <c r="B266" s="31" t="s">
        <v>622</v>
      </c>
      <c r="C266" s="31" t="s">
        <v>632</v>
      </c>
      <c r="E266" s="42">
        <v>1658000</v>
      </c>
      <c r="F266" s="31" t="s">
        <v>538</v>
      </c>
      <c r="G266" s="32"/>
      <c r="H266" s="31"/>
      <c r="I266" s="83"/>
      <c r="J266" s="83"/>
      <c r="K266" s="83"/>
      <c r="L266" s="83"/>
      <c r="M266" s="83"/>
      <c r="N266" s="83"/>
      <c r="O266" s="83"/>
      <c r="P266" s="31" t="s">
        <v>633</v>
      </c>
      <c r="Q266" s="31" t="s">
        <v>634</v>
      </c>
      <c r="R266" s="31"/>
      <c r="S266" s="31"/>
      <c r="T266" s="31"/>
      <c r="U266" s="35"/>
      <c r="V266" s="134"/>
      <c r="W266" s="85"/>
      <c r="X266" s="83"/>
      <c r="Y266" s="83"/>
      <c r="Z266" s="83"/>
      <c r="AA266" s="31"/>
      <c r="AB266" s="132"/>
      <c r="AC266" s="83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/>
      <c r="AY266"/>
      <c r="AZ266" s="83"/>
      <c r="BB266" s="31" t="str">
        <f>BBDD_TERRENO[[#This Row],[Comuna]]&amp;BBDD_TERRENO[[#This Row],[Identificacion Propiedad]]</f>
        <v>San Fabián de AlicoFundo El Valiente: Lote 2</v>
      </c>
    </row>
    <row r="267" spans="1:54" x14ac:dyDescent="0.3">
      <c r="A267" s="31" t="s">
        <v>635</v>
      </c>
      <c r="B267" s="31" t="s">
        <v>380</v>
      </c>
      <c r="C267" s="31" t="s">
        <v>636</v>
      </c>
      <c r="E267" s="42">
        <v>28000</v>
      </c>
      <c r="F267" s="31"/>
      <c r="G267" s="32"/>
      <c r="H267" s="31"/>
      <c r="I267" s="83"/>
      <c r="J267" s="83"/>
      <c r="K267" s="83"/>
      <c r="L267" s="83"/>
      <c r="M267" s="83"/>
      <c r="N267" s="83"/>
      <c r="O267" s="83"/>
      <c r="P267" s="31"/>
      <c r="Q267" s="31"/>
      <c r="R267" s="31"/>
      <c r="S267" s="31"/>
      <c r="T267" s="31"/>
      <c r="U267" s="35"/>
      <c r="V267" s="134"/>
      <c r="W267" s="85"/>
      <c r="X267" s="83"/>
      <c r="Y267" s="83"/>
      <c r="Z267" s="83"/>
      <c r="AA267" s="31"/>
      <c r="AB267" s="132"/>
      <c r="AC267" s="83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/>
      <c r="AY267"/>
      <c r="AZ267" s="83"/>
      <c r="BB267" s="31" t="str">
        <f>BBDD_TERRENO[[#This Row],[Comuna]]&amp;BBDD_TERRENO[[#This Row],[Identificacion Propiedad]]</f>
        <v>CoronelLote B</v>
      </c>
    </row>
    <row r="268" spans="1:54" x14ac:dyDescent="0.3">
      <c r="A268" s="31" t="s">
        <v>70</v>
      </c>
      <c r="B268" s="31" t="s">
        <v>71</v>
      </c>
      <c r="C268" s="31" t="s">
        <v>637</v>
      </c>
      <c r="D268" s="31" t="s">
        <v>638</v>
      </c>
      <c r="E268" s="42">
        <v>5000</v>
      </c>
      <c r="F268" s="31" t="s">
        <v>538</v>
      </c>
      <c r="G268" s="32"/>
      <c r="H268" s="31"/>
      <c r="I268" s="83"/>
      <c r="J268" s="83"/>
      <c r="K268" s="83">
        <v>0</v>
      </c>
      <c r="L268" s="83">
        <v>13515423</v>
      </c>
      <c r="M268" s="83">
        <v>14061432</v>
      </c>
      <c r="N268" s="83">
        <v>0</v>
      </c>
      <c r="O268" s="83">
        <v>14061432</v>
      </c>
      <c r="P268" s="31" t="s">
        <v>639</v>
      </c>
      <c r="Q268" s="31" t="s">
        <v>640</v>
      </c>
      <c r="R268" s="31" t="s">
        <v>639</v>
      </c>
      <c r="S268" s="31" t="s">
        <v>641</v>
      </c>
      <c r="T268" s="31" t="s">
        <v>642</v>
      </c>
      <c r="U268" s="35" t="s">
        <v>643</v>
      </c>
      <c r="V268" s="134"/>
      <c r="W268" s="85">
        <v>546009</v>
      </c>
      <c r="X268" s="83">
        <v>546009</v>
      </c>
      <c r="Y268" s="83">
        <v>0</v>
      </c>
      <c r="Z268" s="83"/>
      <c r="AA268" s="31"/>
      <c r="AB268" s="132"/>
      <c r="AC268" s="83" t="s">
        <v>644</v>
      </c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>
        <v>0.65</v>
      </c>
      <c r="AO268" s="31">
        <v>3250</v>
      </c>
      <c r="AP268" s="31">
        <v>0.3339765359742346</v>
      </c>
      <c r="AQ268" s="31">
        <v>1669.882679871173</v>
      </c>
      <c r="AR268" s="31"/>
      <c r="AS268" s="31">
        <v>43865</v>
      </c>
      <c r="AT268" s="31" t="s">
        <v>645</v>
      </c>
      <c r="AU268" s="31">
        <v>3250</v>
      </c>
      <c r="AV268" s="31" t="s">
        <v>645</v>
      </c>
      <c r="AW268"/>
      <c r="AX268" s="31" t="s">
        <v>646</v>
      </c>
      <c r="AY268">
        <v>13515423</v>
      </c>
      <c r="AZ268" s="83">
        <v>20646696</v>
      </c>
      <c r="BA268" t="s">
        <v>647</v>
      </c>
      <c r="BB268" s="31" t="str">
        <f>BBDD_TERRENO[[#This Row],[Comuna]]&amp;BBDD_TERRENO[[#This Row],[Identificacion Propiedad]]</f>
        <v>Puerto MonttLote 17 (Cardenas - Alberto Cardenas)</v>
      </c>
    </row>
    <row r="269" spans="1:54" x14ac:dyDescent="0.3">
      <c r="A269" s="31" t="s">
        <v>648</v>
      </c>
      <c r="B269" s="31" t="s">
        <v>401</v>
      </c>
      <c r="C269" s="31" t="s">
        <v>649</v>
      </c>
      <c r="D269" s="31" t="s">
        <v>650</v>
      </c>
      <c r="E269" s="42">
        <v>40467.620000000003</v>
      </c>
      <c r="F269" s="31" t="s">
        <v>538</v>
      </c>
      <c r="G269" s="32"/>
      <c r="H269" s="31"/>
      <c r="I269" s="83"/>
      <c r="J269" s="83"/>
      <c r="K269" s="83">
        <v>0</v>
      </c>
      <c r="L269" s="83">
        <v>4785763773</v>
      </c>
      <c r="M269" s="83">
        <v>4887284281</v>
      </c>
      <c r="N269" s="83">
        <v>0</v>
      </c>
      <c r="O269" s="83">
        <v>4887284281</v>
      </c>
      <c r="P269" s="31" t="s">
        <v>651</v>
      </c>
      <c r="Q269" s="31" t="s">
        <v>652</v>
      </c>
      <c r="R269" s="31" t="s">
        <v>652</v>
      </c>
      <c r="S269" s="31" t="s">
        <v>641</v>
      </c>
      <c r="T269" s="31" t="s">
        <v>642</v>
      </c>
      <c r="U269" s="35" t="s">
        <v>643</v>
      </c>
      <c r="V269" s="134"/>
      <c r="W269" s="85">
        <v>100520508</v>
      </c>
      <c r="X269" s="83">
        <v>101520508</v>
      </c>
      <c r="Y269" s="83">
        <v>0</v>
      </c>
      <c r="Z269" s="83"/>
      <c r="AA269" s="31"/>
      <c r="AB269" s="132"/>
      <c r="AC269" s="83" t="s">
        <v>653</v>
      </c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>
        <v>3.747866684352362</v>
      </c>
      <c r="AO269" s="31">
        <v>151442.37279197021</v>
      </c>
      <c r="AP269" s="31">
        <v>3.4646930455196321</v>
      </c>
      <c r="AQ269" s="31">
        <v>140000</v>
      </c>
      <c r="AR269" s="31"/>
      <c r="AS269" s="31">
        <v>45537</v>
      </c>
      <c r="AT269" s="31" t="s">
        <v>154</v>
      </c>
      <c r="AU269" s="31">
        <v>140000</v>
      </c>
      <c r="AV269" s="31" t="s">
        <v>154</v>
      </c>
      <c r="AW269"/>
      <c r="AX269" s="31" t="s">
        <v>155</v>
      </c>
      <c r="AY269">
        <v>4786763773</v>
      </c>
      <c r="AZ269" s="83">
        <v>2819449352</v>
      </c>
      <c r="BA269" t="s">
        <v>647</v>
      </c>
      <c r="BB269" s="31" t="str">
        <f>BBDD_TERRENO[[#This Row],[Comuna]]&amp;BBDD_TERRENO[[#This Row],[Identificacion Propiedad]]</f>
        <v>TalcahuanoLOTE A-1 Carriel Sur</v>
      </c>
    </row>
    <row r="270" spans="1:54" x14ac:dyDescent="0.3">
      <c r="A270" s="31" t="s">
        <v>493</v>
      </c>
      <c r="B270" s="31" t="s">
        <v>654</v>
      </c>
      <c r="C270" s="31" t="s">
        <v>655</v>
      </c>
      <c r="D270" s="31" t="s">
        <v>656</v>
      </c>
      <c r="E270" s="42">
        <v>5213.2700000000004</v>
      </c>
      <c r="F270" s="31" t="s">
        <v>538</v>
      </c>
      <c r="G270" s="32"/>
      <c r="H270" s="31"/>
      <c r="I270" s="83"/>
      <c r="J270" s="83"/>
      <c r="K270" s="83">
        <v>0</v>
      </c>
      <c r="L270" s="83">
        <v>148699661</v>
      </c>
      <c r="M270" s="83">
        <v>154706969</v>
      </c>
      <c r="N270" s="83">
        <v>0</v>
      </c>
      <c r="O270" s="83">
        <v>154706969</v>
      </c>
      <c r="P270" s="31"/>
      <c r="Q270" s="31" t="s">
        <v>657</v>
      </c>
      <c r="R270" s="31" t="s">
        <v>657</v>
      </c>
      <c r="S270" s="31" t="s">
        <v>641</v>
      </c>
      <c r="T270" s="31" t="s">
        <v>642</v>
      </c>
      <c r="U270" s="35" t="s">
        <v>643</v>
      </c>
      <c r="V270" s="134"/>
      <c r="W270" s="85">
        <v>6007308</v>
      </c>
      <c r="X270" s="83">
        <v>6007308</v>
      </c>
      <c r="Y270" s="83">
        <v>0</v>
      </c>
      <c r="Z270" s="83"/>
      <c r="AA270" s="31"/>
      <c r="AB270" s="132"/>
      <c r="AC270" s="83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>
        <v>1.4385883088189872</v>
      </c>
      <c r="AO270" s="31">
        <v>7499.7492727167619</v>
      </c>
      <c r="AP270" s="31">
        <v>1.39</v>
      </c>
      <c r="AQ270" s="31">
        <v>7246.4453000000003</v>
      </c>
      <c r="AR270" s="31"/>
      <c r="AS270" s="31">
        <v>44320</v>
      </c>
      <c r="AT270" s="31" t="s">
        <v>645</v>
      </c>
      <c r="AU270" s="31">
        <v>7246.4453000000003</v>
      </c>
      <c r="AV270" s="31" t="s">
        <v>88</v>
      </c>
      <c r="AW270"/>
      <c r="AY270">
        <v>148699661</v>
      </c>
      <c r="AZ270" s="83">
        <v>285737367</v>
      </c>
      <c r="BA270" t="s">
        <v>647</v>
      </c>
      <c r="BB270" s="31" t="str">
        <f>BBDD_TERRENO[[#This Row],[Comuna]]&amp;BBDD_TERRENO[[#This Row],[Identificacion Propiedad]]</f>
        <v>ColinaLote 38</v>
      </c>
    </row>
    <row r="271" spans="1:54" x14ac:dyDescent="0.3">
      <c r="A271" s="31" t="s">
        <v>382</v>
      </c>
      <c r="B271" s="31" t="s">
        <v>80</v>
      </c>
      <c r="C271" s="31" t="s">
        <v>658</v>
      </c>
      <c r="D271" s="31" t="s">
        <v>659</v>
      </c>
      <c r="E271" s="42">
        <v>145698.66</v>
      </c>
      <c r="F271" s="31" t="s">
        <v>538</v>
      </c>
      <c r="G271" s="32"/>
      <c r="H271" s="31"/>
      <c r="I271" s="83"/>
      <c r="J271" s="83"/>
      <c r="K271" s="83">
        <v>142868641</v>
      </c>
      <c r="L271" s="83">
        <v>1253425053</v>
      </c>
      <c r="M271" s="83">
        <v>1425615415</v>
      </c>
      <c r="N271" s="83">
        <v>145868838</v>
      </c>
      <c r="O271" s="83">
        <v>1279746577</v>
      </c>
      <c r="P271" s="31" t="s">
        <v>660</v>
      </c>
      <c r="Q271" s="31" t="s">
        <v>661</v>
      </c>
      <c r="R271" s="31" t="s">
        <v>661</v>
      </c>
      <c r="S271" s="31" t="s">
        <v>641</v>
      </c>
      <c r="T271" s="31" t="s">
        <v>642</v>
      </c>
      <c r="U271" s="35" t="s">
        <v>643</v>
      </c>
      <c r="V271" s="134"/>
      <c r="W271" s="85">
        <v>29321721</v>
      </c>
      <c r="X271" s="83">
        <v>26321524</v>
      </c>
      <c r="Y271" s="83">
        <v>3000197</v>
      </c>
      <c r="Z271" s="83"/>
      <c r="AA271" s="31"/>
      <c r="AB271" s="132"/>
      <c r="AC271" s="83" t="s">
        <v>662</v>
      </c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41">
        <v>1.2</v>
      </c>
      <c r="AO271" s="41">
        <v>174838.39199999999</v>
      </c>
      <c r="AP271" s="41">
        <v>0.94</v>
      </c>
      <c r="AQ271" s="41">
        <v>136422</v>
      </c>
      <c r="AR271" s="41"/>
      <c r="AS271" s="32">
        <v>44426</v>
      </c>
      <c r="AT271" s="31" t="s">
        <v>663</v>
      </c>
      <c r="AU271" s="41">
        <v>156680</v>
      </c>
      <c r="AV271" s="33" t="s">
        <v>664</v>
      </c>
      <c r="AX271" s="31" t="s">
        <v>155</v>
      </c>
      <c r="AY271" s="159">
        <v>1396293694</v>
      </c>
      <c r="AZ271" s="161">
        <v>2322845325</v>
      </c>
      <c r="BA271" t="s">
        <v>647</v>
      </c>
      <c r="BB271" s="31" t="str">
        <f>BBDD_TERRENO[[#This Row],[Comuna]]&amp;BBDD_TERRENO[[#This Row],[Identificacion Propiedad]]</f>
        <v>San Pedro de la Paz2D-1-F</v>
      </c>
    </row>
    <row r="272" spans="1:54" x14ac:dyDescent="0.3">
      <c r="A272" s="31" t="s">
        <v>382</v>
      </c>
      <c r="B272" s="31" t="s">
        <v>80</v>
      </c>
      <c r="C272" s="31" t="s">
        <v>665</v>
      </c>
      <c r="D272" s="31" t="s">
        <v>666</v>
      </c>
      <c r="E272" s="42">
        <v>114018</v>
      </c>
      <c r="F272" s="31" t="s">
        <v>538</v>
      </c>
      <c r="G272" s="32"/>
      <c r="H272" s="31"/>
      <c r="I272" s="83"/>
      <c r="J272" s="83"/>
      <c r="K272" s="83">
        <v>0</v>
      </c>
      <c r="L272" s="83">
        <v>1387175066</v>
      </c>
      <c r="M272" s="83"/>
      <c r="N272" s="83"/>
      <c r="O272" s="83"/>
      <c r="P272" s="31"/>
      <c r="Q272" s="31"/>
      <c r="R272" s="31"/>
      <c r="S272" s="31" t="s">
        <v>641</v>
      </c>
      <c r="T272" s="31" t="s">
        <v>642</v>
      </c>
      <c r="U272" s="35" t="s">
        <v>643</v>
      </c>
      <c r="V272" s="134"/>
      <c r="W272" s="85">
        <v>-1387175066</v>
      </c>
      <c r="X272" s="83">
        <v>-1387175066</v>
      </c>
      <c r="Y272" s="83">
        <v>0</v>
      </c>
      <c r="Z272" s="83"/>
      <c r="AA272" s="31"/>
      <c r="AB272" s="132"/>
      <c r="AC272" s="83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41">
        <v>1.1000000000000001</v>
      </c>
      <c r="AO272" s="41">
        <v>118240.05003932492</v>
      </c>
      <c r="AP272" s="41">
        <v>1.27</v>
      </c>
      <c r="AQ272" s="41">
        <v>160395.66992568551</v>
      </c>
      <c r="AR272" s="41"/>
      <c r="AS272" s="32">
        <v>44428</v>
      </c>
      <c r="AT272" s="31" t="s">
        <v>664</v>
      </c>
      <c r="AU272" s="41">
        <v>160395.66992568551</v>
      </c>
      <c r="AV272" s="33" t="s">
        <v>664</v>
      </c>
      <c r="AX272" s="31" t="s">
        <v>155</v>
      </c>
      <c r="AY272" s="159">
        <v>1387175066</v>
      </c>
      <c r="AZ272" s="161">
        <v>1201250239</v>
      </c>
      <c r="BA272" t="s">
        <v>647</v>
      </c>
      <c r="BB272" s="31" t="str">
        <f>BBDD_TERRENO[[#This Row],[Comuna]]&amp;BBDD_TERRENO[[#This Row],[Identificacion Propiedad]]</f>
        <v>San Pedro de la Paz2D-3-1 (Porción 1)</v>
      </c>
    </row>
    <row r="273" spans="1:54" x14ac:dyDescent="0.3">
      <c r="A273" s="31" t="s">
        <v>382</v>
      </c>
      <c r="B273" s="31" t="s">
        <v>80</v>
      </c>
      <c r="C273" s="31" t="s">
        <v>667</v>
      </c>
      <c r="D273" s="31" t="s">
        <v>666</v>
      </c>
      <c r="E273" s="42">
        <v>26389</v>
      </c>
      <c r="F273" s="31" t="s">
        <v>538</v>
      </c>
      <c r="G273" s="32"/>
      <c r="H273" s="31"/>
      <c r="I273" s="83"/>
      <c r="J273" s="83"/>
      <c r="K273" s="83">
        <v>0</v>
      </c>
      <c r="L273" s="83">
        <v>321055998</v>
      </c>
      <c r="M273" s="83"/>
      <c r="N273" s="83"/>
      <c r="O273" s="83"/>
      <c r="P273" s="31"/>
      <c r="Q273" s="31"/>
      <c r="R273" s="31"/>
      <c r="S273" s="31" t="s">
        <v>641</v>
      </c>
      <c r="T273" s="31" t="s">
        <v>642</v>
      </c>
      <c r="U273" s="35" t="s">
        <v>643</v>
      </c>
      <c r="V273" s="134"/>
      <c r="W273" s="85">
        <v>-321055998</v>
      </c>
      <c r="X273" s="83">
        <v>-321055998</v>
      </c>
      <c r="Y273" s="83">
        <v>0</v>
      </c>
      <c r="Z273" s="83"/>
      <c r="AA273" s="31"/>
      <c r="AB273" s="132"/>
      <c r="AC273" s="83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41">
        <v>1.1000000000000001</v>
      </c>
      <c r="AO273" s="41">
        <v>27366.176222067967</v>
      </c>
      <c r="AP273" s="41">
        <v>1.27</v>
      </c>
      <c r="AQ273" s="41">
        <v>37122.922114656591</v>
      </c>
      <c r="AR273" s="41"/>
      <c r="AS273" s="32">
        <v>44428</v>
      </c>
      <c r="AT273" s="31" t="s">
        <v>664</v>
      </c>
      <c r="AU273" s="41">
        <v>37122.922114656591</v>
      </c>
      <c r="AV273" s="33" t="s">
        <v>664</v>
      </c>
      <c r="AX273" s="31" t="s">
        <v>155</v>
      </c>
      <c r="AY273" s="159">
        <v>321055998</v>
      </c>
      <c r="AZ273" s="161">
        <v>1201250239</v>
      </c>
      <c r="BA273" t="s">
        <v>647</v>
      </c>
      <c r="BB273" s="31" t="str">
        <f>BBDD_TERRENO[[#This Row],[Comuna]]&amp;BBDD_TERRENO[[#This Row],[Identificacion Propiedad]]</f>
        <v>San Pedro de la Paz2D-3-1 (Porción 2)</v>
      </c>
    </row>
    <row r="274" spans="1:54" x14ac:dyDescent="0.3">
      <c r="A274" s="31" t="s">
        <v>79</v>
      </c>
      <c r="B274" s="31" t="s">
        <v>80</v>
      </c>
      <c r="C274" s="31" t="s">
        <v>668</v>
      </c>
      <c r="D274" s="31" t="s">
        <v>669</v>
      </c>
      <c r="E274" s="42">
        <v>109337.65</v>
      </c>
      <c r="F274" s="31" t="s">
        <v>538</v>
      </c>
      <c r="G274" s="32"/>
      <c r="H274" s="31"/>
      <c r="I274" s="83"/>
      <c r="J274" s="83"/>
      <c r="K274" s="83">
        <v>0</v>
      </c>
      <c r="L274" s="83">
        <v>16081312316</v>
      </c>
      <c r="M274" s="83">
        <v>17195983128</v>
      </c>
      <c r="N274" s="83">
        <v>0</v>
      </c>
      <c r="O274" s="83">
        <v>17195983128</v>
      </c>
      <c r="P274" s="31"/>
      <c r="Q274" s="31" t="s">
        <v>83</v>
      </c>
      <c r="R274" s="31" t="s">
        <v>83</v>
      </c>
      <c r="S274" s="31" t="s">
        <v>641</v>
      </c>
      <c r="T274" s="31" t="s">
        <v>642</v>
      </c>
      <c r="U274" s="35" t="s">
        <v>670</v>
      </c>
      <c r="V274" s="134"/>
      <c r="W274" s="85">
        <v>1114670812</v>
      </c>
      <c r="X274" s="83">
        <v>1114670812</v>
      </c>
      <c r="Y274" s="83">
        <v>0</v>
      </c>
      <c r="Z274" s="83"/>
      <c r="AA274" s="31"/>
      <c r="AB274" s="132"/>
      <c r="AC274" s="83" t="s">
        <v>671</v>
      </c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41">
        <v>3</v>
      </c>
      <c r="AO274" s="41">
        <v>274015.65000000002</v>
      </c>
      <c r="AP274" s="41">
        <v>2.6999990693962186</v>
      </c>
      <c r="AQ274" s="41">
        <v>246614</v>
      </c>
      <c r="AR274" s="41"/>
      <c r="AS274" s="32">
        <v>43893</v>
      </c>
      <c r="AT274" s="31" t="s">
        <v>87</v>
      </c>
      <c r="AU274" s="41">
        <v>246614</v>
      </c>
      <c r="AV274" s="33" t="s">
        <v>88</v>
      </c>
      <c r="AY274" s="159">
        <v>16081312316</v>
      </c>
      <c r="AZ274" s="161">
        <v>8179395650</v>
      </c>
      <c r="BA274" t="s">
        <v>647</v>
      </c>
      <c r="BB274" s="31" t="str">
        <f>BBDD_TERRENO[[#This Row],[Comuna]]&amp;BBDD_TERRENO[[#This Row],[Identificacion Propiedad]]</f>
        <v>San Pedro de la PazA (LO VALLEDOR)</v>
      </c>
    </row>
    <row r="275" spans="1:54" x14ac:dyDescent="0.3">
      <c r="A275" s="31" t="s">
        <v>89</v>
      </c>
      <c r="B275" s="31" t="s">
        <v>80</v>
      </c>
      <c r="C275" s="31" t="s">
        <v>672</v>
      </c>
      <c r="D275" s="31" t="s">
        <v>673</v>
      </c>
      <c r="E275" s="42">
        <v>3404.89</v>
      </c>
      <c r="F275" s="31" t="s">
        <v>538</v>
      </c>
      <c r="G275" s="32"/>
      <c r="H275" s="31"/>
      <c r="I275" s="83"/>
      <c r="J275" s="83"/>
      <c r="K275" s="83">
        <v>0</v>
      </c>
      <c r="L275" s="83">
        <v>161871113</v>
      </c>
      <c r="M275" s="83">
        <v>165270355</v>
      </c>
      <c r="N275" s="83">
        <v>0</v>
      </c>
      <c r="O275" s="83">
        <v>165270355</v>
      </c>
      <c r="P275" s="31"/>
      <c r="Q275" s="31" t="s">
        <v>674</v>
      </c>
      <c r="R275" s="31" t="s">
        <v>674</v>
      </c>
      <c r="S275" s="31" t="s">
        <v>641</v>
      </c>
      <c r="T275" s="31" t="s">
        <v>642</v>
      </c>
      <c r="U275" s="35" t="s">
        <v>643</v>
      </c>
      <c r="V275" s="134"/>
      <c r="W275" s="85">
        <v>3399242</v>
      </c>
      <c r="X275" s="83">
        <v>3399242</v>
      </c>
      <c r="Y275" s="83">
        <v>0</v>
      </c>
      <c r="Z275" s="83"/>
      <c r="AA275" s="31"/>
      <c r="AB275" s="132"/>
      <c r="AC275" s="83" t="s">
        <v>675</v>
      </c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41">
        <v>1.4</v>
      </c>
      <c r="AO275" s="41">
        <v>4766.8459999999995</v>
      </c>
      <c r="AP275" s="41">
        <v>0.8</v>
      </c>
      <c r="AQ275" s="41">
        <v>2723.9120000000003</v>
      </c>
      <c r="AR275" s="41"/>
      <c r="AS275" s="32"/>
      <c r="AT275" s="31"/>
      <c r="AU275" s="41"/>
      <c r="AV275" s="33" t="s">
        <v>88</v>
      </c>
      <c r="AY275" s="159">
        <v>161871113</v>
      </c>
      <c r="AZ275" s="161">
        <v>73581346</v>
      </c>
      <c r="BA275" t="s">
        <v>647</v>
      </c>
      <c r="BB275" s="31" t="str">
        <f>BBDD_TERRENO[[#This Row],[Comuna]]&amp;BBDD_TERRENO[[#This Row],[Identificacion Propiedad]]</f>
        <v>San Pedro de la PazA-2</v>
      </c>
    </row>
    <row r="276" spans="1:54" x14ac:dyDescent="0.3">
      <c r="A276" s="31" t="s">
        <v>89</v>
      </c>
      <c r="B276" s="31" t="s">
        <v>80</v>
      </c>
      <c r="C276" s="31" t="s">
        <v>676</v>
      </c>
      <c r="D276" s="31" t="s">
        <v>677</v>
      </c>
      <c r="E276" s="42">
        <v>9692.9500000000007</v>
      </c>
      <c r="F276" s="31" t="s">
        <v>538</v>
      </c>
      <c r="G276" s="32"/>
      <c r="H276" s="31"/>
      <c r="I276" s="83"/>
      <c r="J276" s="83"/>
      <c r="K276" s="83">
        <v>0</v>
      </c>
      <c r="L276" s="83">
        <v>2225006491</v>
      </c>
      <c r="M276" s="83">
        <v>2314894377</v>
      </c>
      <c r="N276" s="83">
        <v>0</v>
      </c>
      <c r="O276" s="83">
        <v>2314894377</v>
      </c>
      <c r="P276" s="31" t="s">
        <v>678</v>
      </c>
      <c r="Q276" s="31" t="s">
        <v>679</v>
      </c>
      <c r="R276" s="31" t="s">
        <v>679</v>
      </c>
      <c r="S276" s="31" t="s">
        <v>641</v>
      </c>
      <c r="T276" s="31" t="s">
        <v>642</v>
      </c>
      <c r="U276" s="35" t="s">
        <v>680</v>
      </c>
      <c r="V276" s="134"/>
      <c r="W276" s="85">
        <v>89887886</v>
      </c>
      <c r="X276" s="83">
        <v>89887886</v>
      </c>
      <c r="Y276" s="83">
        <v>0</v>
      </c>
      <c r="Z276" s="83"/>
      <c r="AA276" s="31"/>
      <c r="AB276" s="132"/>
      <c r="AC276" s="83" t="s">
        <v>681</v>
      </c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41">
        <v>4.8897719062854783</v>
      </c>
      <c r="AO276" s="41">
        <v>47377</v>
      </c>
      <c r="AP276" s="41">
        <v>2.4499999999999997</v>
      </c>
      <c r="AQ276" s="41">
        <v>47377</v>
      </c>
      <c r="AR276" s="41"/>
      <c r="AS276" s="32">
        <v>45596</v>
      </c>
      <c r="AT276" s="31" t="s">
        <v>94</v>
      </c>
      <c r="AU276" s="41">
        <v>47377</v>
      </c>
      <c r="AV276" s="33" t="s">
        <v>94</v>
      </c>
      <c r="AY276" s="159">
        <v>2225006491</v>
      </c>
      <c r="AZ276" s="161" t="s">
        <v>682</v>
      </c>
      <c r="BA276" t="s">
        <v>647</v>
      </c>
      <c r="BB276" s="31" t="str">
        <f>BBDD_TERRENO[[#This Row],[Comuna]]&amp;BBDD_TERRENO[[#This Row],[Identificacion Propiedad]]</f>
        <v>San Pedro de la PazC-9-F1</v>
      </c>
    </row>
    <row r="277" spans="1:54" x14ac:dyDescent="0.3">
      <c r="A277" s="31" t="s">
        <v>89</v>
      </c>
      <c r="B277" s="31" t="s">
        <v>80</v>
      </c>
      <c r="C277" s="31" t="s">
        <v>683</v>
      </c>
      <c r="D277" s="31" t="s">
        <v>684</v>
      </c>
      <c r="E277" s="42">
        <v>396.23</v>
      </c>
      <c r="F277" s="31" t="s">
        <v>538</v>
      </c>
      <c r="G277" s="32"/>
      <c r="H277" s="31"/>
      <c r="I277" s="83"/>
      <c r="J277" s="83"/>
      <c r="K277" s="83">
        <v>0</v>
      </c>
      <c r="L277" s="83">
        <v>18825539</v>
      </c>
      <c r="M277" s="83">
        <v>19220869</v>
      </c>
      <c r="N277" s="83">
        <v>0</v>
      </c>
      <c r="O277" s="83">
        <v>19220869</v>
      </c>
      <c r="P277" s="31"/>
      <c r="Q277" s="31" t="s">
        <v>685</v>
      </c>
      <c r="R277" s="31" t="s">
        <v>685</v>
      </c>
      <c r="S277" s="31" t="s">
        <v>641</v>
      </c>
      <c r="T277" s="31" t="s">
        <v>642</v>
      </c>
      <c r="U277" s="35" t="s">
        <v>643</v>
      </c>
      <c r="V277" s="134"/>
      <c r="W277" s="85">
        <v>395330</v>
      </c>
      <c r="X277" s="83">
        <v>395330</v>
      </c>
      <c r="Y277" s="83">
        <v>0</v>
      </c>
      <c r="Z277" s="83"/>
      <c r="AA277" s="31"/>
      <c r="AB277" s="132"/>
      <c r="AC277" s="83" t="s">
        <v>686</v>
      </c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41">
        <v>0.65</v>
      </c>
      <c r="AO277" s="41">
        <v>3250</v>
      </c>
      <c r="AP277" s="41">
        <v>0.8</v>
      </c>
      <c r="AQ277" s="41">
        <v>316.98400000000004</v>
      </c>
      <c r="AR277" s="41"/>
      <c r="AS277" s="32"/>
      <c r="AT277" s="31"/>
      <c r="AU277" s="41"/>
      <c r="AV277" s="33" t="s">
        <v>88</v>
      </c>
      <c r="AY277" s="159">
        <v>18825539</v>
      </c>
      <c r="AZ277" s="161">
        <v>8562679</v>
      </c>
      <c r="BA277" t="s">
        <v>647</v>
      </c>
      <c r="BB277" s="31" t="str">
        <f>BBDD_TERRENO[[#This Row],[Comuna]]&amp;BBDD_TERRENO[[#This Row],[Identificacion Propiedad]]</f>
        <v>San Pedro de la PazA-3</v>
      </c>
    </row>
    <row r="278" spans="1:54" x14ac:dyDescent="0.3">
      <c r="A278" s="31" t="s">
        <v>687</v>
      </c>
      <c r="B278" s="31" t="s">
        <v>80</v>
      </c>
      <c r="C278" s="31" t="s">
        <v>688</v>
      </c>
      <c r="D278" s="31" t="s">
        <v>689</v>
      </c>
      <c r="E278" s="42">
        <v>3000</v>
      </c>
      <c r="F278" s="31" t="s">
        <v>538</v>
      </c>
      <c r="G278" s="32"/>
      <c r="H278" s="31"/>
      <c r="I278" s="83"/>
      <c r="J278" s="83"/>
      <c r="K278" s="83">
        <v>0</v>
      </c>
      <c r="L278" s="83">
        <v>100710307</v>
      </c>
      <c r="M278" s="83">
        <v>102825191</v>
      </c>
      <c r="N278" s="83">
        <v>0</v>
      </c>
      <c r="O278" s="83">
        <v>102825191</v>
      </c>
      <c r="P278" s="31"/>
      <c r="Q278" s="31" t="s">
        <v>690</v>
      </c>
      <c r="R278" s="31" t="s">
        <v>690</v>
      </c>
      <c r="S278" s="31" t="s">
        <v>641</v>
      </c>
      <c r="T278" s="31" t="s">
        <v>642</v>
      </c>
      <c r="U278" s="35" t="s">
        <v>643</v>
      </c>
      <c r="V278" s="134"/>
      <c r="W278" s="85">
        <v>2114884</v>
      </c>
      <c r="X278" s="83">
        <v>2114884</v>
      </c>
      <c r="Y278" s="83">
        <v>0</v>
      </c>
      <c r="Z278" s="83"/>
      <c r="AA278" s="31"/>
      <c r="AB278" s="132"/>
      <c r="AC278" s="83" t="s">
        <v>691</v>
      </c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41">
        <v>1.5</v>
      </c>
      <c r="AO278" s="41">
        <v>4500</v>
      </c>
      <c r="AP278" s="41">
        <v>1.5</v>
      </c>
      <c r="AQ278" s="41">
        <v>4500</v>
      </c>
      <c r="AR278" s="41"/>
      <c r="AS278" s="32">
        <v>44634</v>
      </c>
      <c r="AT278" s="31" t="s">
        <v>692</v>
      </c>
      <c r="AU278" s="41">
        <v>4500</v>
      </c>
      <c r="AV278" s="33" t="s">
        <v>88</v>
      </c>
      <c r="AY278" s="159">
        <v>100710307</v>
      </c>
      <c r="AZ278" s="161">
        <v>995178516</v>
      </c>
      <c r="BA278" t="s">
        <v>647</v>
      </c>
      <c r="BB278" s="31" t="str">
        <f>BBDD_TERRENO[[#This Row],[Comuna]]&amp;BBDD_TERRENO[[#This Row],[Identificacion Propiedad]]</f>
        <v>San Pedro de la PazB-1</v>
      </c>
    </row>
    <row r="279" spans="1:54" x14ac:dyDescent="0.3">
      <c r="A279" s="31" t="s">
        <v>687</v>
      </c>
      <c r="B279" s="31" t="s">
        <v>80</v>
      </c>
      <c r="C279" s="31" t="s">
        <v>693</v>
      </c>
      <c r="D279" s="31" t="s">
        <v>694</v>
      </c>
      <c r="E279" s="42">
        <v>38370</v>
      </c>
      <c r="F279" s="31" t="s">
        <v>538</v>
      </c>
      <c r="G279" s="32"/>
      <c r="H279" s="31"/>
      <c r="I279" s="83"/>
      <c r="J279" s="83"/>
      <c r="K279" s="83">
        <v>0</v>
      </c>
      <c r="L279" s="83">
        <v>1100595803</v>
      </c>
      <c r="M279" s="83">
        <v>1123707963</v>
      </c>
      <c r="N279" s="83">
        <v>0</v>
      </c>
      <c r="O279" s="83">
        <v>1123707963</v>
      </c>
      <c r="P279" s="31"/>
      <c r="Q279" s="31" t="s">
        <v>695</v>
      </c>
      <c r="R279" s="31" t="s">
        <v>695</v>
      </c>
      <c r="S279" s="31" t="s">
        <v>641</v>
      </c>
      <c r="T279" s="31" t="s">
        <v>642</v>
      </c>
      <c r="U279" s="35" t="s">
        <v>643</v>
      </c>
      <c r="V279" s="134"/>
      <c r="W279" s="85">
        <v>23112160</v>
      </c>
      <c r="X279" s="83">
        <v>23112160</v>
      </c>
      <c r="Y279" s="83">
        <v>0</v>
      </c>
      <c r="Z279" s="83"/>
      <c r="AA279" s="31"/>
      <c r="AB279" s="132"/>
      <c r="AC279" s="83" t="s">
        <v>696</v>
      </c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41">
        <v>1.51</v>
      </c>
      <c r="AO279" s="41">
        <v>59645</v>
      </c>
      <c r="AP279" s="41">
        <v>1.51</v>
      </c>
      <c r="AQ279" s="41">
        <v>57938.7</v>
      </c>
      <c r="AR279" s="41"/>
      <c r="AS279" s="32">
        <v>44634</v>
      </c>
      <c r="AT279" s="31" t="s">
        <v>692</v>
      </c>
      <c r="AU279" s="41">
        <v>57938.7</v>
      </c>
      <c r="AV279" s="33" t="s">
        <v>88</v>
      </c>
      <c r="AY279" s="159">
        <v>1100595803</v>
      </c>
      <c r="AZ279" s="161">
        <v>57691508</v>
      </c>
      <c r="BA279" t="s">
        <v>647</v>
      </c>
      <c r="BB279" s="31" t="str">
        <f>BBDD_TERRENO[[#This Row],[Comuna]]&amp;BBDD_TERRENO[[#This Row],[Identificacion Propiedad]]</f>
        <v>San Pedro de la PazB-3.1</v>
      </c>
    </row>
    <row r="280" spans="1:54" x14ac:dyDescent="0.3">
      <c r="A280" s="31" t="s">
        <v>697</v>
      </c>
      <c r="B280" s="31" t="s">
        <v>80</v>
      </c>
      <c r="C280" s="31" t="s">
        <v>698</v>
      </c>
      <c r="D280" s="31" t="s">
        <v>699</v>
      </c>
      <c r="E280" s="42">
        <v>38540</v>
      </c>
      <c r="F280" s="31" t="s">
        <v>538</v>
      </c>
      <c r="G280" s="32"/>
      <c r="H280" s="31"/>
      <c r="I280" s="83"/>
      <c r="J280" s="83"/>
      <c r="K280" s="83">
        <v>0</v>
      </c>
      <c r="L280" s="83">
        <v>1717527041</v>
      </c>
      <c r="M280" s="83">
        <v>1753594559</v>
      </c>
      <c r="N280" s="83">
        <v>0</v>
      </c>
      <c r="O280" s="83">
        <v>1753594559</v>
      </c>
      <c r="P280" s="31" t="s">
        <v>700</v>
      </c>
      <c r="Q280" s="31" t="s">
        <v>701</v>
      </c>
      <c r="R280" s="31" t="s">
        <v>701</v>
      </c>
      <c r="S280" s="31" t="s">
        <v>641</v>
      </c>
      <c r="T280" s="31" t="s">
        <v>642</v>
      </c>
      <c r="U280" s="35" t="s">
        <v>643</v>
      </c>
      <c r="V280" s="134"/>
      <c r="W280" s="85">
        <v>36067518</v>
      </c>
      <c r="X280" s="83">
        <v>36067518</v>
      </c>
      <c r="Y280" s="83">
        <v>0</v>
      </c>
      <c r="Z280" s="83"/>
      <c r="AA280" s="31"/>
      <c r="AB280" s="132"/>
      <c r="AC280" s="83" t="s">
        <v>702</v>
      </c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41">
        <v>4</v>
      </c>
      <c r="AO280" s="41">
        <v>154160</v>
      </c>
      <c r="AP280" s="41">
        <v>2.7452714014746604</v>
      </c>
      <c r="AQ280" s="41">
        <v>105802.75981283342</v>
      </c>
      <c r="AR280" s="41"/>
      <c r="AS280" s="32">
        <v>45475</v>
      </c>
      <c r="AT280" s="31" t="s">
        <v>154</v>
      </c>
      <c r="AU280" s="41">
        <v>156960</v>
      </c>
      <c r="AV280" s="33" t="s">
        <v>154</v>
      </c>
      <c r="AX280" s="31" t="s">
        <v>109</v>
      </c>
      <c r="AY280" s="159">
        <v>1717527041</v>
      </c>
      <c r="AZ280" s="161">
        <v>1945226420</v>
      </c>
      <c r="BA280" t="s">
        <v>647</v>
      </c>
      <c r="BB280" s="31" t="str">
        <f>BBDD_TERRENO[[#This Row],[Comuna]]&amp;BBDD_TERRENO[[#This Row],[Identificacion Propiedad]]</f>
        <v>San Pedro de la PazC-2A</v>
      </c>
    </row>
    <row r="281" spans="1:54" x14ac:dyDescent="0.3">
      <c r="A281" s="31" t="s">
        <v>703</v>
      </c>
      <c r="B281" s="31" t="s">
        <v>80</v>
      </c>
      <c r="C281" s="31" t="s">
        <v>704</v>
      </c>
      <c r="D281" s="31" t="s">
        <v>705</v>
      </c>
      <c r="E281" s="42">
        <v>13100</v>
      </c>
      <c r="F281" s="31" t="s">
        <v>538</v>
      </c>
      <c r="G281" s="32"/>
      <c r="H281" s="31"/>
      <c r="I281" s="83"/>
      <c r="J281" s="83"/>
      <c r="K281" s="83">
        <v>0</v>
      </c>
      <c r="L281" s="83">
        <v>672047410</v>
      </c>
      <c r="M281" s="83">
        <v>686160191</v>
      </c>
      <c r="N281" s="83">
        <v>0</v>
      </c>
      <c r="O281" s="83">
        <v>686160191</v>
      </c>
      <c r="P281" s="31" t="s">
        <v>700</v>
      </c>
      <c r="Q281" s="31" t="s">
        <v>706</v>
      </c>
      <c r="R281" s="31" t="s">
        <v>706</v>
      </c>
      <c r="S281" s="31" t="s">
        <v>641</v>
      </c>
      <c r="T281" s="31" t="s">
        <v>642</v>
      </c>
      <c r="U281" s="35" t="s">
        <v>643</v>
      </c>
      <c r="V281" s="134"/>
      <c r="W281" s="85">
        <v>14112781</v>
      </c>
      <c r="X281" s="83">
        <v>14112781</v>
      </c>
      <c r="Y281" s="83">
        <v>0</v>
      </c>
      <c r="Z281" s="83"/>
      <c r="AA281" s="31"/>
      <c r="AB281" s="132"/>
      <c r="AC281" s="83" t="s">
        <v>707</v>
      </c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41">
        <v>2.4</v>
      </c>
      <c r="AO281" s="41">
        <v>31440</v>
      </c>
      <c r="AP281" s="41">
        <v>1.6399903869262196</v>
      </c>
      <c r="AQ281" s="41">
        <v>21483.874068733476</v>
      </c>
      <c r="AR281" s="41">
        <v>15038.72</v>
      </c>
      <c r="AS281" s="32">
        <v>44235</v>
      </c>
      <c r="AT281" s="31" t="s">
        <v>108</v>
      </c>
      <c r="AU281" s="41">
        <v>21483.874068733476</v>
      </c>
      <c r="AV281" s="33" t="s">
        <v>88</v>
      </c>
      <c r="AX281" s="31" t="s">
        <v>109</v>
      </c>
      <c r="AY281" s="159">
        <v>672047410</v>
      </c>
      <c r="AZ281" s="161">
        <v>373713211</v>
      </c>
      <c r="BA281" t="s">
        <v>647</v>
      </c>
      <c r="BB281" s="31" t="str">
        <f>BBDD_TERRENO[[#This Row],[Comuna]]&amp;BBDD_TERRENO[[#This Row],[Identificacion Propiedad]]</f>
        <v>San Pedro de la PazC-2C</v>
      </c>
    </row>
    <row r="282" spans="1:54" x14ac:dyDescent="0.3">
      <c r="A282" s="31" t="s">
        <v>703</v>
      </c>
      <c r="B282" s="31" t="s">
        <v>80</v>
      </c>
      <c r="C282" s="31" t="s">
        <v>708</v>
      </c>
      <c r="D282" s="31" t="s">
        <v>709</v>
      </c>
      <c r="E282" s="42">
        <v>13800</v>
      </c>
      <c r="F282" s="31" t="s">
        <v>538</v>
      </c>
      <c r="G282" s="32"/>
      <c r="H282" s="31"/>
      <c r="I282" s="83"/>
      <c r="J282" s="83"/>
      <c r="K282" s="83">
        <v>0</v>
      </c>
      <c r="L282" s="83">
        <v>700807246</v>
      </c>
      <c r="M282" s="83">
        <v>715523974</v>
      </c>
      <c r="N282" s="83">
        <v>0</v>
      </c>
      <c r="O282" s="83">
        <v>715523974</v>
      </c>
      <c r="P282" s="31" t="s">
        <v>700</v>
      </c>
      <c r="Q282" s="31" t="s">
        <v>710</v>
      </c>
      <c r="R282" s="31" t="s">
        <v>710</v>
      </c>
      <c r="S282" s="31" t="s">
        <v>641</v>
      </c>
      <c r="T282" s="31" t="s">
        <v>642</v>
      </c>
      <c r="U282" s="35" t="s">
        <v>643</v>
      </c>
      <c r="V282" s="134"/>
      <c r="W282" s="85">
        <v>14716728</v>
      </c>
      <c r="X282" s="83">
        <v>14716728</v>
      </c>
      <c r="Y282" s="83">
        <v>0</v>
      </c>
      <c r="Z282" s="83"/>
      <c r="AA282" s="31"/>
      <c r="AB282" s="132"/>
      <c r="AC282" s="83" t="s">
        <v>711</v>
      </c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41">
        <v>2.4</v>
      </c>
      <c r="AO282" s="41">
        <v>33120</v>
      </c>
      <c r="AP282" s="41">
        <v>1.6399903869262196</v>
      </c>
      <c r="AQ282" s="41">
        <v>22631.86733958183</v>
      </c>
      <c r="AR282" s="41">
        <v>15842.3</v>
      </c>
      <c r="AS282" s="32">
        <v>44235</v>
      </c>
      <c r="AT282" s="31" t="s">
        <v>108</v>
      </c>
      <c r="AU282" s="41">
        <v>22631.86733958183</v>
      </c>
      <c r="AV282" s="33" t="s">
        <v>88</v>
      </c>
      <c r="AX282" s="31" t="s">
        <v>109</v>
      </c>
      <c r="AY282" s="159">
        <v>700807246</v>
      </c>
      <c r="AZ282" s="161">
        <v>393682619</v>
      </c>
      <c r="BA282" t="s">
        <v>647</v>
      </c>
      <c r="BB282" s="31" t="str">
        <f>BBDD_TERRENO[[#This Row],[Comuna]]&amp;BBDD_TERRENO[[#This Row],[Identificacion Propiedad]]</f>
        <v>San Pedro de la PazC-2D</v>
      </c>
    </row>
    <row r="283" spans="1:54" x14ac:dyDescent="0.3">
      <c r="A283" s="31" t="s">
        <v>703</v>
      </c>
      <c r="B283" s="31" t="s">
        <v>80</v>
      </c>
      <c r="C283" s="31" t="s">
        <v>712</v>
      </c>
      <c r="D283" s="31" t="s">
        <v>713</v>
      </c>
      <c r="E283" s="42">
        <v>38609.599999999999</v>
      </c>
      <c r="F283" s="31" t="s">
        <v>538</v>
      </c>
      <c r="G283" s="32"/>
      <c r="H283" s="31"/>
      <c r="I283" s="83"/>
      <c r="J283" s="83"/>
      <c r="K283" s="83">
        <v>93586060</v>
      </c>
      <c r="L283" s="83">
        <v>1627060516</v>
      </c>
      <c r="M283" s="83">
        <v>1756779604</v>
      </c>
      <c r="N283" s="83">
        <v>95551338</v>
      </c>
      <c r="O283" s="83">
        <v>1661228266</v>
      </c>
      <c r="P283" s="31" t="s">
        <v>700</v>
      </c>
      <c r="Q283" s="31" t="s">
        <v>714</v>
      </c>
      <c r="R283" s="31" t="s">
        <v>714</v>
      </c>
      <c r="S283" s="31" t="s">
        <v>641</v>
      </c>
      <c r="T283" s="31" t="s">
        <v>642</v>
      </c>
      <c r="U283" s="35" t="s">
        <v>643</v>
      </c>
      <c r="V283" s="134"/>
      <c r="W283" s="85">
        <v>36133028</v>
      </c>
      <c r="X283" s="83">
        <v>34167750</v>
      </c>
      <c r="Y283" s="83">
        <v>1965278</v>
      </c>
      <c r="Z283" s="83"/>
      <c r="AA283" s="31"/>
      <c r="AB283" s="132"/>
      <c r="AC283" s="83" t="s">
        <v>715</v>
      </c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41">
        <v>2.4</v>
      </c>
      <c r="AO283" s="41">
        <v>92663.039999999994</v>
      </c>
      <c r="AP283" s="41">
        <v>2</v>
      </c>
      <c r="AQ283" s="41">
        <v>77219.199999999997</v>
      </c>
      <c r="AR283" s="41"/>
      <c r="AS283" s="32">
        <v>44286</v>
      </c>
      <c r="AT283" s="31" t="s">
        <v>101</v>
      </c>
      <c r="AU283" s="41">
        <v>77219.199999999997</v>
      </c>
      <c r="AV283" s="33" t="s">
        <v>101</v>
      </c>
      <c r="AY283" s="159">
        <v>1720646576</v>
      </c>
      <c r="AZ283" s="161">
        <v>1101444089</v>
      </c>
      <c r="BA283" t="s">
        <v>647</v>
      </c>
      <c r="BB283" s="31" t="str">
        <f>BBDD_TERRENO[[#This Row],[Comuna]]&amp;BBDD_TERRENO[[#This Row],[Identificacion Propiedad]]</f>
        <v>San Pedro de la PazC-2E</v>
      </c>
    </row>
    <row r="284" spans="1:54" x14ac:dyDescent="0.3">
      <c r="A284" s="31" t="s">
        <v>716</v>
      </c>
      <c r="B284" s="31" t="s">
        <v>80</v>
      </c>
      <c r="C284" s="31" t="s">
        <v>717</v>
      </c>
      <c r="D284" s="31" t="s">
        <v>718</v>
      </c>
      <c r="E284" s="42">
        <v>14000</v>
      </c>
      <c r="F284" s="31" t="s">
        <v>538</v>
      </c>
      <c r="G284" s="32"/>
      <c r="H284" s="31"/>
      <c r="I284" s="83"/>
      <c r="J284" s="83"/>
      <c r="K284" s="83">
        <v>0</v>
      </c>
      <c r="L284" s="83">
        <v>2800983803</v>
      </c>
      <c r="M284" s="83">
        <v>2859803567</v>
      </c>
      <c r="N284" s="83">
        <v>0</v>
      </c>
      <c r="O284" s="83">
        <v>2859803567</v>
      </c>
      <c r="P284" s="31" t="s">
        <v>719</v>
      </c>
      <c r="Q284" s="31" t="s">
        <v>720</v>
      </c>
      <c r="R284" s="31" t="s">
        <v>720</v>
      </c>
      <c r="S284" s="31" t="s">
        <v>641</v>
      </c>
      <c r="T284" s="31" t="s">
        <v>642</v>
      </c>
      <c r="U284" s="35" t="s">
        <v>643</v>
      </c>
      <c r="V284" s="134"/>
      <c r="W284" s="85">
        <v>58819764</v>
      </c>
      <c r="X284" s="83">
        <v>58819764</v>
      </c>
      <c r="Y284" s="83">
        <v>0</v>
      </c>
      <c r="Z284" s="83"/>
      <c r="AA284" s="31"/>
      <c r="AB284" s="132"/>
      <c r="AC284" s="83" t="s">
        <v>721</v>
      </c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41">
        <v>3.3525714285714288</v>
      </c>
      <c r="AO284" s="41">
        <v>46936</v>
      </c>
      <c r="AP284" s="41">
        <v>3.3525714285714288</v>
      </c>
      <c r="AQ284" s="41">
        <v>46936</v>
      </c>
      <c r="AR284" s="41"/>
      <c r="AS284" s="32">
        <v>43859</v>
      </c>
      <c r="AT284" s="31" t="s">
        <v>663</v>
      </c>
      <c r="AU284" s="41">
        <v>46936</v>
      </c>
      <c r="AV284" s="33" t="s">
        <v>664</v>
      </c>
      <c r="AX284" s="31" t="s">
        <v>722</v>
      </c>
      <c r="AY284" s="159">
        <v>2800983803</v>
      </c>
      <c r="AZ284" s="161">
        <v>623619756</v>
      </c>
      <c r="BA284" t="s">
        <v>647</v>
      </c>
      <c r="BB284" s="31" t="str">
        <f>BBDD_TERRENO[[#This Row],[Comuna]]&amp;BBDD_TERRENO[[#This Row],[Identificacion Propiedad]]</f>
        <v>San Pedro de la PazC3-1C-A</v>
      </c>
    </row>
    <row r="285" spans="1:54" x14ac:dyDescent="0.3">
      <c r="A285" s="31" t="s">
        <v>89</v>
      </c>
      <c r="B285" s="31" t="s">
        <v>80</v>
      </c>
      <c r="C285" s="31" t="s">
        <v>723</v>
      </c>
      <c r="D285" s="31" t="s">
        <v>724</v>
      </c>
      <c r="E285" s="42">
        <v>31555.06</v>
      </c>
      <c r="F285" s="31" t="s">
        <v>538</v>
      </c>
      <c r="G285" s="32"/>
      <c r="H285" s="31"/>
      <c r="I285" s="83"/>
      <c r="J285" s="83"/>
      <c r="K285" s="83">
        <v>577602874</v>
      </c>
      <c r="L285" s="83">
        <v>6335025081</v>
      </c>
      <c r="M285" s="83">
        <v>7057790931</v>
      </c>
      <c r="N285" s="83">
        <v>589732349</v>
      </c>
      <c r="O285" s="83">
        <v>6468058582</v>
      </c>
      <c r="P285" s="31" t="s">
        <v>725</v>
      </c>
      <c r="Q285" s="31" t="s">
        <v>726</v>
      </c>
      <c r="R285" s="31" t="s">
        <v>726</v>
      </c>
      <c r="S285" s="31" t="s">
        <v>641</v>
      </c>
      <c r="T285" s="31" t="s">
        <v>642</v>
      </c>
      <c r="U285" s="35" t="s">
        <v>643</v>
      </c>
      <c r="V285" s="134"/>
      <c r="W285" s="85">
        <v>145162976</v>
      </c>
      <c r="X285" s="83">
        <v>133033501</v>
      </c>
      <c r="Y285" s="83">
        <v>12129475</v>
      </c>
      <c r="Z285" s="83"/>
      <c r="AA285" s="31"/>
      <c r="AB285" s="132"/>
      <c r="AC285" s="83" t="s">
        <v>727</v>
      </c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41">
        <v>2.700003433240636</v>
      </c>
      <c r="AO285" s="41">
        <v>85198.770336114263</v>
      </c>
      <c r="AP285" s="41">
        <v>3.8</v>
      </c>
      <c r="AQ285" s="41">
        <v>119909</v>
      </c>
      <c r="AR285" s="41">
        <v>59639.15</v>
      </c>
      <c r="AS285" s="32">
        <v>45698</v>
      </c>
      <c r="AT285" s="31" t="s">
        <v>108</v>
      </c>
      <c r="AU285" s="41">
        <v>119909</v>
      </c>
      <c r="AV285" s="33" t="s">
        <v>88</v>
      </c>
      <c r="AX285" s="31" t="s">
        <v>109</v>
      </c>
      <c r="AY285" s="159">
        <v>6912627955</v>
      </c>
      <c r="AZ285" s="161">
        <v>796474182</v>
      </c>
      <c r="BA285" t="s">
        <v>647</v>
      </c>
      <c r="BB285" s="31" t="str">
        <f>BBDD_TERRENO[[#This Row],[Comuna]]&amp;BBDD_TERRENO[[#This Row],[Identificacion Propiedad]]</f>
        <v>San Pedro de la PazC6-1-B-1</v>
      </c>
    </row>
    <row r="286" spans="1:54" x14ac:dyDescent="0.3">
      <c r="A286" s="31" t="s">
        <v>89</v>
      </c>
      <c r="B286" s="31" t="s">
        <v>80</v>
      </c>
      <c r="C286" s="31" t="s">
        <v>728</v>
      </c>
      <c r="D286" s="31" t="s">
        <v>729</v>
      </c>
      <c r="E286" s="42">
        <v>14617.1</v>
      </c>
      <c r="F286" s="31" t="s">
        <v>538</v>
      </c>
      <c r="G286" s="32"/>
      <c r="H286" s="31"/>
      <c r="I286" s="83"/>
      <c r="J286" s="83"/>
      <c r="K286" s="83">
        <v>0</v>
      </c>
      <c r="L286" s="83">
        <v>0</v>
      </c>
      <c r="M286" s="83">
        <v>11899310140</v>
      </c>
      <c r="N286" s="83">
        <v>2443128020</v>
      </c>
      <c r="O286" s="83">
        <v>9456182120</v>
      </c>
      <c r="P286" s="31" t="s">
        <v>158</v>
      </c>
      <c r="Q286" s="31" t="s">
        <v>730</v>
      </c>
      <c r="R286" s="31" t="s">
        <v>158</v>
      </c>
      <c r="S286" s="31" t="s">
        <v>641</v>
      </c>
      <c r="T286" s="31" t="s">
        <v>642</v>
      </c>
      <c r="U286" s="35" t="s">
        <v>643</v>
      </c>
      <c r="V286" s="134"/>
      <c r="W286" s="85">
        <v>462052977</v>
      </c>
      <c r="X286" s="83">
        <v>9456182120</v>
      </c>
      <c r="Y286" s="83">
        <v>2443128020</v>
      </c>
      <c r="Z286" s="83"/>
      <c r="AA286" s="31"/>
      <c r="AB286" s="132"/>
      <c r="AC286" s="83" t="s">
        <v>731</v>
      </c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41">
        <v>2.7</v>
      </c>
      <c r="AO286" s="41">
        <v>34131.456000000006</v>
      </c>
      <c r="AP286" s="41">
        <v>2.7</v>
      </c>
      <c r="AQ286" s="41">
        <v>34131.456000000006</v>
      </c>
      <c r="AR286" s="41"/>
      <c r="AS286" s="32">
        <v>44286</v>
      </c>
      <c r="AT286" s="31" t="s">
        <v>101</v>
      </c>
      <c r="AU286" s="41">
        <v>34131.456000000006</v>
      </c>
      <c r="AV286" s="33" t="s">
        <v>101</v>
      </c>
      <c r="AY286" s="159">
        <v>11437257163</v>
      </c>
      <c r="AZ286" s="161">
        <v>337524260</v>
      </c>
      <c r="BA286" t="s">
        <v>647</v>
      </c>
      <c r="BB286" s="31" t="str">
        <f>BBDD_TERRENO[[#This Row],[Comuna]]&amp;BBDD_TERRENO[[#This Row],[Identificacion Propiedad]]</f>
        <v>San Pedro de la PazC7-1A-1D</v>
      </c>
    </row>
    <row r="287" spans="1:54" x14ac:dyDescent="0.3">
      <c r="A287" s="31" t="s">
        <v>89</v>
      </c>
      <c r="B287" s="31" t="s">
        <v>80</v>
      </c>
      <c r="C287" s="31" t="s">
        <v>732</v>
      </c>
      <c r="D287" s="31" t="s">
        <v>729</v>
      </c>
      <c r="E287" s="42">
        <v>12984.42</v>
      </c>
      <c r="F287" s="31" t="s">
        <v>538</v>
      </c>
      <c r="G287" s="32"/>
      <c r="H287" s="31"/>
      <c r="I287" s="83"/>
      <c r="J287" s="83"/>
      <c r="K287" s="83">
        <v>0</v>
      </c>
      <c r="L287" s="83">
        <v>0</v>
      </c>
      <c r="M287" s="83">
        <v>11899310140</v>
      </c>
      <c r="N287" s="83">
        <v>2443128020</v>
      </c>
      <c r="O287" s="83">
        <v>9456182120</v>
      </c>
      <c r="P287" s="31" t="s">
        <v>158</v>
      </c>
      <c r="Q287" s="31" t="s">
        <v>733</v>
      </c>
      <c r="R287" s="31" t="s">
        <v>158</v>
      </c>
      <c r="S287" s="31" t="s">
        <v>641</v>
      </c>
      <c r="T287" s="31" t="s">
        <v>642</v>
      </c>
      <c r="U287" s="35" t="s">
        <v>643</v>
      </c>
      <c r="V287" s="134"/>
      <c r="W287" s="85">
        <v>462052977</v>
      </c>
      <c r="X287" s="83">
        <v>9456182120</v>
      </c>
      <c r="Y287" s="83">
        <v>2443128020</v>
      </c>
      <c r="Z287" s="83"/>
      <c r="AA287" s="31"/>
      <c r="AB287" s="132"/>
      <c r="AC287" s="83" t="s">
        <v>734</v>
      </c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41">
        <v>2.85</v>
      </c>
      <c r="AO287" s="41">
        <v>37005.597000000002</v>
      </c>
      <c r="AP287" s="41">
        <v>2.85</v>
      </c>
      <c r="AQ287" s="41">
        <v>37005.597000000002</v>
      </c>
      <c r="AR287" s="41"/>
      <c r="AS287" s="32">
        <v>44286</v>
      </c>
      <c r="AT287" s="31" t="s">
        <v>101</v>
      </c>
      <c r="AU287" s="41">
        <v>37005.597000000002</v>
      </c>
      <c r="AV287" s="33" t="s">
        <v>101</v>
      </c>
      <c r="AY287" s="159">
        <v>11437257163</v>
      </c>
      <c r="AZ287" s="161">
        <v>346686156</v>
      </c>
      <c r="BA287" t="s">
        <v>647</v>
      </c>
      <c r="BB287" s="31" t="str">
        <f>BBDD_TERRENO[[#This Row],[Comuna]]&amp;BBDD_TERRENO[[#This Row],[Identificacion Propiedad]]</f>
        <v>San Pedro de la PazC7-1A-1E</v>
      </c>
    </row>
    <row r="288" spans="1:54" x14ac:dyDescent="0.3">
      <c r="A288" s="31" t="s">
        <v>89</v>
      </c>
      <c r="B288" s="31" t="s">
        <v>80</v>
      </c>
      <c r="C288" s="31" t="s">
        <v>735</v>
      </c>
      <c r="D288" s="31" t="s">
        <v>729</v>
      </c>
      <c r="E288" s="42">
        <v>9832.43</v>
      </c>
      <c r="F288" s="31" t="s">
        <v>538</v>
      </c>
      <c r="G288" s="32"/>
      <c r="H288" s="31"/>
      <c r="I288" s="83"/>
      <c r="J288" s="83"/>
      <c r="K288" s="83">
        <v>0</v>
      </c>
      <c r="L288" s="83">
        <v>0</v>
      </c>
      <c r="M288" s="83">
        <v>11899310140</v>
      </c>
      <c r="N288" s="83">
        <v>2443128020</v>
      </c>
      <c r="O288" s="83">
        <v>9456182120</v>
      </c>
      <c r="P288" s="31" t="s">
        <v>158</v>
      </c>
      <c r="Q288" s="31" t="s">
        <v>736</v>
      </c>
      <c r="R288" s="31" t="s">
        <v>158</v>
      </c>
      <c r="S288" s="31" t="s">
        <v>641</v>
      </c>
      <c r="T288" s="31" t="s">
        <v>642</v>
      </c>
      <c r="U288" s="35" t="s">
        <v>643</v>
      </c>
      <c r="V288" s="134"/>
      <c r="W288" s="85">
        <v>462052977</v>
      </c>
      <c r="X288" s="83">
        <v>9456182120</v>
      </c>
      <c r="Y288" s="83">
        <v>2443128020</v>
      </c>
      <c r="Z288" s="83"/>
      <c r="AA288" s="31"/>
      <c r="AB288" s="132"/>
      <c r="AC288" s="83" t="s">
        <v>737</v>
      </c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41">
        <v>2.8</v>
      </c>
      <c r="AO288" s="41">
        <v>27530.795600000001</v>
      </c>
      <c r="AP288" s="41">
        <v>2.8</v>
      </c>
      <c r="AQ288" s="41">
        <v>27530.795600000001</v>
      </c>
      <c r="AR288" s="41">
        <v>17206.490000000002</v>
      </c>
      <c r="AS288" s="32">
        <v>44286</v>
      </c>
      <c r="AT288" s="31" t="s">
        <v>101</v>
      </c>
      <c r="AU288" s="41">
        <v>27530.795600000001</v>
      </c>
      <c r="AV288" s="33" t="s">
        <v>88</v>
      </c>
      <c r="AY288" s="159">
        <v>11437257163</v>
      </c>
      <c r="AZ288" s="161">
        <v>262527503</v>
      </c>
      <c r="BA288" t="s">
        <v>647</v>
      </c>
      <c r="BB288" s="31" t="str">
        <f>BBDD_TERRENO[[#This Row],[Comuna]]&amp;BBDD_TERRENO[[#This Row],[Identificacion Propiedad]]</f>
        <v>San Pedro de la PazC7-1A-1G</v>
      </c>
    </row>
    <row r="289" spans="1:54" x14ac:dyDescent="0.3">
      <c r="A289" s="148" t="s">
        <v>89</v>
      </c>
      <c r="B289" s="148" t="s">
        <v>80</v>
      </c>
      <c r="C289" s="148" t="s">
        <v>738</v>
      </c>
      <c r="D289" s="148" t="s">
        <v>729</v>
      </c>
      <c r="E289" s="149">
        <v>14464.17</v>
      </c>
      <c r="F289" s="148" t="s">
        <v>538</v>
      </c>
      <c r="G289" s="150"/>
      <c r="H289" s="148"/>
      <c r="I289" s="151"/>
      <c r="J289" s="151"/>
      <c r="K289" s="151">
        <v>0</v>
      </c>
      <c r="L289" s="151">
        <v>0</v>
      </c>
      <c r="M289" s="151">
        <v>11899310140</v>
      </c>
      <c r="N289" s="151">
        <v>2443128020</v>
      </c>
      <c r="O289" s="151">
        <v>9456182120</v>
      </c>
      <c r="P289" s="148" t="s">
        <v>158</v>
      </c>
      <c r="Q289" s="148" t="s">
        <v>739</v>
      </c>
      <c r="R289" s="148" t="s">
        <v>158</v>
      </c>
      <c r="S289" s="148" t="s">
        <v>641</v>
      </c>
      <c r="T289" s="148" t="s">
        <v>642</v>
      </c>
      <c r="U289" s="152" t="s">
        <v>643</v>
      </c>
      <c r="V289" s="153"/>
      <c r="W289" s="154">
        <v>462052977</v>
      </c>
      <c r="X289" s="151">
        <v>9456182120</v>
      </c>
      <c r="Y289" s="151">
        <v>2443128020</v>
      </c>
      <c r="Z289" s="151"/>
      <c r="AA289" s="148"/>
      <c r="AB289" s="155"/>
      <c r="AC289" s="151" t="s">
        <v>740</v>
      </c>
      <c r="AD289" s="148"/>
      <c r="AE289" s="148"/>
      <c r="AF289" s="148"/>
      <c r="AG289" s="148"/>
      <c r="AH289" s="148"/>
      <c r="AI289" s="148"/>
      <c r="AJ289" s="148"/>
      <c r="AK289" s="148"/>
      <c r="AL289" s="148"/>
      <c r="AM289" s="148"/>
      <c r="AN289" s="157">
        <v>2.8</v>
      </c>
      <c r="AO289" s="157">
        <v>40499.675999999999</v>
      </c>
      <c r="AP289" s="157">
        <v>2.2499399182888729</v>
      </c>
      <c r="AQ289" s="157">
        <v>32543.513467916368</v>
      </c>
      <c r="AR289" s="157">
        <v>22780.46</v>
      </c>
      <c r="AS289" s="150">
        <v>44235</v>
      </c>
      <c r="AT289" s="148" t="s">
        <v>108</v>
      </c>
      <c r="AU289" s="157">
        <v>32543.513467916368</v>
      </c>
      <c r="AV289" s="158" t="s">
        <v>88</v>
      </c>
      <c r="AW289" s="148"/>
      <c r="AX289" s="148" t="s">
        <v>109</v>
      </c>
      <c r="AY289" s="160">
        <v>11437257163</v>
      </c>
      <c r="AZ289" s="162">
        <v>386195724</v>
      </c>
      <c r="BA289" s="156" t="s">
        <v>647</v>
      </c>
      <c r="BB289" s="148" t="str">
        <f>BBDD_TERRENO[[#This Row],[Comuna]]&amp;BBDD_TERRENO[[#This Row],[Identificacion Propiedad]]</f>
        <v>San Pedro de la PazC7-1A-1H</v>
      </c>
    </row>
    <row r="290" spans="1:54" x14ac:dyDescent="0.3">
      <c r="A290" s="31" t="s">
        <v>89</v>
      </c>
      <c r="B290" s="31" t="s">
        <v>80</v>
      </c>
      <c r="C290" s="31" t="s">
        <v>741</v>
      </c>
      <c r="D290" s="31" t="s">
        <v>742</v>
      </c>
      <c r="E290" s="42">
        <v>14951.66</v>
      </c>
      <c r="F290" s="31" t="s">
        <v>538</v>
      </c>
      <c r="G290" s="32"/>
      <c r="H290" s="31"/>
      <c r="I290" s="83"/>
      <c r="J290" s="83"/>
      <c r="K290" s="83">
        <v>0</v>
      </c>
      <c r="L290" s="83">
        <v>0</v>
      </c>
      <c r="M290" s="83">
        <v>3054270209</v>
      </c>
      <c r="N290" s="83">
        <v>371978735</v>
      </c>
      <c r="O290" s="83">
        <v>2682291474</v>
      </c>
      <c r="P290" s="31"/>
      <c r="Q290" s="31" t="s">
        <v>743</v>
      </c>
      <c r="R290" s="31" t="s">
        <v>743</v>
      </c>
      <c r="S290" s="31" t="s">
        <v>641</v>
      </c>
      <c r="T290" s="31" t="s">
        <v>642</v>
      </c>
      <c r="U290" s="35" t="s">
        <v>643</v>
      </c>
      <c r="V290" s="134"/>
      <c r="W290" s="85">
        <v>62819508</v>
      </c>
      <c r="X290" s="83">
        <v>2682291474</v>
      </c>
      <c r="Y290" s="83">
        <v>371978735</v>
      </c>
      <c r="Z290" s="83"/>
      <c r="AA290" s="31"/>
      <c r="AB290" s="132"/>
      <c r="AC290" s="83" t="s">
        <v>744</v>
      </c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41">
        <v>3.470584537101566</v>
      </c>
      <c r="AO290" s="41">
        <v>51891</v>
      </c>
      <c r="AP290" s="41">
        <v>2.8017941256606238</v>
      </c>
      <c r="AQ290" s="41">
        <v>41891.473156874919</v>
      </c>
      <c r="AR290" s="41"/>
      <c r="AS290" s="32">
        <v>45489</v>
      </c>
      <c r="AT290" s="31" t="s">
        <v>154</v>
      </c>
      <c r="AU290" s="41">
        <v>49296.45</v>
      </c>
      <c r="AV290" s="33" t="s">
        <v>88</v>
      </c>
      <c r="AY290" s="159">
        <v>2991450701</v>
      </c>
      <c r="AZ290" s="161">
        <v>456569743</v>
      </c>
      <c r="BA290" t="s">
        <v>647</v>
      </c>
      <c r="BB290" s="31" t="str">
        <f>BBDD_TERRENO[[#This Row],[Comuna]]&amp;BBDD_TERRENO[[#This Row],[Identificacion Propiedad]]</f>
        <v>San Pedro de la PazC7-2A</v>
      </c>
    </row>
    <row r="291" spans="1:54" x14ac:dyDescent="0.3">
      <c r="A291" s="31" t="s">
        <v>89</v>
      </c>
      <c r="B291" s="31" t="s">
        <v>80</v>
      </c>
      <c r="C291" s="31" t="s">
        <v>745</v>
      </c>
      <c r="D291" s="31" t="s">
        <v>746</v>
      </c>
      <c r="E291" s="42">
        <v>8870.74</v>
      </c>
      <c r="F291" s="31" t="s">
        <v>538</v>
      </c>
      <c r="G291" s="32"/>
      <c r="H291" s="31"/>
      <c r="I291" s="83"/>
      <c r="J291" s="83"/>
      <c r="K291" s="83">
        <v>0</v>
      </c>
      <c r="L291" s="83">
        <v>420562323</v>
      </c>
      <c r="M291" s="83">
        <v>1652797663</v>
      </c>
      <c r="N291" s="83">
        <v>1652797663</v>
      </c>
      <c r="O291" s="83">
        <v>0</v>
      </c>
      <c r="P291" s="31" t="s">
        <v>167</v>
      </c>
      <c r="Q291" s="31" t="s">
        <v>747</v>
      </c>
      <c r="R291" s="31" t="s">
        <v>747</v>
      </c>
      <c r="S291" s="31" t="s">
        <v>641</v>
      </c>
      <c r="T291" s="31" t="s">
        <v>642</v>
      </c>
      <c r="U291" s="35" t="s">
        <v>680</v>
      </c>
      <c r="V291" s="134"/>
      <c r="W291" s="85">
        <v>1232235340</v>
      </c>
      <c r="X291" s="83">
        <v>-420562323</v>
      </c>
      <c r="Y291" s="83">
        <v>1652797663</v>
      </c>
      <c r="Z291" s="83"/>
      <c r="AA291" s="31"/>
      <c r="AB291" s="132"/>
      <c r="AC291" s="83" t="s">
        <v>748</v>
      </c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41">
        <v>3.3</v>
      </c>
      <c r="AO291" s="41">
        <v>29274.3</v>
      </c>
      <c r="AP291" s="41">
        <v>3.2236011519851204</v>
      </c>
      <c r="AQ291" s="41">
        <v>61534.532365487983</v>
      </c>
      <c r="AR291" s="41"/>
      <c r="AS291" s="32">
        <v>45496</v>
      </c>
      <c r="AT291" s="31" t="s">
        <v>154</v>
      </c>
      <c r="AU291" s="41">
        <v>61534.532365487983</v>
      </c>
      <c r="AV291" s="33" t="s">
        <v>154</v>
      </c>
      <c r="AX291" s="31" t="s">
        <v>109</v>
      </c>
      <c r="AY291" s="159">
        <v>420562323</v>
      </c>
      <c r="AZ291" s="161">
        <v>264201423</v>
      </c>
      <c r="BA291" t="s">
        <v>647</v>
      </c>
      <c r="BB291" s="31" t="str">
        <f>BBDD_TERRENO[[#This Row],[Comuna]]&amp;BBDD_TERRENO[[#This Row],[Identificacion Propiedad]]</f>
        <v>San Pedro de la PazC8-A-1</v>
      </c>
    </row>
    <row r="292" spans="1:54" x14ac:dyDescent="0.3">
      <c r="A292" s="31" t="s">
        <v>89</v>
      </c>
      <c r="B292" s="31" t="s">
        <v>80</v>
      </c>
      <c r="C292" s="31" t="s">
        <v>749</v>
      </c>
      <c r="D292" s="31" t="s">
        <v>750</v>
      </c>
      <c r="E292" s="42">
        <v>1643.51</v>
      </c>
      <c r="F292" s="31" t="s">
        <v>538</v>
      </c>
      <c r="G292" s="32"/>
      <c r="H292" s="31"/>
      <c r="I292" s="83"/>
      <c r="J292" s="83"/>
      <c r="K292" s="83">
        <v>0</v>
      </c>
      <c r="L292" s="83">
        <v>101445527</v>
      </c>
      <c r="M292" s="83">
        <v>105543818</v>
      </c>
      <c r="N292" s="83">
        <v>105543818</v>
      </c>
      <c r="O292" s="83">
        <v>0</v>
      </c>
      <c r="P292" s="31" t="s">
        <v>167</v>
      </c>
      <c r="Q292" s="31" t="s">
        <v>751</v>
      </c>
      <c r="R292" s="31" t="s">
        <v>751</v>
      </c>
      <c r="S292" s="31" t="s">
        <v>641</v>
      </c>
      <c r="T292" s="31" t="s">
        <v>642</v>
      </c>
      <c r="U292" s="35" t="s">
        <v>680</v>
      </c>
      <c r="V292" s="134"/>
      <c r="W292" s="85">
        <v>4098291</v>
      </c>
      <c r="X292" s="83">
        <v>-101445527</v>
      </c>
      <c r="Y292" s="83">
        <v>105543818</v>
      </c>
      <c r="Z292" s="83"/>
      <c r="AA292" s="31"/>
      <c r="AB292" s="132"/>
      <c r="AC292" s="83" t="s">
        <v>752</v>
      </c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41">
        <v>3.3</v>
      </c>
      <c r="AO292" s="41">
        <v>5425.2</v>
      </c>
      <c r="AP292" s="41">
        <v>3.2236011519851204</v>
      </c>
      <c r="AQ292" s="41">
        <v>3272.2643670363259</v>
      </c>
      <c r="AR292" s="41"/>
      <c r="AS292" s="32">
        <v>45496</v>
      </c>
      <c r="AT292" s="31" t="s">
        <v>154</v>
      </c>
      <c r="AU292" s="41">
        <v>5379.0549454757411</v>
      </c>
      <c r="AV292" s="33" t="s">
        <v>154</v>
      </c>
      <c r="AX292" s="31" t="s">
        <v>109</v>
      </c>
      <c r="AY292" s="159">
        <v>101445527</v>
      </c>
      <c r="AZ292" s="161">
        <v>48962590</v>
      </c>
      <c r="BA292" t="s">
        <v>647</v>
      </c>
      <c r="BB292" s="31" t="str">
        <f>BBDD_TERRENO[[#This Row],[Comuna]]&amp;BBDD_TERRENO[[#This Row],[Identificacion Propiedad]]</f>
        <v>San Pedro de la PazC8-A-10</v>
      </c>
    </row>
    <row r="293" spans="1:54" x14ac:dyDescent="0.3">
      <c r="A293" s="31" t="s">
        <v>89</v>
      </c>
      <c r="B293" s="31" t="s">
        <v>80</v>
      </c>
      <c r="C293" s="31" t="s">
        <v>753</v>
      </c>
      <c r="D293" s="31" t="s">
        <v>754</v>
      </c>
      <c r="E293" s="42">
        <v>5011.87</v>
      </c>
      <c r="F293" s="31" t="s">
        <v>538</v>
      </c>
      <c r="G293" s="32"/>
      <c r="H293" s="31"/>
      <c r="I293" s="83"/>
      <c r="J293" s="83"/>
      <c r="K293" s="83">
        <v>0</v>
      </c>
      <c r="L293" s="83">
        <v>275328491</v>
      </c>
      <c r="M293" s="83">
        <v>593400621</v>
      </c>
      <c r="N293" s="83">
        <v>593400621</v>
      </c>
      <c r="O293" s="83">
        <v>0</v>
      </c>
      <c r="P293" s="31" t="s">
        <v>167</v>
      </c>
      <c r="Q293" s="31" t="s">
        <v>755</v>
      </c>
      <c r="R293" s="31" t="s">
        <v>755</v>
      </c>
      <c r="S293" s="31" t="s">
        <v>641</v>
      </c>
      <c r="T293" s="31" t="s">
        <v>642</v>
      </c>
      <c r="U293" s="35" t="s">
        <v>680</v>
      </c>
      <c r="V293" s="134"/>
      <c r="W293" s="85">
        <v>318072130</v>
      </c>
      <c r="X293" s="83">
        <v>-275328491</v>
      </c>
      <c r="Y293" s="83">
        <v>593400621</v>
      </c>
      <c r="Z293" s="83"/>
      <c r="AA293" s="31"/>
      <c r="AB293" s="132"/>
      <c r="AC293" s="83" t="s">
        <v>756</v>
      </c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41">
        <v>3.3</v>
      </c>
      <c r="AO293" s="41">
        <v>16539.599999999999</v>
      </c>
      <c r="AP293" s="41">
        <v>3.2236011519851204</v>
      </c>
      <c r="AQ293" s="41">
        <v>28758.681144441205</v>
      </c>
      <c r="AR293" s="41"/>
      <c r="AS293" s="32">
        <v>45496</v>
      </c>
      <c r="AT293" s="31" t="s">
        <v>154</v>
      </c>
      <c r="AU293" s="41">
        <v>28758.681144441205</v>
      </c>
      <c r="AV293" s="33" t="s">
        <v>154</v>
      </c>
      <c r="AX293" s="31" t="s">
        <v>109</v>
      </c>
      <c r="AY293" s="159">
        <v>275328491</v>
      </c>
      <c r="AZ293" s="161">
        <v>149270379</v>
      </c>
      <c r="BA293" t="s">
        <v>647</v>
      </c>
      <c r="BB293" s="31" t="str">
        <f>BBDD_TERRENO[[#This Row],[Comuna]]&amp;BBDD_TERRENO[[#This Row],[Identificacion Propiedad]]</f>
        <v>San Pedro de la PazC8-A-2</v>
      </c>
    </row>
    <row r="294" spans="1:54" x14ac:dyDescent="0.3">
      <c r="A294" s="31" t="s">
        <v>89</v>
      </c>
      <c r="B294" s="31" t="s">
        <v>80</v>
      </c>
      <c r="C294" s="31" t="s">
        <v>757</v>
      </c>
      <c r="D294" s="31" t="s">
        <v>758</v>
      </c>
      <c r="E294" s="42">
        <v>4739.49</v>
      </c>
      <c r="F294" s="31" t="s">
        <v>538</v>
      </c>
      <c r="G294" s="32"/>
      <c r="H294" s="31"/>
      <c r="I294" s="83"/>
      <c r="J294" s="83"/>
      <c r="K294" s="83">
        <v>0</v>
      </c>
      <c r="L294" s="83">
        <v>263897734</v>
      </c>
      <c r="M294" s="83">
        <v>274558921</v>
      </c>
      <c r="N294" s="83">
        <v>274558921</v>
      </c>
      <c r="O294" s="83">
        <v>0</v>
      </c>
      <c r="P294" s="31" t="s">
        <v>167</v>
      </c>
      <c r="Q294" s="31" t="s">
        <v>759</v>
      </c>
      <c r="R294" s="31" t="s">
        <v>759</v>
      </c>
      <c r="S294" s="31" t="s">
        <v>641</v>
      </c>
      <c r="T294" s="31" t="s">
        <v>642</v>
      </c>
      <c r="U294" s="35" t="s">
        <v>680</v>
      </c>
      <c r="V294" s="134"/>
      <c r="W294" s="85">
        <v>10661187</v>
      </c>
      <c r="X294" s="83">
        <v>-263897734</v>
      </c>
      <c r="Y294" s="83">
        <v>274558921</v>
      </c>
      <c r="Z294" s="83"/>
      <c r="AA294" s="31"/>
      <c r="AB294" s="132"/>
      <c r="AC294" s="83" t="s">
        <v>760</v>
      </c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41">
        <v>2.1994964368352545</v>
      </c>
      <c r="AO294" s="41">
        <v>10422.758164224097</v>
      </c>
      <c r="AP294" s="41">
        <v>3.2236011519851204</v>
      </c>
      <c r="AQ294" s="41">
        <v>14312.831133866206</v>
      </c>
      <c r="AR294" s="41"/>
      <c r="AS294" s="32">
        <v>45496</v>
      </c>
      <c r="AT294" s="31" t="s">
        <v>154</v>
      </c>
      <c r="AU294" s="41">
        <v>15505.68210864327</v>
      </c>
      <c r="AV294" s="33" t="s">
        <v>154</v>
      </c>
      <c r="AX294" s="31" t="s">
        <v>109</v>
      </c>
      <c r="AY294" s="159">
        <v>263897734</v>
      </c>
      <c r="AZ294" s="161">
        <v>141139730</v>
      </c>
      <c r="BA294" t="s">
        <v>647</v>
      </c>
      <c r="BB294" s="31" t="str">
        <f>BBDD_TERRENO[[#This Row],[Comuna]]&amp;BBDD_TERRENO[[#This Row],[Identificacion Propiedad]]</f>
        <v>San Pedro de la PazC8-A-3</v>
      </c>
    </row>
    <row r="295" spans="1:54" x14ac:dyDescent="0.3">
      <c r="A295" s="31" t="s">
        <v>89</v>
      </c>
      <c r="B295" s="31" t="s">
        <v>80</v>
      </c>
      <c r="C295" s="31" t="s">
        <v>761</v>
      </c>
      <c r="D295" s="31" t="s">
        <v>762</v>
      </c>
      <c r="E295" s="42">
        <v>4425.59</v>
      </c>
      <c r="F295" s="31" t="s">
        <v>538</v>
      </c>
      <c r="G295" s="32"/>
      <c r="H295" s="31"/>
      <c r="I295" s="83"/>
      <c r="J295" s="83"/>
      <c r="K295" s="83">
        <v>0</v>
      </c>
      <c r="L295" s="83">
        <v>247971431</v>
      </c>
      <c r="M295" s="83">
        <v>257989212</v>
      </c>
      <c r="N295" s="83">
        <v>257989212</v>
      </c>
      <c r="O295" s="83">
        <v>0</v>
      </c>
      <c r="P295" s="31" t="s">
        <v>167</v>
      </c>
      <c r="Q295" s="31" t="s">
        <v>763</v>
      </c>
      <c r="R295" s="31" t="s">
        <v>763</v>
      </c>
      <c r="S295" s="31" t="s">
        <v>641</v>
      </c>
      <c r="T295" s="31" t="s">
        <v>642</v>
      </c>
      <c r="U295" s="35" t="s">
        <v>680</v>
      </c>
      <c r="V295" s="134"/>
      <c r="W295" s="85">
        <v>10017781</v>
      </c>
      <c r="X295" s="83">
        <v>-247971431</v>
      </c>
      <c r="Y295" s="83">
        <v>257989212</v>
      </c>
      <c r="Z295" s="83"/>
      <c r="AA295" s="31"/>
      <c r="AB295" s="132"/>
      <c r="AC295" s="83" t="s">
        <v>764</v>
      </c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41">
        <v>3.3</v>
      </c>
      <c r="AO295" s="41">
        <v>14694.9</v>
      </c>
      <c r="AP295" s="41">
        <v>3.2236011519851204</v>
      </c>
      <c r="AQ295" s="41">
        <v>13461.510322929926</v>
      </c>
      <c r="AR295" s="41"/>
      <c r="AS295" s="32">
        <v>45496</v>
      </c>
      <c r="AT295" s="31" t="s">
        <v>154</v>
      </c>
      <c r="AU295" s="41">
        <v>14569.909776279485</v>
      </c>
      <c r="AV295" s="33" t="s">
        <v>88</v>
      </c>
      <c r="AX295" s="31" t="s">
        <v>109</v>
      </c>
      <c r="AY295" s="159">
        <v>247971431</v>
      </c>
      <c r="AZ295" s="161">
        <v>132621907</v>
      </c>
      <c r="BA295" t="s">
        <v>647</v>
      </c>
      <c r="BB295" s="31" t="str">
        <f>BBDD_TERRENO[[#This Row],[Comuna]]&amp;BBDD_TERRENO[[#This Row],[Identificacion Propiedad]]</f>
        <v>San Pedro de la PazC8-A-4</v>
      </c>
    </row>
    <row r="296" spans="1:54" x14ac:dyDescent="0.3">
      <c r="A296" s="31" t="s">
        <v>89</v>
      </c>
      <c r="B296" s="31" t="s">
        <v>80</v>
      </c>
      <c r="C296" s="31" t="s">
        <v>765</v>
      </c>
      <c r="D296" s="31" t="s">
        <v>766</v>
      </c>
      <c r="E296" s="42">
        <v>6412.44</v>
      </c>
      <c r="F296" s="31" t="s">
        <v>538</v>
      </c>
      <c r="G296" s="32"/>
      <c r="H296" s="31"/>
      <c r="I296" s="83"/>
      <c r="J296" s="83"/>
      <c r="K296" s="83">
        <v>0</v>
      </c>
      <c r="L296" s="83">
        <v>332935294</v>
      </c>
      <c r="M296" s="83">
        <v>346385525</v>
      </c>
      <c r="N296" s="83"/>
      <c r="O296" s="83">
        <v>346385525</v>
      </c>
      <c r="P296" s="31" t="s">
        <v>167</v>
      </c>
      <c r="Q296" s="31" t="s">
        <v>767</v>
      </c>
      <c r="R296" s="31" t="s">
        <v>767</v>
      </c>
      <c r="S296" s="31" t="s">
        <v>641</v>
      </c>
      <c r="T296" s="31" t="s">
        <v>642</v>
      </c>
      <c r="U296" s="35" t="s">
        <v>680</v>
      </c>
      <c r="V296" s="134"/>
      <c r="W296" s="85">
        <v>13450231</v>
      </c>
      <c r="X296" s="83">
        <v>13450231</v>
      </c>
      <c r="Y296" s="83">
        <v>0</v>
      </c>
      <c r="Z296" s="83"/>
      <c r="AA296" s="31"/>
      <c r="AB296" s="132"/>
      <c r="AC296" s="83" t="s">
        <v>768</v>
      </c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41">
        <v>3.3</v>
      </c>
      <c r="AO296" s="41">
        <v>21159.599999999999</v>
      </c>
      <c r="AP296" s="41">
        <v>3.2236011519851204</v>
      </c>
      <c r="AQ296" s="41">
        <v>12823.019714727716</v>
      </c>
      <c r="AR296" s="41"/>
      <c r="AS296" s="32">
        <v>45496</v>
      </c>
      <c r="AT296" s="31" t="s">
        <v>154</v>
      </c>
      <c r="AU296" s="41">
        <v>20979.623059848203</v>
      </c>
      <c r="AV296" s="33" t="s">
        <v>88</v>
      </c>
      <c r="AX296" s="31" t="s">
        <v>109</v>
      </c>
      <c r="AY296" s="159">
        <v>332935294</v>
      </c>
      <c r="AZ296" s="161">
        <v>190966016</v>
      </c>
      <c r="BA296" t="s">
        <v>647</v>
      </c>
      <c r="BB296" s="31" t="str">
        <f>BBDD_TERRENO[[#This Row],[Comuna]]&amp;BBDD_TERRENO[[#This Row],[Identificacion Propiedad]]</f>
        <v>San Pedro de la PazC8-A-5</v>
      </c>
    </row>
    <row r="297" spans="1:54" x14ac:dyDescent="0.3">
      <c r="A297" s="31" t="s">
        <v>89</v>
      </c>
      <c r="B297" s="31" t="s">
        <v>80</v>
      </c>
      <c r="C297" s="31" t="s">
        <v>769</v>
      </c>
      <c r="D297" s="31" t="s">
        <v>770</v>
      </c>
      <c r="E297" s="42">
        <v>3932.62</v>
      </c>
      <c r="F297" s="31" t="s">
        <v>538</v>
      </c>
      <c r="G297" s="32"/>
      <c r="H297" s="31"/>
      <c r="I297" s="83"/>
      <c r="J297" s="83"/>
      <c r="K297" s="83">
        <v>0</v>
      </c>
      <c r="L297" s="83">
        <v>224933827</v>
      </c>
      <c r="M297" s="83">
        <v>234020914</v>
      </c>
      <c r="N297" s="83">
        <v>234020914</v>
      </c>
      <c r="O297" s="83">
        <v>0</v>
      </c>
      <c r="P297" s="31" t="s">
        <v>167</v>
      </c>
      <c r="Q297" s="31" t="s">
        <v>771</v>
      </c>
      <c r="R297" s="31" t="s">
        <v>771</v>
      </c>
      <c r="S297" s="31" t="s">
        <v>641</v>
      </c>
      <c r="T297" s="31" t="s">
        <v>642</v>
      </c>
      <c r="U297" s="35" t="s">
        <v>680</v>
      </c>
      <c r="V297" s="134"/>
      <c r="W297" s="85">
        <v>9087087</v>
      </c>
      <c r="X297" s="83">
        <v>-224933827</v>
      </c>
      <c r="Y297" s="83">
        <v>234020914</v>
      </c>
      <c r="Z297" s="83"/>
      <c r="AA297" s="31"/>
      <c r="AB297" s="132"/>
      <c r="AC297" s="83" t="s">
        <v>772</v>
      </c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41">
        <v>3.3</v>
      </c>
      <c r="AO297" s="41">
        <v>12978.9</v>
      </c>
      <c r="AP297" s="41">
        <v>3.2236011519851204</v>
      </c>
      <c r="AQ297" s="41">
        <v>11891.88757776616</v>
      </c>
      <c r="AR297" s="41"/>
      <c r="AS297" s="32">
        <v>45496</v>
      </c>
      <c r="AT297" s="31" t="s">
        <v>154</v>
      </c>
      <c r="AU297" s="41">
        <v>12868.505535618058</v>
      </c>
      <c r="AV297" s="33" t="s">
        <v>154</v>
      </c>
      <c r="AX297" s="31" t="s">
        <v>109</v>
      </c>
      <c r="AY297" s="159">
        <v>224933827</v>
      </c>
      <c r="AZ297" s="161">
        <v>117134956</v>
      </c>
      <c r="BA297" t="s">
        <v>647</v>
      </c>
      <c r="BB297" s="31" t="str">
        <f>BBDD_TERRENO[[#This Row],[Comuna]]&amp;BBDD_TERRENO[[#This Row],[Identificacion Propiedad]]</f>
        <v>San Pedro de la PazC8-A-6</v>
      </c>
    </row>
    <row r="298" spans="1:54" x14ac:dyDescent="0.3">
      <c r="A298" s="31" t="s">
        <v>89</v>
      </c>
      <c r="B298" s="31" t="s">
        <v>80</v>
      </c>
      <c r="C298" s="31" t="s">
        <v>773</v>
      </c>
      <c r="D298" s="31" t="s">
        <v>774</v>
      </c>
      <c r="E298" s="42">
        <v>4207.04</v>
      </c>
      <c r="F298" s="31" t="s">
        <v>538</v>
      </c>
      <c r="G298" s="32"/>
      <c r="H298" s="31"/>
      <c r="I298" s="83"/>
      <c r="J298" s="83"/>
      <c r="K298" s="83">
        <v>0</v>
      </c>
      <c r="L298" s="83">
        <v>237438429</v>
      </c>
      <c r="M298" s="83">
        <v>247030688</v>
      </c>
      <c r="N298" s="83">
        <v>247030688</v>
      </c>
      <c r="O298" s="83">
        <v>0</v>
      </c>
      <c r="P298" s="31" t="s">
        <v>167</v>
      </c>
      <c r="Q298" s="31" t="s">
        <v>775</v>
      </c>
      <c r="R298" s="31" t="s">
        <v>775</v>
      </c>
      <c r="S298" s="31" t="s">
        <v>641</v>
      </c>
      <c r="T298" s="31" t="s">
        <v>642</v>
      </c>
      <c r="U298" s="35" t="s">
        <v>680</v>
      </c>
      <c r="V298" s="134"/>
      <c r="W298" s="85">
        <v>9592259</v>
      </c>
      <c r="X298" s="83">
        <v>-237438429</v>
      </c>
      <c r="Y298" s="83">
        <v>247030688</v>
      </c>
      <c r="Z298" s="83"/>
      <c r="AA298" s="31"/>
      <c r="AB298" s="132"/>
      <c r="AC298" s="83" t="s">
        <v>776</v>
      </c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41">
        <v>3.3</v>
      </c>
      <c r="AO298" s="41">
        <v>13883.1</v>
      </c>
      <c r="AP298" s="41">
        <v>3.2236011519851204</v>
      </c>
      <c r="AQ298" s="41">
        <v>11891.88757776616</v>
      </c>
      <c r="AR298" s="41"/>
      <c r="AS298" s="32">
        <v>45496</v>
      </c>
      <c r="AT298" s="31" t="s">
        <v>154</v>
      </c>
      <c r="AU298" s="41">
        <v>13765.014693197349</v>
      </c>
      <c r="AV298" s="33" t="s">
        <v>88</v>
      </c>
      <c r="AX298" s="31" t="s">
        <v>109</v>
      </c>
      <c r="AY298" s="159">
        <v>237438429</v>
      </c>
      <c r="AZ298" s="161">
        <v>125295388</v>
      </c>
      <c r="BA298" t="s">
        <v>647</v>
      </c>
      <c r="BB298" s="31" t="str">
        <f>BBDD_TERRENO[[#This Row],[Comuna]]&amp;BBDD_TERRENO[[#This Row],[Identificacion Propiedad]]</f>
        <v>San Pedro de la PazC8-A-7</v>
      </c>
    </row>
    <row r="299" spans="1:54" x14ac:dyDescent="0.3">
      <c r="A299" s="31" t="s">
        <v>777</v>
      </c>
      <c r="B299" s="31" t="s">
        <v>401</v>
      </c>
      <c r="C299" s="31" t="s">
        <v>778</v>
      </c>
      <c r="D299" s="31" t="s">
        <v>779</v>
      </c>
      <c r="E299" s="42">
        <v>172913.66</v>
      </c>
      <c r="F299" s="31" t="s">
        <v>538</v>
      </c>
      <c r="G299" s="32"/>
      <c r="H299" s="31"/>
      <c r="I299" s="83"/>
      <c r="J299" s="83"/>
      <c r="K299" s="83">
        <v>46221791</v>
      </c>
      <c r="L299" s="83">
        <v>198371354</v>
      </c>
      <c r="M299" s="83">
        <v>249729601</v>
      </c>
      <c r="N299" s="83">
        <v>47192449</v>
      </c>
      <c r="O299" s="83">
        <v>202537152</v>
      </c>
      <c r="P299" s="31" t="s">
        <v>780</v>
      </c>
      <c r="Q299" s="31" t="s">
        <v>781</v>
      </c>
      <c r="R299" s="31" t="s">
        <v>780</v>
      </c>
      <c r="S299" s="31" t="s">
        <v>641</v>
      </c>
      <c r="T299" s="31" t="s">
        <v>642</v>
      </c>
      <c r="U299" s="35" t="s">
        <v>782</v>
      </c>
      <c r="V299" s="134"/>
      <c r="W299" s="85">
        <v>5136456</v>
      </c>
      <c r="X299" s="83">
        <v>4165798</v>
      </c>
      <c r="Y299" s="83">
        <v>970658</v>
      </c>
      <c r="Z299" s="83"/>
      <c r="AA299" s="31"/>
      <c r="AB299" s="132"/>
      <c r="AC299" s="83" t="s">
        <v>783</v>
      </c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>
        <v>0.83475025351685483</v>
      </c>
      <c r="AO299" s="31">
        <v>137418.89899214689</v>
      </c>
      <c r="AP299" s="31">
        <v>0.85</v>
      </c>
      <c r="AQ299" s="31">
        <v>140597</v>
      </c>
      <c r="AR299" s="31"/>
      <c r="AS299" s="31">
        <v>44364</v>
      </c>
      <c r="AT299" s="31" t="s">
        <v>663</v>
      </c>
      <c r="AU299" s="31">
        <v>140597</v>
      </c>
      <c r="AV299" s="31" t="s">
        <v>664</v>
      </c>
      <c r="AW299"/>
      <c r="AX299" s="31" t="s">
        <v>155</v>
      </c>
      <c r="AY299">
        <v>244593145</v>
      </c>
      <c r="AZ299" s="83">
        <v>166236338</v>
      </c>
      <c r="BA299" t="s">
        <v>647</v>
      </c>
      <c r="BB299" s="31" t="str">
        <f>BBDD_TERRENO[[#This Row],[Comuna]]&amp;BBDD_TERRENO[[#This Row],[Identificacion Propiedad]]</f>
        <v>TalcahuanoLOTE 1</v>
      </c>
    </row>
    <row r="300" spans="1:54" x14ac:dyDescent="0.3">
      <c r="A300" s="31" t="s">
        <v>777</v>
      </c>
      <c r="B300" s="31" t="s">
        <v>401</v>
      </c>
      <c r="C300" s="31" t="s">
        <v>784</v>
      </c>
      <c r="D300" s="31" t="s">
        <v>779</v>
      </c>
      <c r="E300" s="42">
        <v>114818.47</v>
      </c>
      <c r="F300" s="31" t="s">
        <v>538</v>
      </c>
      <c r="G300" s="32"/>
      <c r="H300" s="31"/>
      <c r="I300" s="83"/>
      <c r="J300" s="83"/>
      <c r="K300" s="83">
        <v>46221791</v>
      </c>
      <c r="L300" s="83">
        <v>198371354</v>
      </c>
      <c r="M300" s="83">
        <v>249729601</v>
      </c>
      <c r="N300" s="83">
        <v>47192449</v>
      </c>
      <c r="O300" s="83">
        <v>202537152</v>
      </c>
      <c r="P300" s="31" t="s">
        <v>780</v>
      </c>
      <c r="Q300" s="31" t="s">
        <v>785</v>
      </c>
      <c r="R300" s="31" t="s">
        <v>780</v>
      </c>
      <c r="S300" s="31" t="s">
        <v>641</v>
      </c>
      <c r="T300" s="31" t="s">
        <v>642</v>
      </c>
      <c r="U300" s="35" t="s">
        <v>782</v>
      </c>
      <c r="V300" s="134"/>
      <c r="W300" s="85">
        <v>5136456</v>
      </c>
      <c r="X300" s="83">
        <v>4165798</v>
      </c>
      <c r="Y300" s="83">
        <v>970658</v>
      </c>
      <c r="Z300" s="83"/>
      <c r="AA300" s="31"/>
      <c r="AB300" s="132"/>
      <c r="AC300" s="83" t="s">
        <v>786</v>
      </c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>
        <v>0.83475025351685483</v>
      </c>
      <c r="AO300" s="31">
        <v>88302.544670321644</v>
      </c>
      <c r="AP300" s="31">
        <v>0.75</v>
      </c>
      <c r="AQ300" s="31">
        <v>79124</v>
      </c>
      <c r="AR300" s="31"/>
      <c r="AS300" s="31">
        <v>44410</v>
      </c>
      <c r="AT300" s="31" t="s">
        <v>663</v>
      </c>
      <c r="AU300" s="31">
        <v>79124</v>
      </c>
      <c r="AV300" s="31" t="s">
        <v>664</v>
      </c>
      <c r="AW300"/>
      <c r="AX300" s="31" t="s">
        <v>155</v>
      </c>
      <c r="AY300">
        <v>244593145</v>
      </c>
      <c r="AZ300" s="83">
        <v>106820035</v>
      </c>
      <c r="BA300" t="s">
        <v>647</v>
      </c>
      <c r="BB300" s="31" t="str">
        <f>BBDD_TERRENO[[#This Row],[Comuna]]&amp;BBDD_TERRENO[[#This Row],[Identificacion Propiedad]]</f>
        <v>TalcahuanoLOTE 2</v>
      </c>
    </row>
    <row r="301" spans="1:54" x14ac:dyDescent="0.3">
      <c r="A301" s="31" t="s">
        <v>777</v>
      </c>
      <c r="B301" s="31" t="s">
        <v>401</v>
      </c>
      <c r="C301" s="31" t="s">
        <v>787</v>
      </c>
      <c r="D301" s="31" t="s">
        <v>779</v>
      </c>
      <c r="E301" s="42">
        <v>446509.23</v>
      </c>
      <c r="F301" s="31" t="s">
        <v>538</v>
      </c>
      <c r="G301" s="32"/>
      <c r="H301" s="31"/>
      <c r="I301" s="83"/>
      <c r="J301" s="83"/>
      <c r="K301" s="83">
        <v>46221791</v>
      </c>
      <c r="L301" s="83">
        <v>198371354</v>
      </c>
      <c r="M301" s="83">
        <v>249729601</v>
      </c>
      <c r="N301" s="83">
        <v>47192449</v>
      </c>
      <c r="O301" s="83">
        <v>202537152</v>
      </c>
      <c r="P301" s="31" t="s">
        <v>780</v>
      </c>
      <c r="Q301" s="31" t="s">
        <v>788</v>
      </c>
      <c r="R301" s="31" t="s">
        <v>780</v>
      </c>
      <c r="S301" s="31" t="s">
        <v>641</v>
      </c>
      <c r="T301" s="31" t="s">
        <v>642</v>
      </c>
      <c r="U301" s="35" t="s">
        <v>782</v>
      </c>
      <c r="V301" s="134"/>
      <c r="W301" s="85">
        <v>5136456</v>
      </c>
      <c r="X301" s="83">
        <v>4165798</v>
      </c>
      <c r="Y301" s="83">
        <v>970658</v>
      </c>
      <c r="Z301" s="83"/>
      <c r="AA301" s="31"/>
      <c r="AB301" s="132"/>
      <c r="AC301" s="83" t="s">
        <v>789</v>
      </c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>
        <v>0.83475025351685483</v>
      </c>
      <c r="AO301" s="31">
        <v>347661.6104411651</v>
      </c>
      <c r="AP301" s="31">
        <v>0.60287292401675752</v>
      </c>
      <c r="AQ301" s="31">
        <v>251088</v>
      </c>
      <c r="AR301" s="31"/>
      <c r="AS301" s="31">
        <v>43696</v>
      </c>
      <c r="AT301" s="31" t="s">
        <v>663</v>
      </c>
      <c r="AU301" s="31">
        <v>251088</v>
      </c>
      <c r="AV301" s="31" t="s">
        <v>664</v>
      </c>
      <c r="AW301"/>
      <c r="AX301" s="31" t="s">
        <v>722</v>
      </c>
      <c r="AY301">
        <v>244593145</v>
      </c>
      <c r="AZ301" s="83">
        <v>420568010</v>
      </c>
      <c r="BA301" t="s">
        <v>647</v>
      </c>
      <c r="BB301" s="31" t="str">
        <f>BBDD_TERRENO[[#This Row],[Comuna]]&amp;BBDD_TERRENO[[#This Row],[Identificacion Propiedad]]</f>
        <v>TalcahuanoLOTE 3</v>
      </c>
    </row>
    <row r="302" spans="1:54" x14ac:dyDescent="0.3">
      <c r="A302" s="31" t="s">
        <v>777</v>
      </c>
      <c r="B302" s="31" t="s">
        <v>401</v>
      </c>
      <c r="C302" s="31" t="s">
        <v>790</v>
      </c>
      <c r="D302" s="31" t="s">
        <v>779</v>
      </c>
      <c r="E302" s="42">
        <v>9072.6299999999992</v>
      </c>
      <c r="F302" s="31" t="s">
        <v>538</v>
      </c>
      <c r="G302" s="32"/>
      <c r="H302" s="31"/>
      <c r="I302" s="83"/>
      <c r="J302" s="83"/>
      <c r="K302" s="83">
        <v>46221791</v>
      </c>
      <c r="L302" s="83">
        <v>198371354</v>
      </c>
      <c r="M302" s="83">
        <v>249729601</v>
      </c>
      <c r="N302" s="83">
        <v>47192449</v>
      </c>
      <c r="O302" s="83">
        <v>202537152</v>
      </c>
      <c r="P302" s="31" t="s">
        <v>780</v>
      </c>
      <c r="Q302" s="31" t="s">
        <v>791</v>
      </c>
      <c r="R302" s="31" t="s">
        <v>780</v>
      </c>
      <c r="S302" s="31" t="s">
        <v>641</v>
      </c>
      <c r="T302" s="31" t="s">
        <v>642</v>
      </c>
      <c r="U302" s="35" t="s">
        <v>782</v>
      </c>
      <c r="V302" s="134"/>
      <c r="W302" s="85">
        <v>5136456</v>
      </c>
      <c r="X302" s="83">
        <v>4165798</v>
      </c>
      <c r="Y302" s="83">
        <v>970658</v>
      </c>
      <c r="Z302" s="83"/>
      <c r="AA302" s="31"/>
      <c r="AB302" s="132"/>
      <c r="AC302" s="83" t="s">
        <v>792</v>
      </c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>
        <v>0.83475025351685483</v>
      </c>
      <c r="AO302" s="31">
        <v>5981.7368416764302</v>
      </c>
      <c r="AP302" s="31">
        <v>0.65</v>
      </c>
      <c r="AQ302" s="31">
        <v>4657.835</v>
      </c>
      <c r="AR302" s="31"/>
      <c r="AS302" s="31">
        <v>43375</v>
      </c>
      <c r="AT302" s="31" t="s">
        <v>94</v>
      </c>
      <c r="AU302" s="31">
        <v>4657.835</v>
      </c>
      <c r="AV302" s="31" t="s">
        <v>88</v>
      </c>
      <c r="AW302"/>
      <c r="AY302">
        <v>244593145</v>
      </c>
      <c r="AZ302" s="83">
        <v>7236137</v>
      </c>
      <c r="BA302" t="s">
        <v>647</v>
      </c>
      <c r="BB302" s="31" t="str">
        <f>BBDD_TERRENO[[#This Row],[Comuna]]&amp;BBDD_TERRENO[[#This Row],[Identificacion Propiedad]]</f>
        <v>TalcahuanoLOTE 4</v>
      </c>
    </row>
    <row r="303" spans="1:54" x14ac:dyDescent="0.3">
      <c r="A303" s="31" t="s">
        <v>793</v>
      </c>
      <c r="B303" s="31" t="s">
        <v>794</v>
      </c>
      <c r="C303" s="31" t="s">
        <v>795</v>
      </c>
      <c r="D303" s="31" t="s">
        <v>638</v>
      </c>
      <c r="E303" s="42">
        <v>256200</v>
      </c>
      <c r="F303" s="31" t="s">
        <v>538</v>
      </c>
      <c r="G303" s="32"/>
      <c r="H303" s="31"/>
      <c r="I303" s="83"/>
      <c r="J303" s="83"/>
      <c r="K303" s="83">
        <v>0</v>
      </c>
      <c r="L303" s="83">
        <v>13515423</v>
      </c>
      <c r="M303" s="83">
        <v>14061432</v>
      </c>
      <c r="N303" s="83">
        <v>0</v>
      </c>
      <c r="O303" s="83">
        <v>14061432</v>
      </c>
      <c r="P303" s="31" t="s">
        <v>639</v>
      </c>
      <c r="Q303" s="31" t="s">
        <v>796</v>
      </c>
      <c r="R303" s="31" t="s">
        <v>796</v>
      </c>
      <c r="S303" s="31" t="s">
        <v>641</v>
      </c>
      <c r="T303" s="31" t="s">
        <v>642</v>
      </c>
      <c r="U303" s="35" t="s">
        <v>782</v>
      </c>
      <c r="V303" s="134"/>
      <c r="W303" s="85">
        <v>546009</v>
      </c>
      <c r="X303" s="83">
        <v>546009</v>
      </c>
      <c r="Y303" s="83">
        <v>0</v>
      </c>
      <c r="Z303" s="83"/>
      <c r="AA303" s="31"/>
      <c r="AB303" s="132"/>
      <c r="AC303" s="83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>
        <v>0.13770101483216235</v>
      </c>
      <c r="AO303" s="31">
        <v>35278.999999999993</v>
      </c>
      <c r="AP303" s="31">
        <v>0.13770101483216235</v>
      </c>
      <c r="AQ303" s="31">
        <v>35278.999999999993</v>
      </c>
      <c r="AR303" s="31"/>
      <c r="AS303" s="31">
        <v>43869</v>
      </c>
      <c r="AT303" s="31" t="s">
        <v>797</v>
      </c>
      <c r="AU303" s="31">
        <v>35278.999999999993</v>
      </c>
      <c r="AV303" s="31" t="s">
        <v>88</v>
      </c>
      <c r="AW303"/>
      <c r="AY303">
        <v>13515423</v>
      </c>
      <c r="AZ303" s="83">
        <v>103060493</v>
      </c>
      <c r="BA303" t="s">
        <v>647</v>
      </c>
      <c r="BB303" s="31" t="str">
        <f>BBDD_TERRENO[[#This Row],[Comuna]]&amp;BBDD_TERRENO[[#This Row],[Identificacion Propiedad]]</f>
        <v>AraucoLos Maquis IV</v>
      </c>
    </row>
    <row r="304" spans="1:54" x14ac:dyDescent="0.3">
      <c r="A304" s="31" t="s">
        <v>89</v>
      </c>
      <c r="B304" s="31" t="s">
        <v>80</v>
      </c>
      <c r="C304" s="31" t="s">
        <v>798</v>
      </c>
      <c r="D304" s="31" t="s">
        <v>677</v>
      </c>
      <c r="E304" s="42">
        <v>4738.7</v>
      </c>
      <c r="F304" s="31" t="s">
        <v>538</v>
      </c>
      <c r="G304" s="32"/>
      <c r="H304" s="31"/>
      <c r="I304" s="83"/>
      <c r="J304" s="83"/>
      <c r="K304" s="83">
        <v>339519250</v>
      </c>
      <c r="L304" s="83">
        <v>3172939439</v>
      </c>
      <c r="M304" s="83">
        <v>1339463892</v>
      </c>
      <c r="N304" s="83">
        <v>353235466</v>
      </c>
      <c r="O304" s="83">
        <v>986228426</v>
      </c>
      <c r="P304" s="31" t="s">
        <v>678</v>
      </c>
      <c r="Q304" s="31" t="s">
        <v>799</v>
      </c>
      <c r="R304" s="31" t="s">
        <v>678</v>
      </c>
      <c r="S304" s="31" t="s">
        <v>641</v>
      </c>
      <c r="T304" s="31" t="s">
        <v>642</v>
      </c>
      <c r="U304" s="35" t="s">
        <v>800</v>
      </c>
      <c r="V304" s="134"/>
      <c r="W304" s="85">
        <v>-2172994797</v>
      </c>
      <c r="X304" s="83">
        <v>-2186711013</v>
      </c>
      <c r="Y304" s="83">
        <v>13716216</v>
      </c>
      <c r="Z304" s="83"/>
      <c r="AA304" s="31"/>
      <c r="AB304" s="132"/>
      <c r="AC304" s="83" t="s">
        <v>801</v>
      </c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41">
        <v>2.3781388478581977</v>
      </c>
      <c r="AO304" s="41">
        <v>11270</v>
      </c>
      <c r="AP304" s="41">
        <v>2.1994964368352545</v>
      </c>
      <c r="AQ304" s="41">
        <v>11270</v>
      </c>
      <c r="AR304" s="41"/>
      <c r="AS304" s="32">
        <v>45596</v>
      </c>
      <c r="AT304" s="31" t="s">
        <v>94</v>
      </c>
      <c r="AU304" s="41">
        <v>11270</v>
      </c>
      <c r="AV304" s="33" t="s">
        <v>94</v>
      </c>
      <c r="AY304" s="159">
        <v>3512458689</v>
      </c>
      <c r="AZ304" s="161">
        <v>126176394</v>
      </c>
      <c r="BA304" t="s">
        <v>647</v>
      </c>
      <c r="BB304" s="31" t="str">
        <f>BBDD_TERRENO[[#This Row],[Comuna]]&amp;BBDD_TERRENO[[#This Row],[Identificacion Propiedad]]</f>
        <v>San Pedro de la PazC-9-A2</v>
      </c>
    </row>
    <row r="305" spans="1:54" x14ac:dyDescent="0.3">
      <c r="A305" s="31" t="s">
        <v>382</v>
      </c>
      <c r="B305" s="31" t="s">
        <v>80</v>
      </c>
      <c r="C305" s="31" t="s">
        <v>802</v>
      </c>
      <c r="D305" s="31" t="s">
        <v>803</v>
      </c>
      <c r="E305" s="42">
        <v>31165</v>
      </c>
      <c r="F305" s="31" t="s">
        <v>538</v>
      </c>
      <c r="G305" s="32"/>
      <c r="H305" s="31"/>
      <c r="I305" s="83"/>
      <c r="J305" s="83"/>
      <c r="K305" s="83"/>
      <c r="L305" s="83">
        <v>379162158</v>
      </c>
      <c r="M305" s="83">
        <v>387124442</v>
      </c>
      <c r="N305" s="83"/>
      <c r="O305" s="83">
        <v>387124442</v>
      </c>
      <c r="P305" s="31"/>
      <c r="Q305" s="31"/>
      <c r="R305" s="31" t="s">
        <v>804</v>
      </c>
      <c r="S305" s="31" t="s">
        <v>641</v>
      </c>
      <c r="T305" s="31" t="s">
        <v>642</v>
      </c>
      <c r="U305" s="35" t="s">
        <v>643</v>
      </c>
      <c r="V305" s="134"/>
      <c r="W305" s="85">
        <v>7962284</v>
      </c>
      <c r="X305" s="83">
        <v>7962284</v>
      </c>
      <c r="Y305" s="83">
        <v>0</v>
      </c>
      <c r="Z305" s="83"/>
      <c r="AA305" s="31"/>
      <c r="AB305" s="132"/>
      <c r="AC305" s="83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41">
        <v>2.2000000000000002</v>
      </c>
      <c r="AO305" s="41">
        <v>68562.494000000006</v>
      </c>
      <c r="AP305" s="41">
        <v>0.95</v>
      </c>
      <c r="AQ305" s="41">
        <v>29606.531499999997</v>
      </c>
      <c r="AR305" s="41"/>
      <c r="AS305" s="32">
        <v>42642</v>
      </c>
      <c r="AT305" s="31" t="s">
        <v>805</v>
      </c>
      <c r="AU305" s="41">
        <v>29606.531499999997</v>
      </c>
      <c r="AV305" s="33" t="s">
        <v>88</v>
      </c>
      <c r="AY305" s="159">
        <v>379162158</v>
      </c>
      <c r="AZ305" s="161">
        <v>640111892</v>
      </c>
      <c r="BA305" t="s">
        <v>647</v>
      </c>
      <c r="BB305" s="31" t="str">
        <f>BBDD_TERRENO[[#This Row],[Comuna]]&amp;BBDD_TERRENO[[#This Row],[Identificacion Propiedad]]</f>
        <v>San Pedro de la PazCementerio mascotas (Calle) F-8B</v>
      </c>
    </row>
    <row r="306" spans="1:54" x14ac:dyDescent="0.3">
      <c r="A306" s="31" t="s">
        <v>382</v>
      </c>
      <c r="B306" s="31" t="s">
        <v>80</v>
      </c>
      <c r="C306" s="31" t="s">
        <v>806</v>
      </c>
      <c r="D306" s="31" t="s">
        <v>807</v>
      </c>
      <c r="E306" s="42">
        <v>26090</v>
      </c>
      <c r="F306" s="31" t="s">
        <v>538</v>
      </c>
      <c r="G306" s="32"/>
      <c r="H306" s="31"/>
      <c r="I306" s="83"/>
      <c r="J306" s="83"/>
      <c r="K306" s="83">
        <v>59176792</v>
      </c>
      <c r="L306" s="83">
        <v>258241488</v>
      </c>
      <c r="M306" s="83">
        <v>324083963</v>
      </c>
      <c r="N306" s="83">
        <v>60419486</v>
      </c>
      <c r="O306" s="83">
        <v>263664477</v>
      </c>
      <c r="P306" s="31"/>
      <c r="Q306" s="31"/>
      <c r="R306" s="31" t="s">
        <v>808</v>
      </c>
      <c r="S306" s="31" t="s">
        <v>641</v>
      </c>
      <c r="T306" s="31" t="s">
        <v>642</v>
      </c>
      <c r="U306" s="35" t="s">
        <v>643</v>
      </c>
      <c r="V306" s="134"/>
      <c r="W306" s="85">
        <v>6665683</v>
      </c>
      <c r="X306" s="83">
        <v>5422989</v>
      </c>
      <c r="Y306" s="83">
        <v>1242694</v>
      </c>
      <c r="Z306" s="83"/>
      <c r="AA306" s="31"/>
      <c r="AB306" s="132"/>
      <c r="AC306" s="83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41">
        <v>1.2</v>
      </c>
      <c r="AO306" s="41">
        <v>31307.892</v>
      </c>
      <c r="AP306" s="41">
        <v>0.43</v>
      </c>
      <c r="AQ306" s="41">
        <v>11218.6613</v>
      </c>
      <c r="AR306" s="41"/>
      <c r="AS306" s="32">
        <v>42642</v>
      </c>
      <c r="AT306" s="31" t="s">
        <v>805</v>
      </c>
      <c r="AU306" s="41">
        <v>11218.6613</v>
      </c>
      <c r="AV306" s="33" t="s">
        <v>88</v>
      </c>
      <c r="AY306" s="159">
        <v>317418280</v>
      </c>
      <c r="AZ306" s="161">
        <v>535876364</v>
      </c>
      <c r="BA306" t="s">
        <v>647</v>
      </c>
      <c r="BB306" s="31" t="str">
        <f>BBDD_TERRENO[[#This Row],[Comuna]]&amp;BBDD_TERRENO[[#This Row],[Identificacion Propiedad]]</f>
        <v>San Pedro de la PazCementerio mascotas (costa) F-8A</v>
      </c>
    </row>
    <row r="307" spans="1:54" x14ac:dyDescent="0.3">
      <c r="A307" s="31" t="s">
        <v>89</v>
      </c>
      <c r="B307" s="31" t="s">
        <v>80</v>
      </c>
      <c r="C307" s="31" t="s">
        <v>809</v>
      </c>
      <c r="D307" s="31" t="s">
        <v>810</v>
      </c>
      <c r="E307" s="42">
        <v>182588.36</v>
      </c>
      <c r="F307" s="31" t="s">
        <v>538</v>
      </c>
      <c r="G307" s="32"/>
      <c r="H307" s="31"/>
      <c r="I307" s="83"/>
      <c r="J307" s="83"/>
      <c r="K307" s="83">
        <v>0</v>
      </c>
      <c r="L307" s="83">
        <v>7638105957</v>
      </c>
      <c r="M307" s="83">
        <v>7798503739</v>
      </c>
      <c r="N307" s="83">
        <v>0</v>
      </c>
      <c r="O307" s="83">
        <v>7798503739</v>
      </c>
      <c r="P307" s="31"/>
      <c r="Q307" s="31" t="s">
        <v>811</v>
      </c>
      <c r="R307" s="31" t="s">
        <v>811</v>
      </c>
      <c r="S307" s="31" t="s">
        <v>641</v>
      </c>
      <c r="T307" s="31" t="s">
        <v>642</v>
      </c>
      <c r="U307" s="35" t="s">
        <v>643</v>
      </c>
      <c r="V307" s="134"/>
      <c r="W307" s="85">
        <v>160397782</v>
      </c>
      <c r="X307" s="83">
        <v>160397782</v>
      </c>
      <c r="Y307" s="83">
        <v>0</v>
      </c>
      <c r="Z307" s="83"/>
      <c r="AA307" s="31"/>
      <c r="AB307" s="132"/>
      <c r="AC307" s="83" t="s">
        <v>812</v>
      </c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41">
        <v>1.4</v>
      </c>
      <c r="AO307" s="41">
        <v>255623.70399999997</v>
      </c>
      <c r="AP307" s="41">
        <v>0.97689519706618821</v>
      </c>
      <c r="AQ307" s="41">
        <v>178369.6919241921</v>
      </c>
      <c r="AR307" s="41"/>
      <c r="AS307" s="32">
        <v>41383</v>
      </c>
      <c r="AT307" s="31" t="s">
        <v>94</v>
      </c>
      <c r="AU307" s="41">
        <v>178369.6919241921</v>
      </c>
      <c r="AV307" s="33" t="s">
        <v>154</v>
      </c>
      <c r="AY307" s="159">
        <v>7638105957</v>
      </c>
      <c r="AZ307" s="161">
        <v>3636060213</v>
      </c>
      <c r="BA307" t="s">
        <v>647</v>
      </c>
      <c r="BB307" s="31" t="str">
        <f>BBDD_TERRENO[[#This Row],[Comuna]]&amp;BBDD_TERRENO[[#This Row],[Identificacion Propiedad]]</f>
        <v>San Pedro de la PazD1-1A</v>
      </c>
    </row>
    <row r="308" spans="1:54" x14ac:dyDescent="0.3">
      <c r="A308" s="31" t="s">
        <v>89</v>
      </c>
      <c r="B308" s="31" t="s">
        <v>80</v>
      </c>
      <c r="C308" s="31" t="s">
        <v>813</v>
      </c>
      <c r="D308" s="31" t="s">
        <v>814</v>
      </c>
      <c r="E308" s="42">
        <v>79749.95</v>
      </c>
      <c r="F308" s="31" t="s">
        <v>538</v>
      </c>
      <c r="G308" s="32"/>
      <c r="H308" s="31"/>
      <c r="I308" s="83"/>
      <c r="J308" s="83"/>
      <c r="K308" s="83">
        <v>0</v>
      </c>
      <c r="L308" s="83">
        <v>3163296700</v>
      </c>
      <c r="M308" s="83">
        <v>3229724918</v>
      </c>
      <c r="N308" s="83">
        <v>179977232</v>
      </c>
      <c r="O308" s="83">
        <v>3049747686</v>
      </c>
      <c r="P308" s="31"/>
      <c r="Q308" s="31" t="s">
        <v>815</v>
      </c>
      <c r="R308" s="31" t="s">
        <v>815</v>
      </c>
      <c r="S308" s="31" t="s">
        <v>641</v>
      </c>
      <c r="T308" s="31" t="s">
        <v>642</v>
      </c>
      <c r="U308" s="35" t="s">
        <v>643</v>
      </c>
      <c r="V308" s="134"/>
      <c r="W308" s="85">
        <v>66428218</v>
      </c>
      <c r="X308" s="83">
        <v>-113549014</v>
      </c>
      <c r="Y308" s="83">
        <v>179977232</v>
      </c>
      <c r="Z308" s="83"/>
      <c r="AA308" s="31"/>
      <c r="AB308" s="132"/>
      <c r="AC308" s="83" t="s">
        <v>816</v>
      </c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41">
        <v>1.2197115987460816</v>
      </c>
      <c r="AO308" s="41">
        <v>97272</v>
      </c>
      <c r="AP308" s="41">
        <v>1.2852684639498433</v>
      </c>
      <c r="AQ308" s="41">
        <v>97272</v>
      </c>
      <c r="AR308" s="41"/>
      <c r="AS308" s="32">
        <v>45596</v>
      </c>
      <c r="AT308" s="31" t="s">
        <v>94</v>
      </c>
      <c r="AU308" s="41">
        <v>102500.09573657678</v>
      </c>
      <c r="AV308" s="33" t="s">
        <v>94</v>
      </c>
      <c r="AY308" s="159">
        <v>3163296700</v>
      </c>
      <c r="AZ308" s="161">
        <v>1588138587</v>
      </c>
      <c r="BA308" t="s">
        <v>647</v>
      </c>
      <c r="BB308" s="31" t="str">
        <f>BBDD_TERRENO[[#This Row],[Comuna]]&amp;BBDD_TERRENO[[#This Row],[Identificacion Propiedad]]</f>
        <v>San Pedro de la PazD1-1B</v>
      </c>
    </row>
    <row r="309" spans="1:54" x14ac:dyDescent="0.3">
      <c r="A309" s="31" t="s">
        <v>89</v>
      </c>
      <c r="B309" s="31" t="s">
        <v>80</v>
      </c>
      <c r="C309" s="31" t="s">
        <v>817</v>
      </c>
      <c r="D309" s="31" t="s">
        <v>818</v>
      </c>
      <c r="E309" s="42">
        <v>51905.31</v>
      </c>
      <c r="F309" s="31" t="s">
        <v>538</v>
      </c>
      <c r="G309" s="32"/>
      <c r="H309" s="31"/>
      <c r="I309" s="83"/>
      <c r="J309" s="83"/>
      <c r="K309" s="83">
        <v>365434138</v>
      </c>
      <c r="L309" s="83">
        <v>2102090126</v>
      </c>
      <c r="M309" s="83">
        <v>608939454</v>
      </c>
      <c r="N309" s="83">
        <v>0</v>
      </c>
      <c r="O309" s="83">
        <v>608939454</v>
      </c>
      <c r="P309" s="31" t="s">
        <v>819</v>
      </c>
      <c r="Q309" s="31" t="s">
        <v>820</v>
      </c>
      <c r="R309" s="31" t="s">
        <v>820</v>
      </c>
      <c r="S309" s="31" t="s">
        <v>641</v>
      </c>
      <c r="T309" s="31" t="s">
        <v>642</v>
      </c>
      <c r="U309" s="35" t="s">
        <v>643</v>
      </c>
      <c r="V309" s="134"/>
      <c r="W309" s="85">
        <v>-1858584810</v>
      </c>
      <c r="X309" s="83">
        <v>-1493150672</v>
      </c>
      <c r="Y309" s="83">
        <v>-365434138</v>
      </c>
      <c r="Z309" s="83"/>
      <c r="AA309" s="31"/>
      <c r="AB309" s="132"/>
      <c r="AC309" s="83" t="s">
        <v>821</v>
      </c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41">
        <v>1.4</v>
      </c>
      <c r="AO309" s="41">
        <v>72667.433999999994</v>
      </c>
      <c r="AP309" s="41">
        <v>1.0706740701595381</v>
      </c>
      <c r="AQ309" s="41">
        <v>55573.669520592579</v>
      </c>
      <c r="AR309" s="41"/>
      <c r="AS309" s="32">
        <v>43479</v>
      </c>
      <c r="AT309" s="31" t="s">
        <v>645</v>
      </c>
      <c r="AU309" s="41">
        <v>55573.669520592579</v>
      </c>
      <c r="AV309" s="33" t="s">
        <v>645</v>
      </c>
      <c r="AX309" s="31" t="s">
        <v>109</v>
      </c>
      <c r="AY309" s="159">
        <v>2467524264</v>
      </c>
      <c r="AZ309" s="161">
        <v>1503543249</v>
      </c>
      <c r="BA309" t="s">
        <v>647</v>
      </c>
      <c r="BB309" s="31" t="str">
        <f>BBDD_TERRENO[[#This Row],[Comuna]]&amp;BBDD_TERRENO[[#This Row],[Identificacion Propiedad]]</f>
        <v>San Pedro de la PazD1-1Da</v>
      </c>
    </row>
    <row r="310" spans="1:54" x14ac:dyDescent="0.3">
      <c r="A310" s="31" t="s">
        <v>89</v>
      </c>
      <c r="B310" s="31" t="s">
        <v>80</v>
      </c>
      <c r="C310" s="31" t="s">
        <v>822</v>
      </c>
      <c r="D310" s="31" t="s">
        <v>823</v>
      </c>
      <c r="E310" s="42">
        <v>69139.570000000007</v>
      </c>
      <c r="F310" s="31" t="s">
        <v>538</v>
      </c>
      <c r="G310" s="32"/>
      <c r="H310" s="31"/>
      <c r="I310" s="83"/>
      <c r="J310" s="83"/>
      <c r="K310" s="83">
        <v>0</v>
      </c>
      <c r="L310" s="83">
        <v>1588907749</v>
      </c>
      <c r="M310" s="83">
        <v>1622274304</v>
      </c>
      <c r="N310" s="83">
        <v>0</v>
      </c>
      <c r="O310" s="83">
        <v>1622274304</v>
      </c>
      <c r="P310" s="31" t="s">
        <v>819</v>
      </c>
      <c r="Q310" s="31" t="s">
        <v>824</v>
      </c>
      <c r="R310" s="31" t="s">
        <v>824</v>
      </c>
      <c r="S310" s="31" t="s">
        <v>641</v>
      </c>
      <c r="T310" s="31" t="s">
        <v>642</v>
      </c>
      <c r="U310" s="35" t="s">
        <v>643</v>
      </c>
      <c r="V310" s="134"/>
      <c r="W310" s="85">
        <v>33366555</v>
      </c>
      <c r="X310" s="83">
        <v>33366555</v>
      </c>
      <c r="Y310" s="83">
        <v>0</v>
      </c>
      <c r="Z310" s="83"/>
      <c r="AA310" s="31"/>
      <c r="AB310" s="132"/>
      <c r="AC310" s="83" t="s">
        <v>825</v>
      </c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41">
        <v>1.4</v>
      </c>
      <c r="AO310" s="41">
        <v>96795.398000000001</v>
      </c>
      <c r="AP310" s="41">
        <v>1.0706740701595381</v>
      </c>
      <c r="AQ310" s="41">
        <v>74025.944820980309</v>
      </c>
      <c r="AR310" s="41"/>
      <c r="AS310" s="32">
        <v>43479</v>
      </c>
      <c r="AT310" s="31" t="s">
        <v>645</v>
      </c>
      <c r="AU310" s="41">
        <v>74025.944820980309</v>
      </c>
      <c r="AV310" s="33" t="s">
        <v>645</v>
      </c>
      <c r="AX310" s="31" t="s">
        <v>109</v>
      </c>
      <c r="AY310" s="159">
        <v>1588907749</v>
      </c>
      <c r="AZ310" s="161">
        <v>1128744754</v>
      </c>
      <c r="BA310" t="s">
        <v>647</v>
      </c>
      <c r="BB310" s="31" t="str">
        <f>BBDD_TERRENO[[#This Row],[Comuna]]&amp;BBDD_TERRENO[[#This Row],[Identificacion Propiedad]]</f>
        <v>San Pedro de la PazD1-1Db</v>
      </c>
    </row>
    <row r="311" spans="1:54" x14ac:dyDescent="0.3">
      <c r="A311" s="31" t="s">
        <v>89</v>
      </c>
      <c r="B311" s="31" t="s">
        <v>80</v>
      </c>
      <c r="C311" s="31" t="s">
        <v>826</v>
      </c>
      <c r="D311" s="31" t="s">
        <v>827</v>
      </c>
      <c r="E311" s="42">
        <v>6760.77</v>
      </c>
      <c r="F311" s="31" t="s">
        <v>538</v>
      </c>
      <c r="G311" s="32"/>
      <c r="H311" s="31"/>
      <c r="I311" s="83"/>
      <c r="J311" s="83"/>
      <c r="K311" s="83">
        <v>0</v>
      </c>
      <c r="L311" s="83">
        <v>350351804</v>
      </c>
      <c r="M311" s="83">
        <v>357709080</v>
      </c>
      <c r="N311" s="83">
        <v>0</v>
      </c>
      <c r="O311" s="83">
        <v>357709080</v>
      </c>
      <c r="P311" s="31" t="s">
        <v>828</v>
      </c>
      <c r="Q311" s="31" t="s">
        <v>829</v>
      </c>
      <c r="R311" s="31" t="s">
        <v>829</v>
      </c>
      <c r="S311" s="31" t="s">
        <v>641</v>
      </c>
      <c r="T311" s="31" t="s">
        <v>642</v>
      </c>
      <c r="U311" s="35" t="s">
        <v>643</v>
      </c>
      <c r="V311" s="134"/>
      <c r="W311" s="85">
        <v>7357276</v>
      </c>
      <c r="X311" s="83">
        <v>7357276</v>
      </c>
      <c r="Y311" s="83">
        <v>0</v>
      </c>
      <c r="Z311" s="83"/>
      <c r="AA311" s="31"/>
      <c r="AB311" s="132"/>
      <c r="AC311" s="83" t="s">
        <v>830</v>
      </c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41">
        <v>3.0340186362964059</v>
      </c>
      <c r="AO311" s="41">
        <v>20513</v>
      </c>
      <c r="AP311" s="41">
        <v>1.6</v>
      </c>
      <c r="AQ311" s="41">
        <v>20513</v>
      </c>
      <c r="AR311" s="41"/>
      <c r="AS311" s="32">
        <v>45596</v>
      </c>
      <c r="AT311" s="31" t="s">
        <v>94</v>
      </c>
      <c r="AU311" s="41">
        <v>10817.232000000002</v>
      </c>
      <c r="AV311" s="33" t="s">
        <v>94</v>
      </c>
      <c r="AY311" s="159">
        <v>350351804</v>
      </c>
      <c r="AZ311" s="161">
        <v>158072402</v>
      </c>
      <c r="BA311" t="s">
        <v>647</v>
      </c>
      <c r="BB311" s="31" t="str">
        <f>BBDD_TERRENO[[#This Row],[Comuna]]&amp;BBDD_TERRENO[[#This Row],[Identificacion Propiedad]]</f>
        <v>San Pedro de la PazD2-C-2A</v>
      </c>
    </row>
    <row r="312" spans="1:54" x14ac:dyDescent="0.3">
      <c r="A312" s="31" t="s">
        <v>89</v>
      </c>
      <c r="B312" s="31" t="s">
        <v>80</v>
      </c>
      <c r="C312" s="31" t="s">
        <v>831</v>
      </c>
      <c r="D312" s="31" t="s">
        <v>832</v>
      </c>
      <c r="E312" s="42">
        <v>10021.299999999999</v>
      </c>
      <c r="F312" s="31" t="s">
        <v>538</v>
      </c>
      <c r="G312" s="32"/>
      <c r="H312" s="31"/>
      <c r="I312" s="83"/>
      <c r="J312" s="83"/>
      <c r="K312" s="83">
        <v>10061513</v>
      </c>
      <c r="L312" s="83">
        <v>111856792</v>
      </c>
      <c r="M312" s="83">
        <v>124478551</v>
      </c>
      <c r="N312" s="83">
        <v>10272803</v>
      </c>
      <c r="O312" s="83">
        <v>114205748</v>
      </c>
      <c r="P312" s="31" t="s">
        <v>833</v>
      </c>
      <c r="Q312" s="31" t="s">
        <v>834</v>
      </c>
      <c r="R312" s="31" t="s">
        <v>834</v>
      </c>
      <c r="S312" s="31" t="s">
        <v>641</v>
      </c>
      <c r="T312" s="31" t="s">
        <v>642</v>
      </c>
      <c r="U312" s="35" t="s">
        <v>643</v>
      </c>
      <c r="V312" s="134"/>
      <c r="W312" s="85">
        <v>2560246</v>
      </c>
      <c r="X312" s="83">
        <v>2348956</v>
      </c>
      <c r="Y312" s="83">
        <v>211290</v>
      </c>
      <c r="Z312" s="83"/>
      <c r="AA312" s="31"/>
      <c r="AB312" s="132"/>
      <c r="AC312" s="83" t="s">
        <v>835</v>
      </c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41">
        <v>1.6</v>
      </c>
      <c r="AO312" s="41">
        <v>16034.08</v>
      </c>
      <c r="AP312" s="41">
        <v>0.4</v>
      </c>
      <c r="AQ312" s="41">
        <v>4008.52</v>
      </c>
      <c r="AR312" s="41"/>
      <c r="AS312" s="32"/>
      <c r="AT312" s="31"/>
      <c r="AU312" s="41"/>
      <c r="AV312" s="33" t="s">
        <v>88</v>
      </c>
      <c r="AY312" s="159">
        <v>121918305</v>
      </c>
      <c r="AZ312" s="161">
        <v>560230818</v>
      </c>
      <c r="BA312" t="s">
        <v>647</v>
      </c>
      <c r="BB312" s="31" t="str">
        <f>BBDD_TERRENO[[#This Row],[Comuna]]&amp;BBDD_TERRENO[[#This Row],[Identificacion Propiedad]]</f>
        <v>San Pedro de la PazF-9-A2</v>
      </c>
    </row>
    <row r="313" spans="1:54" x14ac:dyDescent="0.3">
      <c r="A313" s="31" t="s">
        <v>89</v>
      </c>
      <c r="B313" s="31" t="s">
        <v>80</v>
      </c>
      <c r="C313" s="31" t="s">
        <v>836</v>
      </c>
      <c r="D313" s="31" t="s">
        <v>837</v>
      </c>
      <c r="E313" s="42">
        <v>13383.08</v>
      </c>
      <c r="F313" s="31" t="s">
        <v>538</v>
      </c>
      <c r="G313" s="32"/>
      <c r="H313" s="31"/>
      <c r="I313" s="83"/>
      <c r="J313" s="83"/>
      <c r="K313" s="83">
        <v>14599536</v>
      </c>
      <c r="L313" s="83">
        <v>111166356</v>
      </c>
      <c r="M313" s="83">
        <v>128406935</v>
      </c>
      <c r="N313" s="83">
        <v>14906123</v>
      </c>
      <c r="O313" s="83">
        <v>113500812</v>
      </c>
      <c r="P313" s="31" t="s">
        <v>833</v>
      </c>
      <c r="Q313" s="31" t="s">
        <v>838</v>
      </c>
      <c r="R313" s="31" t="s">
        <v>838</v>
      </c>
      <c r="S313" s="31" t="s">
        <v>641</v>
      </c>
      <c r="T313" s="31" t="s">
        <v>642</v>
      </c>
      <c r="U313" s="35" t="s">
        <v>643</v>
      </c>
      <c r="V313" s="134"/>
      <c r="W313" s="85">
        <v>2641043</v>
      </c>
      <c r="X313" s="83">
        <v>2334456</v>
      </c>
      <c r="Y313" s="83">
        <v>306587</v>
      </c>
      <c r="Z313" s="83"/>
      <c r="AA313" s="31"/>
      <c r="AB313" s="132"/>
      <c r="AC313" s="83" t="s">
        <v>839</v>
      </c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41">
        <v>1.6</v>
      </c>
      <c r="AO313" s="41">
        <v>21412.928</v>
      </c>
      <c r="AP313" s="41">
        <v>0.4</v>
      </c>
      <c r="AQ313" s="41">
        <v>5353.232</v>
      </c>
      <c r="AR313" s="41"/>
      <c r="AS313" s="32"/>
      <c r="AT313" s="31"/>
      <c r="AU313" s="41"/>
      <c r="AV313" s="33" t="s">
        <v>88</v>
      </c>
      <c r="AY313" s="159">
        <v>125765892</v>
      </c>
      <c r="AZ313" s="161">
        <v>748167787</v>
      </c>
      <c r="BA313" t="s">
        <v>647</v>
      </c>
      <c r="BB313" s="31" t="str">
        <f>BBDD_TERRENO[[#This Row],[Comuna]]&amp;BBDD_TERRENO[[#This Row],[Identificacion Propiedad]]</f>
        <v>San Pedro de la PazF-9-A3</v>
      </c>
    </row>
    <row r="314" spans="1:54" x14ac:dyDescent="0.3">
      <c r="A314" s="31" t="s">
        <v>89</v>
      </c>
      <c r="B314" s="31" t="s">
        <v>80</v>
      </c>
      <c r="C314" s="31" t="s">
        <v>840</v>
      </c>
      <c r="D314" s="31" t="s">
        <v>841</v>
      </c>
      <c r="E314" s="42">
        <v>15600</v>
      </c>
      <c r="F314" s="31" t="s">
        <v>538</v>
      </c>
      <c r="G314" s="32"/>
      <c r="H314" s="31"/>
      <c r="I314" s="83"/>
      <c r="J314" s="83"/>
      <c r="K314" s="83"/>
      <c r="L314" s="83">
        <v>178818283</v>
      </c>
      <c r="M314" s="83">
        <v>186042351</v>
      </c>
      <c r="N314" s="83"/>
      <c r="O314" s="83">
        <v>186042351</v>
      </c>
      <c r="P314" s="31"/>
      <c r="Q314" s="31"/>
      <c r="R314" s="31" t="s">
        <v>141</v>
      </c>
      <c r="S314" s="31" t="s">
        <v>641</v>
      </c>
      <c r="T314" s="31" t="s">
        <v>642</v>
      </c>
      <c r="U314" s="35" t="s">
        <v>842</v>
      </c>
      <c r="V314" s="134"/>
      <c r="W314" s="85">
        <v>7224068</v>
      </c>
      <c r="X314" s="83">
        <v>7224068</v>
      </c>
      <c r="Y314" s="83">
        <v>0</v>
      </c>
      <c r="Z314" s="83"/>
      <c r="AA314" s="31"/>
      <c r="AB314" s="132"/>
      <c r="AC314" s="83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41">
        <v>1.6</v>
      </c>
      <c r="AO314" s="41">
        <v>2038.384</v>
      </c>
      <c r="AP314" s="41">
        <v>0.4</v>
      </c>
      <c r="AQ314" s="41">
        <v>509.596</v>
      </c>
      <c r="AR314" s="41"/>
      <c r="AS314" s="32"/>
      <c r="AT314" s="31"/>
      <c r="AU314" s="41"/>
      <c r="AV314" s="33" t="s">
        <v>88</v>
      </c>
      <c r="AY314" s="159">
        <v>178818283</v>
      </c>
      <c r="AZ314" s="161">
        <v>71221122</v>
      </c>
      <c r="BA314" t="s">
        <v>647</v>
      </c>
      <c r="BB314" s="31" t="str">
        <f>BBDD_TERRENO[[#This Row],[Comuna]]&amp;BBDD_TERRENO[[#This Row],[Identificacion Propiedad]]</f>
        <v>San Pedro de la PazF-9-X2</v>
      </c>
    </row>
    <row r="315" spans="1:54" x14ac:dyDescent="0.3">
      <c r="A315" s="31" t="s">
        <v>687</v>
      </c>
      <c r="B315" s="31" t="s">
        <v>80</v>
      </c>
      <c r="C315" s="31" t="s">
        <v>843</v>
      </c>
      <c r="D315" s="31" t="s">
        <v>844</v>
      </c>
      <c r="E315" s="42">
        <v>46800</v>
      </c>
      <c r="F315" s="31" t="s">
        <v>538</v>
      </c>
      <c r="G315" s="32"/>
      <c r="H315" s="31"/>
      <c r="I315" s="83"/>
      <c r="J315" s="83"/>
      <c r="K315" s="83"/>
      <c r="L315" s="83">
        <v>1288286245</v>
      </c>
      <c r="M315" s="83">
        <v>1315339844</v>
      </c>
      <c r="N315" s="83"/>
      <c r="O315" s="83">
        <v>1315339844</v>
      </c>
      <c r="P315" s="31"/>
      <c r="Q315" s="31"/>
      <c r="R315" s="31" t="s">
        <v>845</v>
      </c>
      <c r="S315" s="31" t="s">
        <v>641</v>
      </c>
      <c r="T315" s="31" t="s">
        <v>642</v>
      </c>
      <c r="U315" s="35" t="s">
        <v>643</v>
      </c>
      <c r="V315" s="134"/>
      <c r="W315" s="85">
        <v>27053599</v>
      </c>
      <c r="X315" s="83">
        <v>27053599</v>
      </c>
      <c r="Y315" s="83">
        <v>0</v>
      </c>
      <c r="Z315" s="83"/>
      <c r="AA315" s="31"/>
      <c r="AB315" s="132"/>
      <c r="AC315" s="83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41">
        <v>0.69</v>
      </c>
      <c r="AO315" s="41">
        <v>54509.999999999993</v>
      </c>
      <c r="AP315" s="41">
        <v>0.68200000000000005</v>
      </c>
      <c r="AQ315" s="41">
        <v>53495.999999999985</v>
      </c>
      <c r="AR315" s="41"/>
      <c r="AS315" s="32">
        <v>44634</v>
      </c>
      <c r="AT315" s="31" t="s">
        <v>692</v>
      </c>
      <c r="AU315" s="41">
        <v>53495.999999999985</v>
      </c>
      <c r="AV315" s="33" t="s">
        <v>88</v>
      </c>
      <c r="AY315" s="159">
        <v>1288286245</v>
      </c>
      <c r="AZ315" s="161">
        <v>57691508</v>
      </c>
      <c r="BA315" t="s">
        <v>647</v>
      </c>
      <c r="BB315" s="31" t="str">
        <f>BBDD_TERRENO[[#This Row],[Comuna]]&amp;BBDD_TERRENO[[#This Row],[Identificacion Propiedad]]</f>
        <v>San Pedro de la PazLote E Las Islas Humedal</v>
      </c>
    </row>
    <row r="316" spans="1:54" x14ac:dyDescent="0.3">
      <c r="A316" s="31" t="s">
        <v>496</v>
      </c>
      <c r="B316" s="31" t="s">
        <v>80</v>
      </c>
      <c r="C316" s="31" t="s">
        <v>846</v>
      </c>
      <c r="D316" s="31" t="s">
        <v>847</v>
      </c>
      <c r="E316" s="42">
        <v>10583.06</v>
      </c>
      <c r="F316" s="31" t="s">
        <v>538</v>
      </c>
      <c r="G316" s="32"/>
      <c r="H316" s="31"/>
      <c r="I316" s="83"/>
      <c r="J316" s="83"/>
      <c r="K316" s="83">
        <v>0</v>
      </c>
      <c r="L316" s="83">
        <v>548406026</v>
      </c>
      <c r="M316" s="83">
        <v>559922377</v>
      </c>
      <c r="N316" s="83">
        <v>0</v>
      </c>
      <c r="O316" s="83">
        <v>559922377</v>
      </c>
      <c r="P316" s="31" t="s">
        <v>848</v>
      </c>
      <c r="Q316" s="31" t="s">
        <v>849</v>
      </c>
      <c r="R316" s="31" t="s">
        <v>849</v>
      </c>
      <c r="S316" s="31" t="s">
        <v>641</v>
      </c>
      <c r="T316" s="31" t="s">
        <v>642</v>
      </c>
      <c r="U316" s="35" t="s">
        <v>643</v>
      </c>
      <c r="V316" s="134"/>
      <c r="W316" s="85">
        <v>11516351</v>
      </c>
      <c r="X316" s="83">
        <v>11516351</v>
      </c>
      <c r="Y316" s="83">
        <v>0</v>
      </c>
      <c r="Z316" s="83"/>
      <c r="AA316" s="31"/>
      <c r="AB316" s="132"/>
      <c r="AC316" s="83" t="s">
        <v>850</v>
      </c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41">
        <v>1.6999691008342774</v>
      </c>
      <c r="AO316" s="41">
        <v>17990.874992275207</v>
      </c>
      <c r="AP316" s="41">
        <v>3.4</v>
      </c>
      <c r="AQ316" s="41">
        <v>35982</v>
      </c>
      <c r="AR316" s="41">
        <v>12593.61</v>
      </c>
      <c r="AS316" s="32">
        <v>45403</v>
      </c>
      <c r="AT316" s="31" t="s">
        <v>108</v>
      </c>
      <c r="AU316" s="41">
        <v>35982</v>
      </c>
      <c r="AV316" s="33" t="s">
        <v>108</v>
      </c>
      <c r="AX316" s="31" t="s">
        <v>109</v>
      </c>
      <c r="AY316" s="159">
        <v>548406026</v>
      </c>
      <c r="AZ316" s="161" t="s">
        <v>682</v>
      </c>
      <c r="BA316" t="s">
        <v>647</v>
      </c>
      <c r="BB316" s="31" t="str">
        <f>BBDD_TERRENO[[#This Row],[Comuna]]&amp;BBDD_TERRENO[[#This Row],[Identificacion Propiedad]]</f>
        <v>San Pedro de la PazLote 4</v>
      </c>
    </row>
    <row r="317" spans="1:54" x14ac:dyDescent="0.3">
      <c r="A317" s="31" t="s">
        <v>79</v>
      </c>
      <c r="B317" s="31" t="s">
        <v>80</v>
      </c>
      <c r="C317" s="31" t="s">
        <v>851</v>
      </c>
      <c r="D317" s="31" t="s">
        <v>852</v>
      </c>
      <c r="E317" s="42">
        <v>40072.92</v>
      </c>
      <c r="F317" s="31" t="s">
        <v>538</v>
      </c>
      <c r="G317" s="32"/>
      <c r="H317" s="31"/>
      <c r="I317" s="83"/>
      <c r="J317" s="83"/>
      <c r="K317" s="83">
        <v>0</v>
      </c>
      <c r="L317" s="83">
        <v>0</v>
      </c>
      <c r="M317" s="83">
        <v>0</v>
      </c>
      <c r="N317" s="83">
        <v>0</v>
      </c>
      <c r="O317" s="83">
        <v>0</v>
      </c>
      <c r="P317" s="31" t="s">
        <v>848</v>
      </c>
      <c r="Q317" s="31" t="s">
        <v>853</v>
      </c>
      <c r="R317" s="31" t="s">
        <v>853</v>
      </c>
      <c r="S317" s="31" t="s">
        <v>854</v>
      </c>
      <c r="T317" s="31"/>
      <c r="U317" s="35"/>
      <c r="V317" s="134"/>
      <c r="W317" s="85">
        <v>0</v>
      </c>
      <c r="X317" s="83">
        <v>0</v>
      </c>
      <c r="Y317" s="83">
        <v>0</v>
      </c>
      <c r="Z317" s="83"/>
      <c r="AA317" s="31"/>
      <c r="AB317" s="132"/>
      <c r="AC317" s="83" t="s">
        <v>855</v>
      </c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41">
        <v>1.6999691008342774</v>
      </c>
      <c r="AO317" s="41">
        <v>68122.725780203924</v>
      </c>
      <c r="AP317" s="41">
        <v>2.4700000000000002</v>
      </c>
      <c r="AQ317" s="41">
        <v>98978</v>
      </c>
      <c r="AR317" s="41">
        <v>47685.919999999998</v>
      </c>
      <c r="AS317" s="32">
        <v>45617</v>
      </c>
      <c r="AT317" s="31" t="s">
        <v>108</v>
      </c>
      <c r="AU317" s="41">
        <v>94189</v>
      </c>
      <c r="AV317" s="33" t="s">
        <v>108</v>
      </c>
      <c r="AX317" s="31" t="s">
        <v>109</v>
      </c>
      <c r="AY317" s="159">
        <v>0</v>
      </c>
      <c r="AZ317" s="161" t="s">
        <v>682</v>
      </c>
      <c r="BA317" t="s">
        <v>647</v>
      </c>
      <c r="BB317" s="31" t="str">
        <f>BBDD_TERRENO[[#This Row],[Comuna]]&amp;BBDD_TERRENO[[#This Row],[Identificacion Propiedad]]</f>
        <v>San Pedro de la PazLote 7</v>
      </c>
    </row>
    <row r="318" spans="1:54" x14ac:dyDescent="0.3">
      <c r="A318" s="31" t="s">
        <v>687</v>
      </c>
      <c r="B318" s="31" t="s">
        <v>80</v>
      </c>
      <c r="C318" s="31" t="s">
        <v>856</v>
      </c>
      <c r="D318" s="31" t="s">
        <v>857</v>
      </c>
      <c r="E318" s="42">
        <v>3430</v>
      </c>
      <c r="F318" s="31" t="s">
        <v>538</v>
      </c>
      <c r="G318" s="32"/>
      <c r="H318" s="31"/>
      <c r="I318" s="83"/>
      <c r="J318" s="83"/>
      <c r="K318" s="83">
        <v>0</v>
      </c>
      <c r="L318" s="83">
        <v>148703262</v>
      </c>
      <c r="M318" s="83">
        <v>151825983</v>
      </c>
      <c r="N318" s="83">
        <v>0</v>
      </c>
      <c r="O318" s="83">
        <v>151825983</v>
      </c>
      <c r="P318" s="31"/>
      <c r="Q318" s="31" t="s">
        <v>858</v>
      </c>
      <c r="R318" s="31" t="s">
        <v>858</v>
      </c>
      <c r="S318" s="31" t="s">
        <v>641</v>
      </c>
      <c r="T318" s="31" t="s">
        <v>642</v>
      </c>
      <c r="U318" s="35" t="s">
        <v>643</v>
      </c>
      <c r="V318" s="134"/>
      <c r="W318" s="85">
        <v>3122721</v>
      </c>
      <c r="X318" s="83">
        <v>3122721</v>
      </c>
      <c r="Y318" s="83">
        <v>0</v>
      </c>
      <c r="Z318" s="83"/>
      <c r="AA318" s="31"/>
      <c r="AB318" s="132"/>
      <c r="AC318" s="83" t="s">
        <v>859</v>
      </c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41">
        <v>5</v>
      </c>
      <c r="AO318" s="41">
        <v>20000</v>
      </c>
      <c r="AP318" s="41">
        <v>5</v>
      </c>
      <c r="AQ318" s="41">
        <v>17150</v>
      </c>
      <c r="AR318" s="41"/>
      <c r="AS318" s="32">
        <v>44634</v>
      </c>
      <c r="AT318" s="31" t="s">
        <v>692</v>
      </c>
      <c r="AU318" s="41">
        <v>17150</v>
      </c>
      <c r="AV318" s="33" t="s">
        <v>88</v>
      </c>
      <c r="AY318" s="159">
        <v>148703262</v>
      </c>
      <c r="AZ318" s="161">
        <v>569703643</v>
      </c>
      <c r="BA318" t="s">
        <v>647</v>
      </c>
      <c r="BB318" s="31" t="str">
        <f>BBDD_TERRENO[[#This Row],[Comuna]]&amp;BBDD_TERRENO[[#This Row],[Identificacion Propiedad]]</f>
        <v>San Pedro de la PazLote C Las Islas</v>
      </c>
    </row>
    <row r="319" spans="1:54" x14ac:dyDescent="0.3">
      <c r="A319" s="31" t="s">
        <v>493</v>
      </c>
      <c r="B319" s="31" t="s">
        <v>80</v>
      </c>
      <c r="C319" s="31" t="s">
        <v>860</v>
      </c>
      <c r="D319" s="31" t="s">
        <v>861</v>
      </c>
      <c r="E319" s="42">
        <v>35002.76</v>
      </c>
      <c r="F319" s="31" t="s">
        <v>862</v>
      </c>
      <c r="G319" s="32"/>
      <c r="H319" s="31"/>
      <c r="I319" s="83"/>
      <c r="J319" s="83"/>
      <c r="K319" s="83">
        <v>0</v>
      </c>
      <c r="L319" s="83">
        <v>21628470572</v>
      </c>
      <c r="M319" s="83">
        <v>22502237690</v>
      </c>
      <c r="N319" s="83">
        <v>0</v>
      </c>
      <c r="O319" s="83">
        <v>22502237690</v>
      </c>
      <c r="P319" s="31"/>
      <c r="Q319" s="31" t="s">
        <v>863</v>
      </c>
      <c r="R319" s="31" t="s">
        <v>863</v>
      </c>
      <c r="S319" s="31" t="s">
        <v>641</v>
      </c>
      <c r="T319" s="31" t="s">
        <v>642</v>
      </c>
      <c r="U319" s="35" t="s">
        <v>800</v>
      </c>
      <c r="V319" s="134"/>
      <c r="W319" s="85">
        <v>873767118</v>
      </c>
      <c r="X319" s="83">
        <v>873767118</v>
      </c>
      <c r="Y319" s="83">
        <v>0</v>
      </c>
      <c r="Z319" s="83"/>
      <c r="AA319" s="31"/>
      <c r="AB319" s="132"/>
      <c r="AC319" s="83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41">
        <v>3.5</v>
      </c>
      <c r="AO319" s="41">
        <v>122509.66</v>
      </c>
      <c r="AP319" s="41">
        <v>12.88589814060377</v>
      </c>
      <c r="AQ319" s="41">
        <v>451042</v>
      </c>
      <c r="AR319" s="41"/>
      <c r="AS319" s="32">
        <v>45967</v>
      </c>
      <c r="AT319" s="31" t="s">
        <v>154</v>
      </c>
      <c r="AU319" s="41">
        <v>463532.41032945062</v>
      </c>
      <c r="AV319" s="33" t="s">
        <v>154</v>
      </c>
      <c r="AX319" s="31" t="s">
        <v>155</v>
      </c>
      <c r="AY319" s="159">
        <v>21628470572</v>
      </c>
      <c r="AZ319" s="161">
        <v>1217592002</v>
      </c>
      <c r="BA319" t="s">
        <v>647</v>
      </c>
      <c r="BB319" s="31" t="str">
        <f>BBDD_TERRENO[[#This Row],[Comuna]]&amp;BBDD_TERRENO[[#This Row],[Identificacion Propiedad]]</f>
        <v>San Pedro de la PazLote C3-1C-B</v>
      </c>
    </row>
    <row r="320" spans="1:54" x14ac:dyDescent="0.3">
      <c r="A320" s="31" t="s">
        <v>79</v>
      </c>
      <c r="B320" s="31" t="s">
        <v>80</v>
      </c>
      <c r="C320" s="31" t="s">
        <v>147</v>
      </c>
      <c r="D320" s="31" t="s">
        <v>864</v>
      </c>
      <c r="E320" s="42">
        <v>17999</v>
      </c>
      <c r="F320" s="31" t="s">
        <v>538</v>
      </c>
      <c r="G320" s="32"/>
      <c r="H320" s="31"/>
      <c r="I320" s="83"/>
      <c r="J320" s="83"/>
      <c r="K320" s="83"/>
      <c r="L320" s="83">
        <v>3167167862</v>
      </c>
      <c r="M320" s="83">
        <v>2997235195</v>
      </c>
      <c r="N320" s="83"/>
      <c r="O320" s="83">
        <v>2997235195</v>
      </c>
      <c r="P320" s="31"/>
      <c r="Q320" s="31"/>
      <c r="R320" s="31" t="s">
        <v>865</v>
      </c>
      <c r="S320" s="31" t="s">
        <v>641</v>
      </c>
      <c r="T320" s="31" t="s">
        <v>642</v>
      </c>
      <c r="U320" s="35" t="s">
        <v>800</v>
      </c>
      <c r="V320" s="134"/>
      <c r="W320" s="85">
        <v>-169932667</v>
      </c>
      <c r="X320" s="83">
        <v>-169932667</v>
      </c>
      <c r="Y320" s="83">
        <v>0</v>
      </c>
      <c r="Z320" s="83"/>
      <c r="AA320" s="31"/>
      <c r="AB320" s="132"/>
      <c r="AC320" s="83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41">
        <v>3.5</v>
      </c>
      <c r="AO320" s="41">
        <v>62996.849999999991</v>
      </c>
      <c r="AP320" s="41">
        <v>3.4500000136028515</v>
      </c>
      <c r="AQ320" s="41">
        <v>62096.895244839077</v>
      </c>
      <c r="AR320" s="41"/>
      <c r="AS320" s="32">
        <v>45251</v>
      </c>
      <c r="AT320" s="31" t="s">
        <v>154</v>
      </c>
      <c r="AU320" s="41">
        <v>62996.849999999991</v>
      </c>
      <c r="AV320" s="33" t="s">
        <v>154</v>
      </c>
      <c r="AX320" s="31" t="s">
        <v>155</v>
      </c>
      <c r="AY320" s="159">
        <v>3167167862</v>
      </c>
      <c r="AZ320" s="161">
        <v>1611825221</v>
      </c>
      <c r="BA320" t="s">
        <v>647</v>
      </c>
      <c r="BB320" s="31" t="str">
        <f>BBDD_TERRENO[[#This Row],[Comuna]]&amp;BBDD_TERRENO[[#This Row],[Identificacion Propiedad]]</f>
        <v>San Pedro de la PazLote C3-1C-C-1</v>
      </c>
    </row>
    <row r="321" spans="1:54" x14ac:dyDescent="0.3">
      <c r="A321" s="31" t="s">
        <v>382</v>
      </c>
      <c r="B321" s="31" t="s">
        <v>303</v>
      </c>
      <c r="C321" s="31" t="s">
        <v>866</v>
      </c>
      <c r="D321" s="31" t="s">
        <v>852</v>
      </c>
      <c r="E321" s="42">
        <v>45924.24</v>
      </c>
      <c r="F321" s="31" t="s">
        <v>538</v>
      </c>
      <c r="G321" s="32"/>
      <c r="H321" s="31"/>
      <c r="I321" s="83"/>
      <c r="J321" s="83"/>
      <c r="K321" s="83">
        <v>1107140653</v>
      </c>
      <c r="L321" s="83">
        <v>0</v>
      </c>
      <c r="M321" s="83">
        <v>1151867953</v>
      </c>
      <c r="N321" s="83">
        <v>1151867953</v>
      </c>
      <c r="O321" s="83">
        <v>0</v>
      </c>
      <c r="P321" s="31"/>
      <c r="Q321" s="31" t="s">
        <v>867</v>
      </c>
      <c r="R321" s="31"/>
      <c r="S321" s="31"/>
      <c r="T321" s="31"/>
      <c r="U321" s="35"/>
      <c r="V321" s="134"/>
      <c r="W321" s="85">
        <v>44727300</v>
      </c>
      <c r="X321" s="83">
        <v>0</v>
      </c>
      <c r="Y321" s="83">
        <v>44727300</v>
      </c>
      <c r="Z321" s="83"/>
      <c r="AA321" s="31"/>
      <c r="AB321" s="132"/>
      <c r="AC321" s="83" t="s">
        <v>868</v>
      </c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>
        <v>3</v>
      </c>
      <c r="AO321" s="31">
        <v>137772.72</v>
      </c>
      <c r="AP321" s="31">
        <v>3</v>
      </c>
      <c r="AQ321" s="31">
        <v>137772.72</v>
      </c>
      <c r="AR321" s="31"/>
      <c r="AS321" s="31"/>
      <c r="AT321" s="31"/>
      <c r="AU321" s="31"/>
      <c r="AV321" s="31" t="s">
        <v>88</v>
      </c>
      <c r="AW321"/>
      <c r="AY321">
        <v>1107140653</v>
      </c>
      <c r="AZ321" s="83">
        <v>289251206</v>
      </c>
      <c r="BA321" t="s">
        <v>647</v>
      </c>
      <c r="BB321" s="31" t="str">
        <f>BBDD_TERRENO[[#This Row],[Comuna]]&amp;BBDD_TERRENO[[#This Row],[Identificacion Propiedad]]</f>
        <v>VitacuraLOTE 5-A2-5</v>
      </c>
    </row>
    <row r="322" spans="1:54" x14ac:dyDescent="0.3">
      <c r="A322" s="31" t="s">
        <v>869</v>
      </c>
      <c r="B322" s="31" t="s">
        <v>169</v>
      </c>
      <c r="C322" s="31" t="s">
        <v>870</v>
      </c>
      <c r="D322" s="31" t="s">
        <v>871</v>
      </c>
      <c r="E322" s="42">
        <v>983</v>
      </c>
      <c r="F322" s="31" t="s">
        <v>538</v>
      </c>
      <c r="G322" s="32"/>
      <c r="H322" s="31"/>
      <c r="I322" s="83"/>
      <c r="J322" s="83"/>
      <c r="K322" s="83"/>
      <c r="L322" s="83">
        <v>25848878</v>
      </c>
      <c r="M322" s="83">
        <v>26893145</v>
      </c>
      <c r="N322" s="83"/>
      <c r="O322" s="83">
        <v>26893145</v>
      </c>
      <c r="P322" s="31"/>
      <c r="Q322" s="31"/>
      <c r="R322" s="31" t="s">
        <v>872</v>
      </c>
      <c r="S322" s="31" t="s">
        <v>641</v>
      </c>
      <c r="T322" s="31" t="s">
        <v>642</v>
      </c>
      <c r="U322" s="35" t="s">
        <v>643</v>
      </c>
      <c r="V322" s="134"/>
      <c r="W322" s="85">
        <v>1044267</v>
      </c>
      <c r="X322" s="83">
        <v>1044267</v>
      </c>
      <c r="Y322" s="83">
        <v>0</v>
      </c>
      <c r="Z322" s="83"/>
      <c r="AA322" s="31"/>
      <c r="AB322" s="132"/>
      <c r="AC322" s="83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>
        <v>0.35</v>
      </c>
      <c r="AO322" s="31">
        <v>10525.2</v>
      </c>
      <c r="AP322" s="31">
        <v>1.0882258586811455</v>
      </c>
      <c r="AQ322" s="31">
        <v>2181.6752014839599</v>
      </c>
      <c r="AR322" s="31"/>
      <c r="AS322" s="31"/>
      <c r="AT322" s="31"/>
      <c r="AU322" s="31"/>
      <c r="AV322" s="31" t="s">
        <v>88</v>
      </c>
      <c r="AW322"/>
      <c r="AY322">
        <v>25848878</v>
      </c>
      <c r="AZ322" s="83">
        <v>63308500</v>
      </c>
      <c r="BA322" t="s">
        <v>647</v>
      </c>
      <c r="BB322" s="31" t="str">
        <f>BBDD_TERRENO[[#This Row],[Comuna]]&amp;BBDD_TERRENO[[#This Row],[Identificacion Propiedad]]</f>
        <v>HualquiLos Colihues</v>
      </c>
    </row>
    <row r="323" spans="1:54" x14ac:dyDescent="0.3">
      <c r="A323" s="31" t="s">
        <v>869</v>
      </c>
      <c r="B323" s="31" t="s">
        <v>169</v>
      </c>
      <c r="C323" s="31" t="s">
        <v>870</v>
      </c>
      <c r="D323" s="31" t="s">
        <v>873</v>
      </c>
      <c r="E323" s="42">
        <v>987</v>
      </c>
      <c r="F323" s="31" t="s">
        <v>538</v>
      </c>
      <c r="G323" s="32"/>
      <c r="H323" s="31"/>
      <c r="I323" s="83"/>
      <c r="J323" s="83"/>
      <c r="K323" s="83"/>
      <c r="L323" s="83">
        <v>25948201</v>
      </c>
      <c r="M323" s="83">
        <v>26996480</v>
      </c>
      <c r="N323" s="83"/>
      <c r="O323" s="83">
        <v>26996480</v>
      </c>
      <c r="P323" s="31"/>
      <c r="Q323" s="31"/>
      <c r="R323" s="31" t="s">
        <v>874</v>
      </c>
      <c r="S323" s="31" t="s">
        <v>641</v>
      </c>
      <c r="T323" s="31" t="s">
        <v>642</v>
      </c>
      <c r="U323" s="35" t="s">
        <v>643</v>
      </c>
      <c r="V323" s="134"/>
      <c r="W323" s="85">
        <v>1048279</v>
      </c>
      <c r="X323" s="83">
        <v>1048279</v>
      </c>
      <c r="Y323" s="83">
        <v>0</v>
      </c>
      <c r="Z323" s="83"/>
      <c r="AA323" s="31"/>
      <c r="AB323" s="132"/>
      <c r="AC323" s="83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>
        <v>0.35</v>
      </c>
      <c r="AO323" s="31">
        <v>10525.2</v>
      </c>
      <c r="AP323" s="31">
        <v>1.0882258586811455</v>
      </c>
      <c r="AQ323" s="31">
        <v>2181.6752014839599</v>
      </c>
      <c r="AR323" s="31"/>
      <c r="AS323" s="31"/>
      <c r="AT323" s="31"/>
      <c r="AU323" s="31"/>
      <c r="AV323" s="31" t="s">
        <v>88</v>
      </c>
      <c r="AW323"/>
      <c r="AY323">
        <v>25948201</v>
      </c>
      <c r="AZ323" s="83">
        <v>63537453</v>
      </c>
      <c r="BA323" t="s">
        <v>647</v>
      </c>
      <c r="BB323" s="31" t="str">
        <f>BBDD_TERRENO[[#This Row],[Comuna]]&amp;BBDD_TERRENO[[#This Row],[Identificacion Propiedad]]</f>
        <v>HualquiLos Colihues</v>
      </c>
    </row>
    <row r="324" spans="1:54" x14ac:dyDescent="0.3">
      <c r="A324" s="31" t="s">
        <v>869</v>
      </c>
      <c r="B324" s="31" t="s">
        <v>169</v>
      </c>
      <c r="C324" s="31" t="s">
        <v>870</v>
      </c>
      <c r="D324" s="31" t="s">
        <v>875</v>
      </c>
      <c r="E324" s="42">
        <v>991</v>
      </c>
      <c r="F324" s="31" t="s">
        <v>538</v>
      </c>
      <c r="G324" s="32"/>
      <c r="H324" s="31"/>
      <c r="I324" s="83"/>
      <c r="J324" s="83"/>
      <c r="K324" s="83"/>
      <c r="L324" s="83">
        <v>26065641</v>
      </c>
      <c r="M324" s="83">
        <v>27118665</v>
      </c>
      <c r="N324" s="83"/>
      <c r="O324" s="83">
        <v>27118665</v>
      </c>
      <c r="P324" s="31"/>
      <c r="Q324" s="31"/>
      <c r="R324" s="31" t="s">
        <v>876</v>
      </c>
      <c r="S324" s="31" t="s">
        <v>641</v>
      </c>
      <c r="T324" s="31" t="s">
        <v>642</v>
      </c>
      <c r="U324" s="35" t="s">
        <v>643</v>
      </c>
      <c r="V324" s="134"/>
      <c r="W324" s="85">
        <v>1053024</v>
      </c>
      <c r="X324" s="83">
        <v>1053024</v>
      </c>
      <c r="Y324" s="83">
        <v>0</v>
      </c>
      <c r="Z324" s="83"/>
      <c r="AA324" s="31"/>
      <c r="AB324" s="132"/>
      <c r="AC324" s="83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>
        <v>0.35</v>
      </c>
      <c r="AO324" s="31">
        <v>10525.2</v>
      </c>
      <c r="AP324" s="31">
        <v>1.08822585868115</v>
      </c>
      <c r="AQ324" s="31">
        <v>2181.6752014839599</v>
      </c>
      <c r="AR324" s="31"/>
      <c r="AS324" s="31"/>
      <c r="AT324" s="31"/>
      <c r="AU324" s="31"/>
      <c r="AV324" s="31" t="s">
        <v>88</v>
      </c>
      <c r="AW324"/>
      <c r="AY324">
        <v>26065641</v>
      </c>
      <c r="AZ324" s="83">
        <v>63790660</v>
      </c>
      <c r="BA324" t="s">
        <v>647</v>
      </c>
      <c r="BB324" s="31" t="str">
        <f>BBDD_TERRENO[[#This Row],[Comuna]]&amp;BBDD_TERRENO[[#This Row],[Identificacion Propiedad]]</f>
        <v>HualquiLos Colihues</v>
      </c>
    </row>
    <row r="325" spans="1:54" x14ac:dyDescent="0.3">
      <c r="A325" s="31" t="s">
        <v>869</v>
      </c>
      <c r="B325" s="31" t="s">
        <v>169</v>
      </c>
      <c r="C325" s="31" t="s">
        <v>870</v>
      </c>
      <c r="D325" s="31" t="s">
        <v>877</v>
      </c>
      <c r="E325" s="42">
        <v>993</v>
      </c>
      <c r="F325" s="31" t="s">
        <v>538</v>
      </c>
      <c r="G325" s="32"/>
      <c r="H325" s="31"/>
      <c r="I325" s="83"/>
      <c r="J325" s="83"/>
      <c r="K325" s="83"/>
      <c r="L325" s="83">
        <v>26133420</v>
      </c>
      <c r="M325" s="83">
        <v>27189182</v>
      </c>
      <c r="N325" s="83"/>
      <c r="O325" s="83">
        <v>27189182</v>
      </c>
      <c r="P325" s="31"/>
      <c r="Q325" s="31"/>
      <c r="R325" s="31" t="s">
        <v>878</v>
      </c>
      <c r="S325" s="31" t="s">
        <v>641</v>
      </c>
      <c r="T325" s="31" t="s">
        <v>642</v>
      </c>
      <c r="U325" s="35" t="s">
        <v>643</v>
      </c>
      <c r="V325" s="134"/>
      <c r="W325" s="85">
        <v>1055762</v>
      </c>
      <c r="X325" s="83">
        <v>1055762</v>
      </c>
      <c r="Y325" s="83">
        <v>0</v>
      </c>
      <c r="Z325" s="83"/>
      <c r="AA325" s="31"/>
      <c r="AB325" s="132"/>
      <c r="AC325" s="83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>
        <v>0.35</v>
      </c>
      <c r="AO325" s="31">
        <v>10525.2</v>
      </c>
      <c r="AP325" s="31">
        <v>1.08822585868115</v>
      </c>
      <c r="AQ325" s="31">
        <v>2181.6752014839599</v>
      </c>
      <c r="AR325" s="31"/>
      <c r="AS325" s="31"/>
      <c r="AT325" s="31"/>
      <c r="AU325" s="31"/>
      <c r="AV325" s="31" t="s">
        <v>88</v>
      </c>
      <c r="AW325"/>
      <c r="AY325">
        <v>26133420</v>
      </c>
      <c r="AZ325" s="83">
        <v>63993520</v>
      </c>
      <c r="BA325" t="s">
        <v>647</v>
      </c>
      <c r="BB325" s="31" t="str">
        <f>BBDD_TERRENO[[#This Row],[Comuna]]&amp;BBDD_TERRENO[[#This Row],[Identificacion Propiedad]]</f>
        <v>HualquiLos Colihues</v>
      </c>
    </row>
    <row r="326" spans="1:54" x14ac:dyDescent="0.3">
      <c r="A326" s="31" t="s">
        <v>869</v>
      </c>
      <c r="B326" s="31" t="s">
        <v>169</v>
      </c>
      <c r="C326" s="31" t="s">
        <v>870</v>
      </c>
      <c r="D326" s="31" t="s">
        <v>879</v>
      </c>
      <c r="E326" s="42">
        <v>993</v>
      </c>
      <c r="F326" s="31" t="s">
        <v>538</v>
      </c>
      <c r="G326" s="32"/>
      <c r="H326" s="31"/>
      <c r="I326" s="83"/>
      <c r="J326" s="83"/>
      <c r="K326" s="83"/>
      <c r="L326" s="83">
        <v>26115302</v>
      </c>
      <c r="M326" s="83">
        <v>27170333</v>
      </c>
      <c r="N326" s="83"/>
      <c r="O326" s="83">
        <v>27170333</v>
      </c>
      <c r="P326" s="31"/>
      <c r="Q326" s="31"/>
      <c r="R326" s="31" t="s">
        <v>880</v>
      </c>
      <c r="S326" s="31" t="s">
        <v>641</v>
      </c>
      <c r="T326" s="31" t="s">
        <v>642</v>
      </c>
      <c r="U326" s="35" t="s">
        <v>643</v>
      </c>
      <c r="V326" s="134"/>
      <c r="W326" s="85">
        <v>1055031</v>
      </c>
      <c r="X326" s="83">
        <v>1055031</v>
      </c>
      <c r="Y326" s="83">
        <v>0</v>
      </c>
      <c r="Z326" s="83"/>
      <c r="AA326" s="31"/>
      <c r="AB326" s="132"/>
      <c r="AC326" s="83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>
        <v>0.35</v>
      </c>
      <c r="AO326" s="31">
        <v>10525.2</v>
      </c>
      <c r="AP326" s="31">
        <v>1.08822585868115</v>
      </c>
      <c r="AQ326" s="31">
        <v>2181.6752014839599</v>
      </c>
      <c r="AR326" s="31"/>
      <c r="AS326" s="31"/>
      <c r="AT326" s="31"/>
      <c r="AU326" s="31"/>
      <c r="AV326" s="31" t="s">
        <v>88</v>
      </c>
      <c r="AW326"/>
      <c r="AY326">
        <v>26115302</v>
      </c>
      <c r="AZ326" s="83">
        <v>63892090</v>
      </c>
      <c r="BA326" t="s">
        <v>647</v>
      </c>
      <c r="BB326" s="31" t="str">
        <f>BBDD_TERRENO[[#This Row],[Comuna]]&amp;BBDD_TERRENO[[#This Row],[Identificacion Propiedad]]</f>
        <v>HualquiLos Colihues</v>
      </c>
    </row>
    <row r="327" spans="1:54" x14ac:dyDescent="0.3">
      <c r="A327" s="31" t="s">
        <v>869</v>
      </c>
      <c r="B327" s="31" t="s">
        <v>169</v>
      </c>
      <c r="C327" s="31" t="s">
        <v>870</v>
      </c>
      <c r="D327" s="31" t="s">
        <v>881</v>
      </c>
      <c r="E327" s="42">
        <v>995</v>
      </c>
      <c r="F327" s="31" t="s">
        <v>538</v>
      </c>
      <c r="G327" s="32"/>
      <c r="H327" s="31"/>
      <c r="I327" s="83"/>
      <c r="J327" s="83"/>
      <c r="K327" s="83"/>
      <c r="L327" s="83">
        <v>26164964</v>
      </c>
      <c r="M327" s="83">
        <v>27222000</v>
      </c>
      <c r="N327" s="83"/>
      <c r="O327" s="83">
        <v>27222000</v>
      </c>
      <c r="P327" s="31"/>
      <c r="Q327" s="31"/>
      <c r="R327" s="31" t="s">
        <v>882</v>
      </c>
      <c r="S327" s="31" t="s">
        <v>641</v>
      </c>
      <c r="T327" s="31" t="s">
        <v>642</v>
      </c>
      <c r="U327" s="35" t="s">
        <v>643</v>
      </c>
      <c r="V327" s="134"/>
      <c r="W327" s="85">
        <v>1057036</v>
      </c>
      <c r="X327" s="83">
        <v>1057036</v>
      </c>
      <c r="Y327" s="83">
        <v>0</v>
      </c>
      <c r="Z327" s="83"/>
      <c r="AA327" s="31"/>
      <c r="AB327" s="132"/>
      <c r="AC327" s="83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>
        <v>0.35</v>
      </c>
      <c r="AO327" s="31">
        <v>10525.2</v>
      </c>
      <c r="AP327" s="31">
        <v>1.08822585868115</v>
      </c>
      <c r="AQ327" s="31">
        <v>2181.6752014839599</v>
      </c>
      <c r="AR327" s="31"/>
      <c r="AS327" s="31"/>
      <c r="AT327" s="31"/>
      <c r="AU327" s="31"/>
      <c r="AV327" s="31" t="s">
        <v>88</v>
      </c>
      <c r="AW327"/>
      <c r="AY327">
        <v>26164964</v>
      </c>
      <c r="AZ327" s="83">
        <v>63993520</v>
      </c>
      <c r="BA327" t="s">
        <v>647</v>
      </c>
      <c r="BB327" s="31" t="str">
        <f>BBDD_TERRENO[[#This Row],[Comuna]]&amp;BBDD_TERRENO[[#This Row],[Identificacion Propiedad]]</f>
        <v>HualquiLos Colihues</v>
      </c>
    </row>
    <row r="328" spans="1:54" x14ac:dyDescent="0.3">
      <c r="A328" s="31" t="s">
        <v>869</v>
      </c>
      <c r="B328" s="31" t="s">
        <v>169</v>
      </c>
      <c r="C328" s="31" t="s">
        <v>870</v>
      </c>
      <c r="D328" s="31" t="s">
        <v>883</v>
      </c>
      <c r="E328" s="42">
        <v>996</v>
      </c>
      <c r="F328" s="31" t="s">
        <v>538</v>
      </c>
      <c r="G328" s="32"/>
      <c r="H328" s="31"/>
      <c r="I328" s="83"/>
      <c r="J328" s="83"/>
      <c r="K328" s="83"/>
      <c r="L328" s="83">
        <v>26180736</v>
      </c>
      <c r="M328" s="83">
        <v>27238409</v>
      </c>
      <c r="N328" s="83"/>
      <c r="O328" s="83">
        <v>27238409</v>
      </c>
      <c r="P328" s="31"/>
      <c r="Q328" s="31"/>
      <c r="R328" s="31" t="s">
        <v>884</v>
      </c>
      <c r="S328" s="31" t="s">
        <v>641</v>
      </c>
      <c r="T328" s="31" t="s">
        <v>642</v>
      </c>
      <c r="U328" s="35" t="s">
        <v>643</v>
      </c>
      <c r="V328" s="134"/>
      <c r="W328" s="85">
        <v>1057673</v>
      </c>
      <c r="X328" s="83">
        <v>1057673</v>
      </c>
      <c r="Y328" s="83">
        <v>0</v>
      </c>
      <c r="Z328" s="83"/>
      <c r="AA328" s="31"/>
      <c r="AB328" s="132"/>
      <c r="AC328" s="83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>
        <v>0.35</v>
      </c>
      <c r="AO328" s="31">
        <v>10525.2</v>
      </c>
      <c r="AP328" s="31">
        <v>1.08822585868115</v>
      </c>
      <c r="AQ328" s="31">
        <v>2181.6752014839599</v>
      </c>
      <c r="AR328" s="31"/>
      <c r="AS328" s="31"/>
      <c r="AT328" s="31"/>
      <c r="AU328" s="31"/>
      <c r="AV328" s="31" t="s">
        <v>88</v>
      </c>
      <c r="AW328"/>
      <c r="AY328">
        <v>26180736</v>
      </c>
      <c r="AZ328" s="83">
        <v>64036150</v>
      </c>
      <c r="BA328" t="s">
        <v>647</v>
      </c>
      <c r="BB328" s="31" t="str">
        <f>BBDD_TERRENO[[#This Row],[Comuna]]&amp;BBDD_TERRENO[[#This Row],[Identificacion Propiedad]]</f>
        <v>HualquiLos Colihues</v>
      </c>
    </row>
    <row r="329" spans="1:54" x14ac:dyDescent="0.3">
      <c r="A329" s="31" t="s">
        <v>869</v>
      </c>
      <c r="B329" s="31" t="s">
        <v>169</v>
      </c>
      <c r="C329" s="31" t="s">
        <v>870</v>
      </c>
      <c r="D329" s="31" t="s">
        <v>885</v>
      </c>
      <c r="E329" s="42">
        <v>997</v>
      </c>
      <c r="F329" s="31" t="s">
        <v>538</v>
      </c>
      <c r="G329" s="32"/>
      <c r="H329" s="31"/>
      <c r="I329" s="83"/>
      <c r="J329" s="83"/>
      <c r="K329" s="83"/>
      <c r="L329" s="83">
        <v>26214625</v>
      </c>
      <c r="M329" s="83">
        <v>27273668</v>
      </c>
      <c r="N329" s="83"/>
      <c r="O329" s="83">
        <v>27273668</v>
      </c>
      <c r="P329" s="31"/>
      <c r="Q329" s="31"/>
      <c r="R329" s="31" t="s">
        <v>886</v>
      </c>
      <c r="S329" s="31" t="s">
        <v>641</v>
      </c>
      <c r="T329" s="31" t="s">
        <v>642</v>
      </c>
      <c r="U329" s="35" t="s">
        <v>643</v>
      </c>
      <c r="V329" s="134"/>
      <c r="W329" s="85">
        <v>1059043</v>
      </c>
      <c r="X329" s="83">
        <v>1059043</v>
      </c>
      <c r="Y329" s="83">
        <v>0</v>
      </c>
      <c r="Z329" s="83"/>
      <c r="AA329" s="31"/>
      <c r="AB329" s="132"/>
      <c r="AC329" s="83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>
        <v>0.35</v>
      </c>
      <c r="AO329" s="31">
        <v>10525.2</v>
      </c>
      <c r="AP329" s="31">
        <v>1.08822585868115</v>
      </c>
      <c r="AQ329" s="31">
        <v>2181.6752014839599</v>
      </c>
      <c r="AR329" s="31"/>
      <c r="AS329" s="31"/>
      <c r="AT329" s="31"/>
      <c r="AU329" s="31"/>
      <c r="AV329" s="31" t="s">
        <v>88</v>
      </c>
      <c r="AW329"/>
      <c r="AY329">
        <v>26214625</v>
      </c>
      <c r="AZ329" s="83">
        <v>64080985</v>
      </c>
      <c r="BA329" t="s">
        <v>647</v>
      </c>
      <c r="BB329" s="31" t="str">
        <f>BBDD_TERRENO[[#This Row],[Comuna]]&amp;BBDD_TERRENO[[#This Row],[Identificacion Propiedad]]</f>
        <v>HualquiLos Colihues</v>
      </c>
    </row>
    <row r="330" spans="1:54" x14ac:dyDescent="0.3">
      <c r="A330" s="31" t="s">
        <v>869</v>
      </c>
      <c r="B330" s="31" t="s">
        <v>169</v>
      </c>
      <c r="C330" s="31" t="s">
        <v>870</v>
      </c>
      <c r="D330" s="31" t="s">
        <v>887</v>
      </c>
      <c r="E330" s="42">
        <v>998</v>
      </c>
      <c r="F330" s="31" t="s">
        <v>538</v>
      </c>
      <c r="G330" s="32"/>
      <c r="H330" s="31"/>
      <c r="I330" s="83"/>
      <c r="J330" s="83"/>
      <c r="K330" s="83"/>
      <c r="L330" s="83">
        <v>26230397</v>
      </c>
      <c r="M330" s="83">
        <v>27290077</v>
      </c>
      <c r="N330" s="83"/>
      <c r="O330" s="83">
        <v>27290077</v>
      </c>
      <c r="P330" s="31"/>
      <c r="Q330" s="31"/>
      <c r="R330" s="31" t="s">
        <v>888</v>
      </c>
      <c r="S330" s="31" t="s">
        <v>641</v>
      </c>
      <c r="T330" s="31" t="s">
        <v>642</v>
      </c>
      <c r="U330" s="35" t="s">
        <v>643</v>
      </c>
      <c r="V330" s="134"/>
      <c r="W330" s="85">
        <v>1059680</v>
      </c>
      <c r="X330" s="83">
        <v>1059680</v>
      </c>
      <c r="Y330" s="83">
        <v>0</v>
      </c>
      <c r="Z330" s="83"/>
      <c r="AA330" s="31"/>
      <c r="AB330" s="132"/>
      <c r="AC330" s="83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>
        <v>0.35</v>
      </c>
      <c r="AO330" s="31">
        <v>10525.2</v>
      </c>
      <c r="AP330" s="31">
        <v>1.08822585868115</v>
      </c>
      <c r="AQ330" s="31">
        <v>2181.6752014839599</v>
      </c>
      <c r="AR330" s="31"/>
      <c r="AS330" s="31"/>
      <c r="AT330" s="31"/>
      <c r="AU330" s="31"/>
      <c r="AV330" s="31" t="s">
        <v>88</v>
      </c>
      <c r="AW330"/>
      <c r="AY330">
        <v>26230397</v>
      </c>
      <c r="AZ330" s="83">
        <v>64116265</v>
      </c>
      <c r="BA330" t="s">
        <v>647</v>
      </c>
      <c r="BB330" s="31" t="str">
        <f>BBDD_TERRENO[[#This Row],[Comuna]]&amp;BBDD_TERRENO[[#This Row],[Identificacion Propiedad]]</f>
        <v>HualquiLos Colihues</v>
      </c>
    </row>
    <row r="331" spans="1:54" x14ac:dyDescent="0.3">
      <c r="A331" s="31" t="s">
        <v>869</v>
      </c>
      <c r="B331" s="31" t="s">
        <v>169</v>
      </c>
      <c r="C331" s="31" t="s">
        <v>870</v>
      </c>
      <c r="D331" s="31" t="s">
        <v>889</v>
      </c>
      <c r="E331" s="42">
        <v>1000</v>
      </c>
      <c r="F331" s="31" t="s">
        <v>538</v>
      </c>
      <c r="G331" s="32"/>
      <c r="H331" s="31"/>
      <c r="I331" s="83"/>
      <c r="J331" s="83"/>
      <c r="K331" s="83"/>
      <c r="L331" s="83">
        <v>26298176</v>
      </c>
      <c r="M331" s="83">
        <v>27360594</v>
      </c>
      <c r="N331" s="83"/>
      <c r="O331" s="83">
        <v>27360594</v>
      </c>
      <c r="P331" s="31"/>
      <c r="Q331" s="31"/>
      <c r="R331" s="31" t="s">
        <v>890</v>
      </c>
      <c r="S331" s="31" t="s">
        <v>641</v>
      </c>
      <c r="T331" s="31" t="s">
        <v>642</v>
      </c>
      <c r="U331" s="35" t="s">
        <v>643</v>
      </c>
      <c r="V331" s="134"/>
      <c r="W331" s="85">
        <v>1062418</v>
      </c>
      <c r="X331" s="83">
        <v>1062418</v>
      </c>
      <c r="Y331" s="83">
        <v>0</v>
      </c>
      <c r="Z331" s="83"/>
      <c r="AA331" s="31"/>
      <c r="AB331" s="132"/>
      <c r="AC331" s="83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>
        <v>0.35</v>
      </c>
      <c r="AO331" s="31">
        <v>10525.2</v>
      </c>
      <c r="AP331" s="31">
        <v>1.08822585868115</v>
      </c>
      <c r="AQ331" s="31">
        <v>2181.6752014839599</v>
      </c>
      <c r="AR331" s="31"/>
      <c r="AS331" s="31"/>
      <c r="AT331" s="31"/>
      <c r="AU331" s="31"/>
      <c r="AV331" s="31" t="s">
        <v>88</v>
      </c>
      <c r="AW331"/>
      <c r="AY331">
        <v>26298176</v>
      </c>
      <c r="AZ331" s="83">
        <v>64283478</v>
      </c>
      <c r="BA331" t="s">
        <v>647</v>
      </c>
      <c r="BB331" s="31" t="str">
        <f>BBDD_TERRENO[[#This Row],[Comuna]]&amp;BBDD_TERRENO[[#This Row],[Identificacion Propiedad]]</f>
        <v>HualquiLos Colihues</v>
      </c>
    </row>
    <row r="332" spans="1:54" x14ac:dyDescent="0.3">
      <c r="A332" s="31" t="s">
        <v>869</v>
      </c>
      <c r="B332" s="31" t="s">
        <v>169</v>
      </c>
      <c r="C332" s="31" t="s">
        <v>870</v>
      </c>
      <c r="D332" s="31" t="s">
        <v>891</v>
      </c>
      <c r="E332" s="42">
        <v>1002</v>
      </c>
      <c r="F332" s="31" t="s">
        <v>538</v>
      </c>
      <c r="G332" s="32"/>
      <c r="H332" s="31"/>
      <c r="I332" s="83"/>
      <c r="J332" s="83"/>
      <c r="K332" s="83"/>
      <c r="L332" s="83">
        <v>26347837</v>
      </c>
      <c r="M332" s="83">
        <v>27412262</v>
      </c>
      <c r="N332" s="83"/>
      <c r="O332" s="83">
        <v>27412262</v>
      </c>
      <c r="P332" s="31"/>
      <c r="Q332" s="31"/>
      <c r="R332" s="31" t="s">
        <v>892</v>
      </c>
      <c r="S332" s="31" t="s">
        <v>641</v>
      </c>
      <c r="T332" s="31" t="s">
        <v>642</v>
      </c>
      <c r="U332" s="35" t="s">
        <v>643</v>
      </c>
      <c r="V332" s="134"/>
      <c r="W332" s="85">
        <v>1064425</v>
      </c>
      <c r="X332" s="83">
        <v>1064425</v>
      </c>
      <c r="Y332" s="83">
        <v>0</v>
      </c>
      <c r="Z332" s="83"/>
      <c r="AA332" s="31"/>
      <c r="AB332" s="132"/>
      <c r="AC332" s="83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>
        <v>0.35</v>
      </c>
      <c r="AO332" s="31">
        <v>10525.2</v>
      </c>
      <c r="AP332" s="31">
        <v>1.08822585868115</v>
      </c>
      <c r="AQ332" s="31">
        <v>2181.6752014839599</v>
      </c>
      <c r="AR332" s="31"/>
      <c r="AS332" s="31"/>
      <c r="AT332" s="31"/>
      <c r="AU332" s="31"/>
      <c r="AV332" s="31" t="s">
        <v>88</v>
      </c>
      <c r="AW332"/>
      <c r="AY332">
        <v>26347837</v>
      </c>
      <c r="AZ332" s="83">
        <v>64396668</v>
      </c>
      <c r="BA332" t="s">
        <v>647</v>
      </c>
      <c r="BB332" s="31" t="str">
        <f>BBDD_TERRENO[[#This Row],[Comuna]]&amp;BBDD_TERRENO[[#This Row],[Identificacion Propiedad]]</f>
        <v>HualquiLos Colihues</v>
      </c>
    </row>
    <row r="333" spans="1:54" x14ac:dyDescent="0.3">
      <c r="A333" s="31" t="s">
        <v>869</v>
      </c>
      <c r="B333" s="31" t="s">
        <v>169</v>
      </c>
      <c r="C333" s="31" t="s">
        <v>870</v>
      </c>
      <c r="D333" s="31" t="s">
        <v>893</v>
      </c>
      <c r="E333" s="42">
        <v>1003</v>
      </c>
      <c r="F333" s="31" t="s">
        <v>538</v>
      </c>
      <c r="G333" s="32"/>
      <c r="H333" s="31"/>
      <c r="I333" s="83"/>
      <c r="J333" s="83"/>
      <c r="K333" s="83"/>
      <c r="L333" s="83">
        <v>26363609</v>
      </c>
      <c r="M333" s="83">
        <v>27428671</v>
      </c>
      <c r="N333" s="83"/>
      <c r="O333" s="83">
        <v>27428671</v>
      </c>
      <c r="P333" s="31"/>
      <c r="Q333" s="31"/>
      <c r="R333" s="31" t="s">
        <v>894</v>
      </c>
      <c r="S333" s="31" t="s">
        <v>641</v>
      </c>
      <c r="T333" s="31" t="s">
        <v>642</v>
      </c>
      <c r="U333" s="35" t="s">
        <v>643</v>
      </c>
      <c r="V333" s="134"/>
      <c r="W333" s="85">
        <v>1065062</v>
      </c>
      <c r="X333" s="83">
        <v>1065062</v>
      </c>
      <c r="Y333" s="83">
        <v>0</v>
      </c>
      <c r="Z333" s="83"/>
      <c r="AA333" s="31"/>
      <c r="AB333" s="132"/>
      <c r="AC333" s="83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>
        <v>0.35</v>
      </c>
      <c r="AO333" s="31">
        <v>10525.2</v>
      </c>
      <c r="AP333" s="31">
        <v>1.08822585868115</v>
      </c>
      <c r="AQ333" s="31">
        <v>2181.6752014839599</v>
      </c>
      <c r="AR333" s="31"/>
      <c r="AS333" s="31"/>
      <c r="AT333" s="31"/>
      <c r="AU333" s="31"/>
      <c r="AV333" s="31" t="s">
        <v>88</v>
      </c>
      <c r="AW333"/>
      <c r="AY333">
        <v>26363609</v>
      </c>
      <c r="AZ333" s="83">
        <v>64406958</v>
      </c>
      <c r="BA333" t="s">
        <v>647</v>
      </c>
      <c r="BB333" s="31" t="str">
        <f>BBDD_TERRENO[[#This Row],[Comuna]]&amp;BBDD_TERRENO[[#This Row],[Identificacion Propiedad]]</f>
        <v>HualquiLos Colihues</v>
      </c>
    </row>
    <row r="334" spans="1:54" x14ac:dyDescent="0.3">
      <c r="A334" s="31" t="s">
        <v>869</v>
      </c>
      <c r="B334" s="31" t="s">
        <v>169</v>
      </c>
      <c r="C334" s="31" t="s">
        <v>870</v>
      </c>
      <c r="D334" s="31" t="s">
        <v>895</v>
      </c>
      <c r="E334" s="42">
        <v>1004</v>
      </c>
      <c r="F334" s="31" t="s">
        <v>538</v>
      </c>
      <c r="G334" s="32"/>
      <c r="H334" s="31"/>
      <c r="I334" s="83"/>
      <c r="J334" s="83"/>
      <c r="K334" s="83"/>
      <c r="L334" s="83">
        <v>26397498</v>
      </c>
      <c r="M334" s="83">
        <v>27463929</v>
      </c>
      <c r="N334" s="83"/>
      <c r="O334" s="83">
        <v>27463929</v>
      </c>
      <c r="P334" s="31"/>
      <c r="Q334" s="31"/>
      <c r="R334" s="31" t="s">
        <v>896</v>
      </c>
      <c r="S334" s="31" t="s">
        <v>641</v>
      </c>
      <c r="T334" s="31" t="s">
        <v>642</v>
      </c>
      <c r="U334" s="35" t="s">
        <v>643</v>
      </c>
      <c r="V334" s="134"/>
      <c r="W334" s="85">
        <v>1066431</v>
      </c>
      <c r="X334" s="83">
        <v>1066431</v>
      </c>
      <c r="Y334" s="83">
        <v>0</v>
      </c>
      <c r="Z334" s="83"/>
      <c r="AA334" s="31"/>
      <c r="AB334" s="132"/>
      <c r="AC334" s="83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>
        <v>0.35</v>
      </c>
      <c r="AO334" s="31">
        <v>10525.2</v>
      </c>
      <c r="AP334" s="31">
        <v>1.08822585868115</v>
      </c>
      <c r="AQ334" s="31">
        <v>2181.6752014839599</v>
      </c>
      <c r="AR334" s="31"/>
      <c r="AS334" s="31"/>
      <c r="AT334" s="31"/>
      <c r="AU334" s="31"/>
      <c r="AV334" s="31" t="s">
        <v>88</v>
      </c>
      <c r="AW334"/>
      <c r="AY334">
        <v>26397498</v>
      </c>
      <c r="AZ334" s="83">
        <v>64493688</v>
      </c>
      <c r="BA334" t="s">
        <v>647</v>
      </c>
      <c r="BB334" s="31" t="str">
        <f>BBDD_TERRENO[[#This Row],[Comuna]]&amp;BBDD_TERRENO[[#This Row],[Identificacion Propiedad]]</f>
        <v>HualquiLos Colihues</v>
      </c>
    </row>
    <row r="335" spans="1:54" x14ac:dyDescent="0.3">
      <c r="A335" s="31" t="s">
        <v>869</v>
      </c>
      <c r="B335" s="31" t="s">
        <v>169</v>
      </c>
      <c r="C335" s="31" t="s">
        <v>870</v>
      </c>
      <c r="D335" s="31" t="s">
        <v>897</v>
      </c>
      <c r="E335" s="42">
        <v>1010</v>
      </c>
      <c r="F335" s="31" t="s">
        <v>538</v>
      </c>
      <c r="G335" s="32"/>
      <c r="H335" s="31"/>
      <c r="I335" s="83"/>
      <c r="J335" s="83"/>
      <c r="K335" s="83"/>
      <c r="L335" s="83">
        <v>26564600</v>
      </c>
      <c r="M335" s="83">
        <v>27637781</v>
      </c>
      <c r="N335" s="83"/>
      <c r="O335" s="83">
        <v>27637781</v>
      </c>
      <c r="P335" s="31"/>
      <c r="Q335" s="31"/>
      <c r="R335" s="31" t="s">
        <v>898</v>
      </c>
      <c r="S335" s="31" t="s">
        <v>641</v>
      </c>
      <c r="T335" s="31" t="s">
        <v>642</v>
      </c>
      <c r="U335" s="35" t="s">
        <v>643</v>
      </c>
      <c r="V335" s="134"/>
      <c r="W335" s="85">
        <v>1073181</v>
      </c>
      <c r="X335" s="83">
        <v>1073181</v>
      </c>
      <c r="Y335" s="83">
        <v>0</v>
      </c>
      <c r="Z335" s="83"/>
      <c r="AA335" s="31"/>
      <c r="AB335" s="132"/>
      <c r="AC335" s="83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>
        <v>0.35</v>
      </c>
      <c r="AO335" s="31">
        <v>10525.2</v>
      </c>
      <c r="AP335" s="31">
        <v>1.08822585868115</v>
      </c>
      <c r="AQ335" s="31">
        <v>2181.6752014839599</v>
      </c>
      <c r="AR335" s="31"/>
      <c r="AS335" s="31"/>
      <c r="AT335" s="31"/>
      <c r="AU335" s="31"/>
      <c r="AV335" s="31" t="s">
        <v>88</v>
      </c>
      <c r="AW335"/>
      <c r="AY335">
        <v>26564600</v>
      </c>
      <c r="AZ335" s="83">
        <v>64865966</v>
      </c>
      <c r="BA335" t="s">
        <v>647</v>
      </c>
      <c r="BB335" s="31" t="str">
        <f>BBDD_TERRENO[[#This Row],[Comuna]]&amp;BBDD_TERRENO[[#This Row],[Identificacion Propiedad]]</f>
        <v>HualquiLos Colihues</v>
      </c>
    </row>
    <row r="336" spans="1:54" x14ac:dyDescent="0.3">
      <c r="A336" s="31" t="s">
        <v>869</v>
      </c>
      <c r="B336" s="31" t="s">
        <v>169</v>
      </c>
      <c r="C336" s="31" t="s">
        <v>870</v>
      </c>
      <c r="D336" s="31" t="s">
        <v>899</v>
      </c>
      <c r="E336" s="42">
        <v>1010</v>
      </c>
      <c r="F336" s="31" t="s">
        <v>538</v>
      </c>
      <c r="G336" s="32"/>
      <c r="H336" s="31"/>
      <c r="I336" s="83"/>
      <c r="J336" s="83"/>
      <c r="K336" s="83"/>
      <c r="L336" s="83">
        <v>26546483</v>
      </c>
      <c r="M336" s="83">
        <v>27618932</v>
      </c>
      <c r="N336" s="83"/>
      <c r="O336" s="83">
        <v>27618932</v>
      </c>
      <c r="P336" s="31"/>
      <c r="Q336" s="31"/>
      <c r="R336" s="31" t="s">
        <v>900</v>
      </c>
      <c r="S336" s="31" t="s">
        <v>641</v>
      </c>
      <c r="T336" s="31" t="s">
        <v>642</v>
      </c>
      <c r="U336" s="35" t="s">
        <v>643</v>
      </c>
      <c r="V336" s="134"/>
      <c r="W336" s="85">
        <v>1072449</v>
      </c>
      <c r="X336" s="83">
        <v>1072449</v>
      </c>
      <c r="Y336" s="83">
        <v>0</v>
      </c>
      <c r="Z336" s="83"/>
      <c r="AA336" s="31"/>
      <c r="AB336" s="132"/>
      <c r="AC336" s="83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>
        <v>0.35</v>
      </c>
      <c r="AO336" s="31">
        <v>10525.2</v>
      </c>
      <c r="AP336" s="31">
        <v>1.08822585868115</v>
      </c>
      <c r="AQ336" s="31">
        <v>2181.6752014839599</v>
      </c>
      <c r="AR336" s="31"/>
      <c r="AS336" s="31"/>
      <c r="AT336" s="31"/>
      <c r="AU336" s="31"/>
      <c r="AV336" s="31" t="s">
        <v>88</v>
      </c>
      <c r="AW336"/>
      <c r="AY336">
        <v>26546483</v>
      </c>
      <c r="AZ336" s="83">
        <v>64820028</v>
      </c>
      <c r="BA336" t="s">
        <v>647</v>
      </c>
      <c r="BB336" s="31" t="str">
        <f>BBDD_TERRENO[[#This Row],[Comuna]]&amp;BBDD_TERRENO[[#This Row],[Identificacion Propiedad]]</f>
        <v>HualquiLos Colihues</v>
      </c>
    </row>
    <row r="337" spans="1:54" x14ac:dyDescent="0.3">
      <c r="A337" s="31" t="s">
        <v>70</v>
      </c>
      <c r="B337" s="31" t="s">
        <v>169</v>
      </c>
      <c r="C337" s="31" t="s">
        <v>901</v>
      </c>
      <c r="D337" s="31" t="s">
        <v>902</v>
      </c>
      <c r="E337" s="42">
        <v>1448.73</v>
      </c>
      <c r="F337" s="31" t="s">
        <v>538</v>
      </c>
      <c r="G337" s="32"/>
      <c r="H337" s="31"/>
      <c r="I337" s="83"/>
      <c r="J337" s="83"/>
      <c r="K337" s="83">
        <v>46221791</v>
      </c>
      <c r="L337" s="83">
        <v>13708672</v>
      </c>
      <c r="M337" s="83">
        <v>62351619</v>
      </c>
      <c r="N337" s="83">
        <v>48089106</v>
      </c>
      <c r="O337" s="83">
        <v>14262513</v>
      </c>
      <c r="P337" s="31" t="s">
        <v>903</v>
      </c>
      <c r="Q337" s="31" t="s">
        <v>904</v>
      </c>
      <c r="R337" s="31" t="s">
        <v>903</v>
      </c>
      <c r="S337" s="31" t="s">
        <v>641</v>
      </c>
      <c r="T337" s="31" t="s">
        <v>642</v>
      </c>
      <c r="U337" s="35" t="s">
        <v>782</v>
      </c>
      <c r="V337" s="134"/>
      <c r="W337" s="85">
        <v>2421156</v>
      </c>
      <c r="X337" s="83">
        <v>553841</v>
      </c>
      <c r="Y337" s="83">
        <v>1867315</v>
      </c>
      <c r="Z337" s="83"/>
      <c r="AA337" s="31"/>
      <c r="AB337" s="132"/>
      <c r="AC337" s="83" t="s">
        <v>905</v>
      </c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>
        <v>0.3</v>
      </c>
      <c r="AO337" s="31">
        <v>18712.5</v>
      </c>
      <c r="AP337" s="31">
        <v>0.17016949659318639</v>
      </c>
      <c r="AQ337" s="31">
        <v>10614.32235</v>
      </c>
      <c r="AR337" s="31"/>
      <c r="AS337" s="31">
        <v>45622</v>
      </c>
      <c r="AT337" s="31" t="s">
        <v>645</v>
      </c>
      <c r="AU337" s="31">
        <v>12503.662961250177</v>
      </c>
      <c r="AV337" s="31" t="s">
        <v>645</v>
      </c>
      <c r="AW337"/>
      <c r="AX337" s="31" t="s">
        <v>109</v>
      </c>
      <c r="AY337">
        <v>59930463</v>
      </c>
      <c r="AZ337" s="83">
        <v>418876169</v>
      </c>
      <c r="BA337" t="s">
        <v>647</v>
      </c>
      <c r="BB337" s="31" t="str">
        <f>BBDD_TERRENO[[#This Row],[Comuna]]&amp;BBDD_TERRENO[[#This Row],[Identificacion Propiedad]]</f>
        <v>HualquiLote Z4</v>
      </c>
    </row>
    <row r="338" spans="1:54" x14ac:dyDescent="0.3">
      <c r="A338" s="31" t="s">
        <v>906</v>
      </c>
      <c r="B338" s="31" t="s">
        <v>169</v>
      </c>
      <c r="C338" s="31" t="s">
        <v>907</v>
      </c>
      <c r="D338" s="31" t="s">
        <v>852</v>
      </c>
      <c r="E338" s="42">
        <v>20015</v>
      </c>
      <c r="F338" s="31" t="s">
        <v>538</v>
      </c>
      <c r="G338" s="32"/>
      <c r="H338" s="31"/>
      <c r="I338" s="83"/>
      <c r="J338" s="83"/>
      <c r="K338" s="83">
        <v>4418038</v>
      </c>
      <c r="L338" s="83">
        <v>0</v>
      </c>
      <c r="M338" s="83">
        <v>4596524</v>
      </c>
      <c r="N338" s="83">
        <v>4596524</v>
      </c>
      <c r="O338" s="83">
        <v>0</v>
      </c>
      <c r="P338" s="31" t="s">
        <v>908</v>
      </c>
      <c r="Q338" s="31" t="s">
        <v>909</v>
      </c>
      <c r="R338" s="31"/>
      <c r="S338" s="31"/>
      <c r="T338" s="31"/>
      <c r="U338" s="35"/>
      <c r="V338" s="134"/>
      <c r="W338" s="85">
        <v>178486</v>
      </c>
      <c r="X338" s="83">
        <v>0</v>
      </c>
      <c r="Y338" s="83">
        <v>178486</v>
      </c>
      <c r="Z338" s="83"/>
      <c r="AA338" s="31"/>
      <c r="AB338" s="132"/>
      <c r="AC338" s="83" t="s">
        <v>910</v>
      </c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>
        <v>0.5</v>
      </c>
      <c r="AO338" s="31">
        <v>10007.5</v>
      </c>
      <c r="AP338" s="31">
        <v>0.1</v>
      </c>
      <c r="AQ338" s="31">
        <v>2001.5</v>
      </c>
      <c r="AR338" s="31"/>
      <c r="AS338" s="31"/>
      <c r="AT338" s="31"/>
      <c r="AU338" s="31"/>
      <c r="AV338" s="31" t="s">
        <v>88</v>
      </c>
      <c r="AW338"/>
      <c r="AY338">
        <v>4418038</v>
      </c>
      <c r="AZ338" s="83">
        <v>289251206</v>
      </c>
      <c r="BA338" t="s">
        <v>647</v>
      </c>
      <c r="BB338" s="31" t="str">
        <f>BBDD_TERRENO[[#This Row],[Comuna]]&amp;BBDD_TERRENO[[#This Row],[Identificacion Propiedad]]</f>
        <v>HualquiLOTE 5</v>
      </c>
    </row>
    <row r="339" spans="1:54" x14ac:dyDescent="0.3">
      <c r="A339" s="31" t="s">
        <v>70</v>
      </c>
      <c r="B339" s="31" t="s">
        <v>71</v>
      </c>
      <c r="C339" s="31" t="s">
        <v>911</v>
      </c>
      <c r="D339" s="31" t="s">
        <v>638</v>
      </c>
      <c r="E339" s="42">
        <v>5000</v>
      </c>
      <c r="F339" s="31" t="s">
        <v>538</v>
      </c>
      <c r="G339" s="32"/>
      <c r="H339" s="31"/>
      <c r="I339" s="83"/>
      <c r="J339" s="83"/>
      <c r="K339" s="83">
        <v>0</v>
      </c>
      <c r="L339" s="83">
        <v>13515423</v>
      </c>
      <c r="M339" s="83">
        <v>14061432</v>
      </c>
      <c r="N339" s="83">
        <v>0</v>
      </c>
      <c r="O339" s="83">
        <v>14061432</v>
      </c>
      <c r="P339" s="31" t="s">
        <v>639</v>
      </c>
      <c r="Q339" s="31" t="s">
        <v>912</v>
      </c>
      <c r="R339" s="31" t="s">
        <v>639</v>
      </c>
      <c r="S339" s="31" t="s">
        <v>641</v>
      </c>
      <c r="T339" s="31" t="s">
        <v>642</v>
      </c>
      <c r="U339" s="35" t="s">
        <v>643</v>
      </c>
      <c r="V339" s="134"/>
      <c r="W339" s="85">
        <v>546009</v>
      </c>
      <c r="X339" s="83">
        <v>546009</v>
      </c>
      <c r="Y339" s="83">
        <v>0</v>
      </c>
      <c r="Z339" s="83"/>
      <c r="AA339" s="31"/>
      <c r="AB339" s="132"/>
      <c r="AC339" s="83" t="s">
        <v>913</v>
      </c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>
        <v>0.65</v>
      </c>
      <c r="AO339" s="31">
        <v>3250</v>
      </c>
      <c r="AP339" s="31">
        <v>0.3339765359742346</v>
      </c>
      <c r="AQ339" s="31">
        <v>1669.882679871173</v>
      </c>
      <c r="AR339" s="31"/>
      <c r="AS339" s="31">
        <v>43865</v>
      </c>
      <c r="AT339" s="31" t="s">
        <v>645</v>
      </c>
      <c r="AU339" s="31">
        <v>3250</v>
      </c>
      <c r="AV339" s="31" t="s">
        <v>645</v>
      </c>
      <c r="AW339"/>
      <c r="AX339" s="31" t="s">
        <v>646</v>
      </c>
      <c r="AY339">
        <v>13515423</v>
      </c>
      <c r="AZ339" s="83">
        <v>20646696</v>
      </c>
      <c r="BA339" t="s">
        <v>647</v>
      </c>
      <c r="BB339" s="31" t="str">
        <f>BBDD_TERRENO[[#This Row],[Comuna]]&amp;BBDD_TERRENO[[#This Row],[Identificacion Propiedad]]</f>
        <v>Puerto MonttLote 18 (Cardenas - Alberto Cardenas)</v>
      </c>
    </row>
    <row r="340" spans="1:54" x14ac:dyDescent="0.3">
      <c r="A340" s="31" t="s">
        <v>70</v>
      </c>
      <c r="B340" s="31" t="s">
        <v>71</v>
      </c>
      <c r="C340" s="31" t="s">
        <v>914</v>
      </c>
      <c r="D340" s="31" t="s">
        <v>638</v>
      </c>
      <c r="E340" s="42">
        <v>5000</v>
      </c>
      <c r="F340" s="31" t="s">
        <v>538</v>
      </c>
      <c r="G340" s="32"/>
      <c r="H340" s="31"/>
      <c r="I340" s="83"/>
      <c r="J340" s="83"/>
      <c r="K340" s="83">
        <v>0</v>
      </c>
      <c r="L340" s="83">
        <v>13515423</v>
      </c>
      <c r="M340" s="83">
        <v>14061432</v>
      </c>
      <c r="N340" s="83">
        <v>0</v>
      </c>
      <c r="O340" s="83">
        <v>14061432</v>
      </c>
      <c r="P340" s="31" t="s">
        <v>639</v>
      </c>
      <c r="Q340" s="31" t="s">
        <v>915</v>
      </c>
      <c r="R340" s="31" t="s">
        <v>639</v>
      </c>
      <c r="S340" s="31" t="s">
        <v>641</v>
      </c>
      <c r="T340" s="31" t="s">
        <v>642</v>
      </c>
      <c r="U340" s="35" t="s">
        <v>643</v>
      </c>
      <c r="V340" s="134"/>
      <c r="W340" s="85">
        <v>546009</v>
      </c>
      <c r="X340" s="83">
        <v>546009</v>
      </c>
      <c r="Y340" s="83">
        <v>0</v>
      </c>
      <c r="Z340" s="83"/>
      <c r="AA340" s="31"/>
      <c r="AB340" s="132"/>
      <c r="AC340" s="83" t="s">
        <v>916</v>
      </c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>
        <v>0.65</v>
      </c>
      <c r="AO340" s="31">
        <v>3250</v>
      </c>
      <c r="AP340" s="31">
        <v>0.3339765359742346</v>
      </c>
      <c r="AQ340" s="31">
        <v>1669.882679871173</v>
      </c>
      <c r="AR340" s="31"/>
      <c r="AS340" s="31">
        <v>43865</v>
      </c>
      <c r="AT340" s="31" t="s">
        <v>645</v>
      </c>
      <c r="AU340" s="31">
        <v>3250</v>
      </c>
      <c r="AV340" s="31" t="s">
        <v>645</v>
      </c>
      <c r="AW340"/>
      <c r="AX340" s="31" t="s">
        <v>646</v>
      </c>
      <c r="AY340">
        <v>13515423</v>
      </c>
      <c r="AZ340" s="83">
        <v>20646696</v>
      </c>
      <c r="BA340" t="s">
        <v>647</v>
      </c>
      <c r="BB340" s="31" t="str">
        <f>BBDD_TERRENO[[#This Row],[Comuna]]&amp;BBDD_TERRENO[[#This Row],[Identificacion Propiedad]]</f>
        <v>Puerto MonttLote 20 (Cardenas - Alberto Cardenas)</v>
      </c>
    </row>
    <row r="341" spans="1:54" x14ac:dyDescent="0.3">
      <c r="A341" s="31" t="s">
        <v>687</v>
      </c>
      <c r="B341" s="31" t="s">
        <v>80</v>
      </c>
      <c r="C341" s="31" t="s">
        <v>917</v>
      </c>
      <c r="D341" s="31" t="s">
        <v>852</v>
      </c>
      <c r="E341" s="42">
        <v>78440</v>
      </c>
      <c r="F341" s="31" t="s">
        <v>538</v>
      </c>
      <c r="G341" s="32"/>
      <c r="H341" s="31"/>
      <c r="I341" s="83"/>
      <c r="J341" s="83"/>
      <c r="K341" s="83">
        <v>0</v>
      </c>
      <c r="L341" s="83">
        <v>1288286245</v>
      </c>
      <c r="M341" s="83">
        <v>1340331634</v>
      </c>
      <c r="N341" s="83">
        <v>0</v>
      </c>
      <c r="O341" s="83">
        <v>1340331634</v>
      </c>
      <c r="P341" s="31"/>
      <c r="Q341" s="31" t="s">
        <v>918</v>
      </c>
      <c r="R341" s="31"/>
      <c r="S341" s="31" t="s">
        <v>641</v>
      </c>
      <c r="T341" s="31"/>
      <c r="U341" s="35" t="s">
        <v>643</v>
      </c>
      <c r="V341" s="134"/>
      <c r="W341" s="85">
        <v>52045389</v>
      </c>
      <c r="X341" s="83">
        <v>52045389</v>
      </c>
      <c r="Y341" s="83">
        <v>0</v>
      </c>
      <c r="Z341" s="83"/>
      <c r="AA341" s="31"/>
      <c r="AB341" s="132"/>
      <c r="AC341" s="83" t="s">
        <v>919</v>
      </c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41">
        <v>0.69</v>
      </c>
      <c r="AO341" s="41">
        <v>54509.999999999993</v>
      </c>
      <c r="AP341" s="41">
        <v>0.68200000000000005</v>
      </c>
      <c r="AQ341" s="41">
        <v>53495.999999999985</v>
      </c>
      <c r="AR341" s="41"/>
      <c r="AS341" s="32">
        <v>44634</v>
      </c>
      <c r="AT341" s="31" t="s">
        <v>692</v>
      </c>
      <c r="AU341" s="41">
        <v>53495.999999999985</v>
      </c>
      <c r="AV341" s="33" t="s">
        <v>88</v>
      </c>
      <c r="AY341" s="159">
        <v>1288286245</v>
      </c>
      <c r="AZ341" s="161" t="s">
        <v>920</v>
      </c>
      <c r="BA341" t="s">
        <v>647</v>
      </c>
      <c r="BB341" s="31" t="str">
        <f>BBDD_TERRENO[[#This Row],[Comuna]]&amp;BBDD_TERRENO[[#This Row],[Identificacion Propiedad]]</f>
        <v>San Pedro de la PazLote E Las Islas</v>
      </c>
    </row>
    <row r="342" spans="1:54" x14ac:dyDescent="0.3">
      <c r="A342" s="31" t="s">
        <v>496</v>
      </c>
      <c r="B342" s="31" t="s">
        <v>80</v>
      </c>
      <c r="C342" s="31" t="s">
        <v>921</v>
      </c>
      <c r="D342" s="31" t="s">
        <v>922</v>
      </c>
      <c r="E342" s="42">
        <v>57098.05</v>
      </c>
      <c r="F342" s="31" t="s">
        <v>538</v>
      </c>
      <c r="G342" s="32"/>
      <c r="H342" s="31"/>
      <c r="I342" s="83"/>
      <c r="J342" s="83"/>
      <c r="K342" s="83">
        <v>402912477</v>
      </c>
      <c r="L342" s="83">
        <v>2961406709</v>
      </c>
      <c r="M342" s="83">
        <v>3434968812</v>
      </c>
      <c r="N342" s="83">
        <v>411373510</v>
      </c>
      <c r="O342" s="83">
        <v>3023595302</v>
      </c>
      <c r="P342" s="31"/>
      <c r="Q342" s="31" t="s">
        <v>923</v>
      </c>
      <c r="R342" s="31" t="s">
        <v>923</v>
      </c>
      <c r="S342" s="31" t="s">
        <v>641</v>
      </c>
      <c r="T342" s="31" t="s">
        <v>642</v>
      </c>
      <c r="U342" s="35" t="s">
        <v>643</v>
      </c>
      <c r="V342" s="134"/>
      <c r="W342" s="85">
        <v>70649626</v>
      </c>
      <c r="X342" s="83">
        <v>62188593</v>
      </c>
      <c r="Y342" s="83">
        <v>8461033</v>
      </c>
      <c r="Z342" s="83"/>
      <c r="AA342" s="31"/>
      <c r="AB342" s="132"/>
      <c r="AC342" s="83" t="s">
        <v>924</v>
      </c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41">
        <v>13</v>
      </c>
      <c r="AO342" s="41">
        <v>742268.79610000004</v>
      </c>
      <c r="AP342" s="41">
        <v>3.074873840187808</v>
      </c>
      <c r="AQ342" s="41">
        <v>175567.91565504522</v>
      </c>
      <c r="AR342" s="41"/>
      <c r="AS342" s="32">
        <v>45493</v>
      </c>
      <c r="AT342" s="31" t="s">
        <v>154</v>
      </c>
      <c r="AU342" s="41">
        <v>183903</v>
      </c>
      <c r="AV342" s="33" t="s">
        <v>154</v>
      </c>
      <c r="AX342" s="31" t="s">
        <v>646</v>
      </c>
      <c r="AY342" s="159">
        <v>3364319186</v>
      </c>
      <c r="AZ342" s="161">
        <v>4142049275</v>
      </c>
      <c r="BA342" t="s">
        <v>647</v>
      </c>
      <c r="BB342" s="31" t="str">
        <f>BBDD_TERRENO[[#This Row],[Comuna]]&amp;BBDD_TERRENO[[#This Row],[Identificacion Propiedad]]</f>
        <v>San Pedro de la PazLotes ex-FEPASA + A-4, A-5 ex Norske</v>
      </c>
    </row>
    <row r="343" spans="1:54" x14ac:dyDescent="0.3">
      <c r="A343" s="31" t="s">
        <v>687</v>
      </c>
      <c r="B343" s="31" t="s">
        <v>80</v>
      </c>
      <c r="C343" s="31" t="s">
        <v>925</v>
      </c>
      <c r="D343" s="31" t="s">
        <v>926</v>
      </c>
      <c r="E343" s="42">
        <v>3460</v>
      </c>
      <c r="F343" s="31" t="s">
        <v>538</v>
      </c>
      <c r="G343" s="32"/>
      <c r="H343" s="31"/>
      <c r="I343" s="83"/>
      <c r="J343" s="83"/>
      <c r="K343" s="83">
        <v>9665712</v>
      </c>
      <c r="L343" s="83">
        <v>65503787</v>
      </c>
      <c r="M343" s="83">
        <v>76748034</v>
      </c>
      <c r="N343" s="83">
        <v>9868688</v>
      </c>
      <c r="O343" s="83">
        <v>66879346</v>
      </c>
      <c r="P343" s="31"/>
      <c r="Q343" s="31" t="s">
        <v>927</v>
      </c>
      <c r="R343" s="31" t="s">
        <v>927</v>
      </c>
      <c r="S343" s="31" t="s">
        <v>641</v>
      </c>
      <c r="T343" s="31" t="s">
        <v>642</v>
      </c>
      <c r="U343" s="35" t="s">
        <v>643</v>
      </c>
      <c r="V343" s="134"/>
      <c r="W343" s="85">
        <v>1578535</v>
      </c>
      <c r="X343" s="83">
        <v>1375559</v>
      </c>
      <c r="Y343" s="83">
        <v>202976</v>
      </c>
      <c r="Z343" s="83"/>
      <c r="AA343" s="31"/>
      <c r="AB343" s="132"/>
      <c r="AC343" s="83" t="s">
        <v>928</v>
      </c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41">
        <v>5</v>
      </c>
      <c r="AO343" s="41">
        <v>20000</v>
      </c>
      <c r="AP343" s="41">
        <v>5</v>
      </c>
      <c r="AQ343" s="41">
        <v>17300</v>
      </c>
      <c r="AR343" s="41"/>
      <c r="AS343" s="32">
        <v>44634</v>
      </c>
      <c r="AT343" s="31" t="s">
        <v>692</v>
      </c>
      <c r="AU343" s="41">
        <v>17300</v>
      </c>
      <c r="AV343" s="33" t="s">
        <v>88</v>
      </c>
      <c r="AY343" s="159">
        <v>75169499</v>
      </c>
      <c r="AZ343" s="161">
        <v>43268631</v>
      </c>
      <c r="BA343" t="s">
        <v>647</v>
      </c>
      <c r="BB343" s="31" t="str">
        <f>BBDD_TERRENO[[#This Row],[Comuna]]&amp;BBDD_TERRENO[[#This Row],[Identificacion Propiedad]]</f>
        <v>San Pedro de la PazRetazo las islas Lote D</v>
      </c>
    </row>
    <row r="344" spans="1:54" x14ac:dyDescent="0.3">
      <c r="A344" s="31" t="s">
        <v>79</v>
      </c>
      <c r="B344" s="31" t="s">
        <v>80</v>
      </c>
      <c r="C344" s="31" t="s">
        <v>929</v>
      </c>
      <c r="D344" s="31" t="s">
        <v>930</v>
      </c>
      <c r="E344" s="42">
        <v>1185</v>
      </c>
      <c r="F344" s="31" t="s">
        <v>538</v>
      </c>
      <c r="G344" s="32"/>
      <c r="H344" s="31"/>
      <c r="I344" s="83"/>
      <c r="J344" s="83"/>
      <c r="K344" s="83">
        <v>36711825</v>
      </c>
      <c r="L344" s="83">
        <v>106391839</v>
      </c>
      <c r="M344" s="83">
        <v>148884899</v>
      </c>
      <c r="N344" s="83">
        <v>38194945</v>
      </c>
      <c r="O344" s="83">
        <v>110689954</v>
      </c>
      <c r="P344" s="31"/>
      <c r="Q344" s="31"/>
      <c r="R344" s="31" t="s">
        <v>931</v>
      </c>
      <c r="S344" s="31" t="s">
        <v>641</v>
      </c>
      <c r="T344" s="31" t="s">
        <v>642</v>
      </c>
      <c r="U344" s="35" t="s">
        <v>643</v>
      </c>
      <c r="V344" s="134"/>
      <c r="W344" s="85">
        <v>5781235</v>
      </c>
      <c r="X344" s="83">
        <v>4298115</v>
      </c>
      <c r="Y344" s="83">
        <v>1483120</v>
      </c>
      <c r="Z344" s="83"/>
      <c r="AA344" s="31"/>
      <c r="AB344" s="132"/>
      <c r="AC344" s="83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41"/>
      <c r="AO344" s="41"/>
      <c r="AP344" s="41"/>
      <c r="AQ344" s="41"/>
      <c r="AR344" s="41"/>
      <c r="AS344" s="32"/>
      <c r="AT344" s="31"/>
      <c r="AU344" s="41"/>
      <c r="AV344" s="33" t="s">
        <v>88</v>
      </c>
      <c r="AY344" s="159">
        <v>143103664</v>
      </c>
      <c r="AZ344" s="161" t="s">
        <v>682</v>
      </c>
      <c r="BA344" t="s">
        <v>647</v>
      </c>
      <c r="BB344" s="31" t="str">
        <f>BBDD_TERRENO[[#This Row],[Comuna]]&amp;BBDD_TERRENO[[#This Row],[Identificacion Propiedad]]</f>
        <v>San Pedro de la PazRotonda (Area verde Olas A2)</v>
      </c>
    </row>
    <row r="345" spans="1:54" x14ac:dyDescent="0.3">
      <c r="A345" s="31" t="s">
        <v>70</v>
      </c>
      <c r="B345" s="31" t="s">
        <v>169</v>
      </c>
      <c r="C345" s="31" t="s">
        <v>932</v>
      </c>
      <c r="D345" s="31" t="s">
        <v>933</v>
      </c>
      <c r="E345" s="42">
        <v>33442</v>
      </c>
      <c r="F345" s="31" t="s">
        <v>538</v>
      </c>
      <c r="G345" s="32"/>
      <c r="H345" s="31"/>
      <c r="I345" s="83"/>
      <c r="J345" s="83"/>
      <c r="K345" s="83">
        <v>46221791</v>
      </c>
      <c r="L345" s="83">
        <v>661074210</v>
      </c>
      <c r="M345" s="83">
        <v>735870345</v>
      </c>
      <c r="N345" s="83">
        <v>48089106</v>
      </c>
      <c r="O345" s="83">
        <v>687781239</v>
      </c>
      <c r="P345" s="31" t="s">
        <v>934</v>
      </c>
      <c r="Q345" s="31" t="s">
        <v>935</v>
      </c>
      <c r="R345" s="31" t="s">
        <v>934</v>
      </c>
      <c r="S345" s="31" t="s">
        <v>641</v>
      </c>
      <c r="T345" s="31" t="s">
        <v>642</v>
      </c>
      <c r="U345" s="35" t="s">
        <v>680</v>
      </c>
      <c r="V345" s="134"/>
      <c r="W345" s="85">
        <v>28574344</v>
      </c>
      <c r="X345" s="83">
        <v>26707029</v>
      </c>
      <c r="Y345" s="83">
        <v>1867315</v>
      </c>
      <c r="Z345" s="83">
        <v>33442</v>
      </c>
      <c r="AA345" s="31" t="s">
        <v>936</v>
      </c>
      <c r="AB345" s="132">
        <v>37487</v>
      </c>
      <c r="AC345" s="83" t="s">
        <v>937</v>
      </c>
      <c r="AD345" s="31"/>
      <c r="AE345" s="31" t="s">
        <v>177</v>
      </c>
      <c r="AF345" s="31"/>
      <c r="AG345" s="31"/>
      <c r="AH345" s="31"/>
      <c r="AI345" s="31"/>
      <c r="AJ345" s="31"/>
      <c r="AK345" s="31"/>
      <c r="AL345" s="31"/>
      <c r="AM345" s="31"/>
      <c r="AN345" s="31">
        <v>0.2</v>
      </c>
      <c r="AO345" s="31">
        <v>6688.4012000000002</v>
      </c>
      <c r="AP345" s="31">
        <v>7.2999999999999995E-2</v>
      </c>
      <c r="AQ345" s="31">
        <v>2451.4251171747883</v>
      </c>
      <c r="AR345" s="31"/>
      <c r="AS345" s="31">
        <v>45622</v>
      </c>
      <c r="AT345" s="31" t="s">
        <v>645</v>
      </c>
      <c r="AU345" s="31">
        <v>3720.9473415962161</v>
      </c>
      <c r="AV345" s="31" t="s">
        <v>645</v>
      </c>
      <c r="AW345"/>
      <c r="AY345">
        <v>707296001</v>
      </c>
      <c r="AZ345" s="83">
        <v>163879651</v>
      </c>
      <c r="BA345" t="s">
        <v>647</v>
      </c>
      <c r="BB345" s="31" t="str">
        <f>BBDD_TERRENO[[#This Row],[Comuna]]&amp;BBDD_TERRENO[[#This Row],[Identificacion Propiedad]]</f>
        <v>HualquiLote 21 Llepinhue</v>
      </c>
    </row>
    <row r="346" spans="1:54" x14ac:dyDescent="0.3">
      <c r="A346" s="31" t="s">
        <v>70</v>
      </c>
      <c r="B346" s="31" t="s">
        <v>169</v>
      </c>
      <c r="C346" s="31" t="s">
        <v>938</v>
      </c>
      <c r="D346" s="31" t="s">
        <v>933</v>
      </c>
      <c r="E346" s="42">
        <v>34168.120000000003</v>
      </c>
      <c r="F346" s="31" t="s">
        <v>538</v>
      </c>
      <c r="G346" s="32"/>
      <c r="H346" s="31"/>
      <c r="I346" s="83"/>
      <c r="J346" s="83"/>
      <c r="K346" s="83">
        <v>46221791</v>
      </c>
      <c r="L346" s="83">
        <v>661074210</v>
      </c>
      <c r="M346" s="83">
        <v>735870345</v>
      </c>
      <c r="N346" s="83">
        <v>48089106</v>
      </c>
      <c r="O346" s="83">
        <v>687781239</v>
      </c>
      <c r="P346" s="31" t="s">
        <v>934</v>
      </c>
      <c r="Q346" s="31" t="s">
        <v>939</v>
      </c>
      <c r="R346" s="31" t="s">
        <v>934</v>
      </c>
      <c r="S346" s="31" t="s">
        <v>641</v>
      </c>
      <c r="T346" s="31" t="s">
        <v>642</v>
      </c>
      <c r="U346" s="35" t="s">
        <v>680</v>
      </c>
      <c r="V346" s="134"/>
      <c r="W346" s="85">
        <v>28574344</v>
      </c>
      <c r="X346" s="83">
        <v>26707029</v>
      </c>
      <c r="Y346" s="83">
        <v>1867315</v>
      </c>
      <c r="Z346" s="83">
        <v>34168.120000000003</v>
      </c>
      <c r="AA346" s="31" t="s">
        <v>936</v>
      </c>
      <c r="AB346" s="132">
        <v>37487</v>
      </c>
      <c r="AC346" s="83" t="s">
        <v>940</v>
      </c>
      <c r="AD346" s="31"/>
      <c r="AE346" s="31" t="s">
        <v>177</v>
      </c>
      <c r="AF346" s="31"/>
      <c r="AG346" s="31"/>
      <c r="AH346" s="31"/>
      <c r="AI346" s="31"/>
      <c r="AJ346" s="31"/>
      <c r="AK346" s="31"/>
      <c r="AL346" s="31"/>
      <c r="AM346" s="31"/>
      <c r="AN346" s="31">
        <v>0.2</v>
      </c>
      <c r="AO346" s="31">
        <v>6833.6240000000007</v>
      </c>
      <c r="AP346" s="31">
        <v>8.9999999999999993E-3</v>
      </c>
      <c r="AQ346" s="31">
        <v>313.08155752736917</v>
      </c>
      <c r="AR346" s="31"/>
      <c r="AS346" s="31">
        <v>45622</v>
      </c>
      <c r="AT346" s="31" t="s">
        <v>645</v>
      </c>
      <c r="AU346" s="31">
        <v>313.08155752736917</v>
      </c>
      <c r="AV346" s="31" t="s">
        <v>645</v>
      </c>
      <c r="AW346"/>
      <c r="AY346">
        <v>707296001</v>
      </c>
      <c r="AZ346" s="83">
        <v>167513047</v>
      </c>
      <c r="BA346" t="s">
        <v>647</v>
      </c>
      <c r="BB346" s="31" t="str">
        <f>BBDD_TERRENO[[#This Row],[Comuna]]&amp;BBDD_TERRENO[[#This Row],[Identificacion Propiedad]]</f>
        <v>HualquiLote 01 Llepinhue</v>
      </c>
    </row>
    <row r="347" spans="1:54" x14ac:dyDescent="0.3">
      <c r="A347" s="31" t="s">
        <v>70</v>
      </c>
      <c r="B347" s="31" t="s">
        <v>169</v>
      </c>
      <c r="C347" s="31" t="s">
        <v>941</v>
      </c>
      <c r="D347" s="31" t="s">
        <v>933</v>
      </c>
      <c r="E347" s="42">
        <v>42300</v>
      </c>
      <c r="F347" s="31" t="s">
        <v>538</v>
      </c>
      <c r="G347" s="32"/>
      <c r="H347" s="31"/>
      <c r="I347" s="83"/>
      <c r="J347" s="83"/>
      <c r="K347" s="83">
        <v>46221791</v>
      </c>
      <c r="L347" s="83">
        <v>661074210</v>
      </c>
      <c r="M347" s="83">
        <v>735870345</v>
      </c>
      <c r="N347" s="83">
        <v>48089106</v>
      </c>
      <c r="O347" s="83">
        <v>687781239</v>
      </c>
      <c r="P347" s="31" t="s">
        <v>934</v>
      </c>
      <c r="Q347" s="31" t="s">
        <v>942</v>
      </c>
      <c r="R347" s="31" t="s">
        <v>934</v>
      </c>
      <c r="S347" s="31" t="s">
        <v>641</v>
      </c>
      <c r="T347" s="31" t="s">
        <v>642</v>
      </c>
      <c r="U347" s="35" t="s">
        <v>680</v>
      </c>
      <c r="V347" s="134"/>
      <c r="W347" s="85">
        <v>28574344</v>
      </c>
      <c r="X347" s="83">
        <v>26707029</v>
      </c>
      <c r="Y347" s="83">
        <v>1867315</v>
      </c>
      <c r="Z347" s="83">
        <v>42300</v>
      </c>
      <c r="AA347" s="31" t="s">
        <v>936</v>
      </c>
      <c r="AB347" s="132">
        <v>37487</v>
      </c>
      <c r="AC347" s="83" t="s">
        <v>943</v>
      </c>
      <c r="AD347" s="31"/>
      <c r="AE347" s="31" t="s">
        <v>177</v>
      </c>
      <c r="AF347" s="31"/>
      <c r="AG347" s="31"/>
      <c r="AH347" s="31"/>
      <c r="AI347" s="31"/>
      <c r="AJ347" s="31"/>
      <c r="AK347" s="31"/>
      <c r="AL347" s="31"/>
      <c r="AM347" s="31"/>
      <c r="AN347" s="31">
        <v>0.2</v>
      </c>
      <c r="AO347" s="31">
        <v>8460</v>
      </c>
      <c r="AP347" s="31">
        <v>5.5E-2</v>
      </c>
      <c r="AQ347" s="31">
        <v>2325.5625214511742</v>
      </c>
      <c r="AR347" s="31"/>
      <c r="AS347" s="31">
        <v>45622</v>
      </c>
      <c r="AT347" s="31" t="s">
        <v>645</v>
      </c>
      <c r="AU347" s="31">
        <v>4706.5380153786209</v>
      </c>
      <c r="AV347" s="31" t="s">
        <v>645</v>
      </c>
      <c r="AW347"/>
      <c r="AY347">
        <v>707296001</v>
      </c>
      <c r="AZ347" s="83">
        <v>176043004</v>
      </c>
      <c r="BA347" t="s">
        <v>647</v>
      </c>
      <c r="BB347" s="31" t="str">
        <f>BBDD_TERRENO[[#This Row],[Comuna]]&amp;BBDD_TERRENO[[#This Row],[Identificacion Propiedad]]</f>
        <v>HualquiLote 20 Llepinhue</v>
      </c>
    </row>
    <row r="348" spans="1:54" x14ac:dyDescent="0.3">
      <c r="A348" s="31" t="s">
        <v>70</v>
      </c>
      <c r="B348" s="31" t="s">
        <v>169</v>
      </c>
      <c r="C348" s="31" t="s">
        <v>944</v>
      </c>
      <c r="D348" s="31" t="s">
        <v>933</v>
      </c>
      <c r="E348" s="42">
        <v>52095.31</v>
      </c>
      <c r="F348" s="31" t="s">
        <v>538</v>
      </c>
      <c r="G348" s="32"/>
      <c r="H348" s="31"/>
      <c r="I348" s="83"/>
      <c r="J348" s="83"/>
      <c r="K348" s="83">
        <v>46221791</v>
      </c>
      <c r="L348" s="83">
        <v>661074210</v>
      </c>
      <c r="M348" s="83">
        <v>735870345</v>
      </c>
      <c r="N348" s="83">
        <v>48089106</v>
      </c>
      <c r="O348" s="83">
        <v>687781239</v>
      </c>
      <c r="P348" s="31" t="s">
        <v>934</v>
      </c>
      <c r="Q348" s="31" t="s">
        <v>945</v>
      </c>
      <c r="R348" s="31" t="s">
        <v>934</v>
      </c>
      <c r="S348" s="31" t="s">
        <v>641</v>
      </c>
      <c r="T348" s="31" t="s">
        <v>642</v>
      </c>
      <c r="U348" s="35" t="s">
        <v>680</v>
      </c>
      <c r="V348" s="134"/>
      <c r="W348" s="85">
        <v>28574344</v>
      </c>
      <c r="X348" s="83">
        <v>26707029</v>
      </c>
      <c r="Y348" s="83">
        <v>1867315</v>
      </c>
      <c r="Z348" s="83">
        <v>52095.31</v>
      </c>
      <c r="AA348" s="31" t="s">
        <v>936</v>
      </c>
      <c r="AB348" s="132">
        <v>37487</v>
      </c>
      <c r="AC348" s="83" t="s">
        <v>946</v>
      </c>
      <c r="AD348" s="31"/>
      <c r="AE348" s="31" t="s">
        <v>177</v>
      </c>
      <c r="AF348" s="31"/>
      <c r="AG348" s="31"/>
      <c r="AH348" s="31"/>
      <c r="AI348" s="31"/>
      <c r="AJ348" s="31"/>
      <c r="AK348" s="31"/>
      <c r="AL348" s="31"/>
      <c r="AM348" s="31"/>
      <c r="AN348" s="31">
        <v>0.2</v>
      </c>
      <c r="AO348" s="31">
        <v>10419.062</v>
      </c>
      <c r="AP348" s="31">
        <v>8.9999999999999993E-3</v>
      </c>
      <c r="AQ348" s="31">
        <v>477.34791363034105</v>
      </c>
      <c r="AR348" s="31"/>
      <c r="AS348" s="31">
        <v>45622</v>
      </c>
      <c r="AT348" s="31" t="s">
        <v>645</v>
      </c>
      <c r="AU348" s="31">
        <v>5796.4197857667614</v>
      </c>
      <c r="AV348" s="31" t="s">
        <v>645</v>
      </c>
      <c r="AW348"/>
      <c r="AY348">
        <v>707296001</v>
      </c>
      <c r="AZ348" s="83">
        <v>255403110</v>
      </c>
      <c r="BA348" t="s">
        <v>647</v>
      </c>
      <c r="BB348" s="31" t="str">
        <f>BBDD_TERRENO[[#This Row],[Comuna]]&amp;BBDD_TERRENO[[#This Row],[Identificacion Propiedad]]</f>
        <v>HualquiLote 03 Llepinhue</v>
      </c>
    </row>
    <row r="349" spans="1:54" x14ac:dyDescent="0.3">
      <c r="A349" s="31" t="s">
        <v>70</v>
      </c>
      <c r="B349" s="31" t="s">
        <v>169</v>
      </c>
      <c r="C349" s="31" t="s">
        <v>947</v>
      </c>
      <c r="D349" s="31" t="s">
        <v>933</v>
      </c>
      <c r="E349" s="42">
        <v>53875</v>
      </c>
      <c r="F349" s="31" t="s">
        <v>538</v>
      </c>
      <c r="G349" s="32"/>
      <c r="H349" s="31"/>
      <c r="I349" s="83"/>
      <c r="J349" s="83"/>
      <c r="K349" s="83">
        <v>46221791</v>
      </c>
      <c r="L349" s="83">
        <v>661074210</v>
      </c>
      <c r="M349" s="83">
        <v>735870345</v>
      </c>
      <c r="N349" s="83">
        <v>48089106</v>
      </c>
      <c r="O349" s="83">
        <v>687781239</v>
      </c>
      <c r="P349" s="31" t="s">
        <v>934</v>
      </c>
      <c r="Q349" s="31" t="s">
        <v>948</v>
      </c>
      <c r="R349" s="31" t="s">
        <v>934</v>
      </c>
      <c r="S349" s="31" t="s">
        <v>641</v>
      </c>
      <c r="T349" s="31" t="s">
        <v>642</v>
      </c>
      <c r="U349" s="35" t="s">
        <v>680</v>
      </c>
      <c r="V349" s="134"/>
      <c r="W349" s="85">
        <v>28574344</v>
      </c>
      <c r="X349" s="83">
        <v>26707029</v>
      </c>
      <c r="Y349" s="83">
        <v>1867315</v>
      </c>
      <c r="Z349" s="83">
        <v>53875</v>
      </c>
      <c r="AA349" s="31" t="s">
        <v>936</v>
      </c>
      <c r="AB349" s="132">
        <v>37487</v>
      </c>
      <c r="AC349" s="83" t="s">
        <v>949</v>
      </c>
      <c r="AD349" s="31"/>
      <c r="AE349" s="31" t="s">
        <v>177</v>
      </c>
      <c r="AF349" s="31"/>
      <c r="AG349" s="31"/>
      <c r="AH349" s="31"/>
      <c r="AI349" s="31"/>
      <c r="AJ349" s="31"/>
      <c r="AK349" s="31"/>
      <c r="AL349" s="31"/>
      <c r="AM349" s="31"/>
      <c r="AN349" s="31">
        <v>0.2</v>
      </c>
      <c r="AO349" s="31">
        <v>10775</v>
      </c>
      <c r="AP349" s="31">
        <v>6.8000000000000005E-2</v>
      </c>
      <c r="AQ349" s="31">
        <v>3667.1526532958824</v>
      </c>
      <c r="AR349" s="31"/>
      <c r="AS349" s="31">
        <v>45622</v>
      </c>
      <c r="AT349" s="31" t="s">
        <v>645</v>
      </c>
      <c r="AU349" s="31">
        <v>5994.4381933457016</v>
      </c>
      <c r="AV349" s="31" t="s">
        <v>645</v>
      </c>
      <c r="AW349"/>
      <c r="AY349">
        <v>707296001</v>
      </c>
      <c r="AZ349" s="83">
        <v>264128242</v>
      </c>
      <c r="BA349" t="s">
        <v>647</v>
      </c>
      <c r="BB349" s="31" t="str">
        <f>BBDD_TERRENO[[#This Row],[Comuna]]&amp;BBDD_TERRENO[[#This Row],[Identificacion Propiedad]]</f>
        <v>HualquiLote 11 Llepinhue</v>
      </c>
    </row>
    <row r="350" spans="1:54" x14ac:dyDescent="0.3">
      <c r="A350" s="31" t="s">
        <v>70</v>
      </c>
      <c r="B350" s="31" t="s">
        <v>169</v>
      </c>
      <c r="C350" s="31" t="s">
        <v>950</v>
      </c>
      <c r="D350" s="31" t="s">
        <v>933</v>
      </c>
      <c r="E350" s="42">
        <v>56036</v>
      </c>
      <c r="F350" s="31" t="s">
        <v>538</v>
      </c>
      <c r="G350" s="32"/>
      <c r="H350" s="31"/>
      <c r="I350" s="83"/>
      <c r="J350" s="83"/>
      <c r="K350" s="83">
        <v>46221791</v>
      </c>
      <c r="L350" s="83">
        <v>661074210</v>
      </c>
      <c r="M350" s="83">
        <v>735870345</v>
      </c>
      <c r="N350" s="83">
        <v>48089106</v>
      </c>
      <c r="O350" s="83">
        <v>687781239</v>
      </c>
      <c r="P350" s="31" t="s">
        <v>934</v>
      </c>
      <c r="Q350" s="31" t="s">
        <v>951</v>
      </c>
      <c r="R350" s="31" t="s">
        <v>934</v>
      </c>
      <c r="S350" s="31" t="s">
        <v>641</v>
      </c>
      <c r="T350" s="31" t="s">
        <v>642</v>
      </c>
      <c r="U350" s="35" t="s">
        <v>680</v>
      </c>
      <c r="V350" s="134"/>
      <c r="W350" s="85">
        <v>28574344</v>
      </c>
      <c r="X350" s="83">
        <v>26707029</v>
      </c>
      <c r="Y350" s="83">
        <v>1867315</v>
      </c>
      <c r="Z350" s="83">
        <v>56036</v>
      </c>
      <c r="AA350" s="31" t="s">
        <v>936</v>
      </c>
      <c r="AB350" s="132">
        <v>37487</v>
      </c>
      <c r="AC350" s="83" t="s">
        <v>952</v>
      </c>
      <c r="AD350" s="31"/>
      <c r="AE350" s="31" t="s">
        <v>177</v>
      </c>
      <c r="AF350" s="31"/>
      <c r="AG350" s="31"/>
      <c r="AH350" s="31"/>
      <c r="AI350" s="31"/>
      <c r="AJ350" s="31"/>
      <c r="AK350" s="31"/>
      <c r="AL350" s="31"/>
      <c r="AM350" s="31"/>
      <c r="AN350" s="31">
        <v>0.2</v>
      </c>
      <c r="AO350" s="31">
        <v>11207.2</v>
      </c>
      <c r="AP350" s="31">
        <v>6.8000000000000005E-2</v>
      </c>
      <c r="AQ350" s="31">
        <v>3814.2471662197322</v>
      </c>
      <c r="AR350" s="31"/>
      <c r="AS350" s="31">
        <v>45622</v>
      </c>
      <c r="AT350" s="31" t="s">
        <v>645</v>
      </c>
      <c r="AU350" s="31">
        <v>6234.8833151242643</v>
      </c>
      <c r="AV350" s="31" t="s">
        <v>645</v>
      </c>
      <c r="AW350"/>
      <c r="AY350">
        <v>707296001</v>
      </c>
      <c r="AZ350" s="83">
        <v>274722786</v>
      </c>
      <c r="BA350" t="s">
        <v>647</v>
      </c>
      <c r="BB350" s="31" t="str">
        <f>BBDD_TERRENO[[#This Row],[Comuna]]&amp;BBDD_TERRENO[[#This Row],[Identificacion Propiedad]]</f>
        <v>HualquiLote 12 Llepinhue</v>
      </c>
    </row>
    <row r="351" spans="1:54" x14ac:dyDescent="0.3">
      <c r="A351" s="31" t="s">
        <v>869</v>
      </c>
      <c r="B351" s="31" t="s">
        <v>169</v>
      </c>
      <c r="C351" s="31" t="s">
        <v>953</v>
      </c>
      <c r="D351" s="31" t="s">
        <v>933</v>
      </c>
      <c r="E351" s="42">
        <v>56912</v>
      </c>
      <c r="F351" s="31" t="s">
        <v>538</v>
      </c>
      <c r="G351" s="32"/>
      <c r="H351" s="31"/>
      <c r="I351" s="83"/>
      <c r="J351" s="83"/>
      <c r="K351" s="83">
        <v>46221791</v>
      </c>
      <c r="L351" s="83">
        <v>661074210</v>
      </c>
      <c r="M351" s="83">
        <v>735870345</v>
      </c>
      <c r="N351" s="83">
        <v>48089106</v>
      </c>
      <c r="O351" s="83">
        <v>687781239</v>
      </c>
      <c r="P351" s="31" t="s">
        <v>934</v>
      </c>
      <c r="Q351" s="31" t="s">
        <v>954</v>
      </c>
      <c r="R351" s="31" t="s">
        <v>934</v>
      </c>
      <c r="S351" s="31" t="s">
        <v>641</v>
      </c>
      <c r="T351" s="31" t="s">
        <v>642</v>
      </c>
      <c r="U351" s="35" t="s">
        <v>680</v>
      </c>
      <c r="V351" s="134"/>
      <c r="W351" s="85">
        <v>28574344</v>
      </c>
      <c r="X351" s="83">
        <v>26707029</v>
      </c>
      <c r="Y351" s="83">
        <v>1867315</v>
      </c>
      <c r="Z351" s="83"/>
      <c r="AA351" s="31"/>
      <c r="AB351" s="132"/>
      <c r="AC351" s="83" t="s">
        <v>955</v>
      </c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>
        <v>0.2</v>
      </c>
      <c r="AO351" s="31">
        <v>11382.4</v>
      </c>
      <c r="AP351" s="31">
        <v>6.8000000000000005E-2</v>
      </c>
      <c r="AQ351" s="31">
        <v>3873.8745578538328</v>
      </c>
      <c r="AR351" s="31"/>
      <c r="AS351" s="31">
        <v>45622</v>
      </c>
      <c r="AT351" s="31" t="s">
        <v>645</v>
      </c>
      <c r="AU351" s="31">
        <v>6332.3520456555098</v>
      </c>
      <c r="AV351" s="31" t="s">
        <v>645</v>
      </c>
      <c r="AW351"/>
      <c r="AY351">
        <v>707296001</v>
      </c>
      <c r="AZ351" s="83">
        <v>296664916</v>
      </c>
      <c r="BA351" t="s">
        <v>647</v>
      </c>
      <c r="BB351" s="31" t="str">
        <f>BBDD_TERRENO[[#This Row],[Comuna]]&amp;BBDD_TERRENO[[#This Row],[Identificacion Propiedad]]</f>
        <v>HualquiLote 19 Llepinhue</v>
      </c>
    </row>
    <row r="352" spans="1:54" x14ac:dyDescent="0.3">
      <c r="A352" s="31" t="s">
        <v>70</v>
      </c>
      <c r="B352" s="31" t="s">
        <v>169</v>
      </c>
      <c r="C352" s="31" t="s">
        <v>956</v>
      </c>
      <c r="D352" s="31" t="s">
        <v>902</v>
      </c>
      <c r="E352" s="42">
        <v>58885.95</v>
      </c>
      <c r="F352" s="31" t="s">
        <v>538</v>
      </c>
      <c r="G352" s="32"/>
      <c r="H352" s="31"/>
      <c r="I352" s="83"/>
      <c r="J352" s="83"/>
      <c r="K352" s="83">
        <v>46221791</v>
      </c>
      <c r="L352" s="83">
        <v>13708672</v>
      </c>
      <c r="M352" s="83">
        <v>62351619</v>
      </c>
      <c r="N352" s="83">
        <v>48089106</v>
      </c>
      <c r="O352" s="83">
        <v>14262513</v>
      </c>
      <c r="P352" s="31" t="s">
        <v>903</v>
      </c>
      <c r="Q352" s="31" t="s">
        <v>957</v>
      </c>
      <c r="R352" s="31" t="s">
        <v>903</v>
      </c>
      <c r="S352" s="31" t="s">
        <v>641</v>
      </c>
      <c r="T352" s="31" t="s">
        <v>642</v>
      </c>
      <c r="U352" s="35" t="s">
        <v>782</v>
      </c>
      <c r="V352" s="134"/>
      <c r="W352" s="85">
        <v>2421156</v>
      </c>
      <c r="X352" s="83">
        <v>553841</v>
      </c>
      <c r="Y352" s="83">
        <v>1867315</v>
      </c>
      <c r="Z352" s="83"/>
      <c r="AA352" s="31"/>
      <c r="AB352" s="132"/>
      <c r="AC352" s="83" t="s">
        <v>958</v>
      </c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>
        <v>0.3</v>
      </c>
      <c r="AO352" s="31">
        <v>18712.5</v>
      </c>
      <c r="AP352" s="31">
        <v>0.17016949659318639</v>
      </c>
      <c r="AQ352" s="31">
        <v>10614.32235</v>
      </c>
      <c r="AR352" s="31"/>
      <c r="AS352" s="31">
        <v>45622</v>
      </c>
      <c r="AT352" s="31" t="s">
        <v>645</v>
      </c>
      <c r="AU352" s="31">
        <v>12503.662961250177</v>
      </c>
      <c r="AV352" s="31" t="s">
        <v>645</v>
      </c>
      <c r="AW352"/>
      <c r="AX352" s="31" t="s">
        <v>109</v>
      </c>
      <c r="AY352">
        <v>59930463</v>
      </c>
      <c r="AZ352" s="83">
        <v>418876169</v>
      </c>
      <c r="BA352" t="s">
        <v>647</v>
      </c>
      <c r="BB352" s="31" t="str">
        <f>BBDD_TERRENO[[#This Row],[Comuna]]&amp;BBDD_TERRENO[[#This Row],[Identificacion Propiedad]]</f>
        <v>HualquiLote Z2</v>
      </c>
    </row>
    <row r="353" spans="1:54" x14ac:dyDescent="0.3">
      <c r="A353" s="31" t="s">
        <v>70</v>
      </c>
      <c r="B353" s="31" t="s">
        <v>71</v>
      </c>
      <c r="C353" s="31" t="s">
        <v>959</v>
      </c>
      <c r="D353" s="31" t="s">
        <v>638</v>
      </c>
      <c r="E353" s="42">
        <v>5000</v>
      </c>
      <c r="F353" s="31" t="s">
        <v>538</v>
      </c>
      <c r="G353" s="32"/>
      <c r="H353" s="31"/>
      <c r="I353" s="83"/>
      <c r="J353" s="83"/>
      <c r="K353" s="83">
        <v>0</v>
      </c>
      <c r="L353" s="83">
        <v>13515423</v>
      </c>
      <c r="M353" s="83">
        <v>14061432</v>
      </c>
      <c r="N353" s="83">
        <v>0</v>
      </c>
      <c r="O353" s="83">
        <v>14061432</v>
      </c>
      <c r="P353" s="31" t="s">
        <v>639</v>
      </c>
      <c r="Q353" s="31" t="s">
        <v>960</v>
      </c>
      <c r="R353" s="31" t="s">
        <v>639</v>
      </c>
      <c r="S353" s="31" t="s">
        <v>641</v>
      </c>
      <c r="T353" s="31" t="s">
        <v>642</v>
      </c>
      <c r="U353" s="35" t="s">
        <v>643</v>
      </c>
      <c r="V353" s="134"/>
      <c r="W353" s="85">
        <v>546009</v>
      </c>
      <c r="X353" s="83">
        <v>546009</v>
      </c>
      <c r="Y353" s="83">
        <v>0</v>
      </c>
      <c r="Z353" s="83"/>
      <c r="AA353" s="31"/>
      <c r="AB353" s="132"/>
      <c r="AC353" s="83" t="s">
        <v>961</v>
      </c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>
        <v>0.65</v>
      </c>
      <c r="AO353" s="31">
        <v>3250</v>
      </c>
      <c r="AP353" s="31">
        <v>0.3339765359742346</v>
      </c>
      <c r="AQ353" s="31">
        <v>1669.882679871173</v>
      </c>
      <c r="AR353" s="31"/>
      <c r="AS353" s="31">
        <v>43865</v>
      </c>
      <c r="AT353" s="31" t="s">
        <v>645</v>
      </c>
      <c r="AU353" s="31">
        <v>3250</v>
      </c>
      <c r="AV353" s="31" t="s">
        <v>645</v>
      </c>
      <c r="AW353"/>
      <c r="AX353" s="31" t="s">
        <v>646</v>
      </c>
      <c r="AY353">
        <v>13515423</v>
      </c>
      <c r="AZ353" s="83">
        <v>20646696</v>
      </c>
      <c r="BA353" t="s">
        <v>647</v>
      </c>
      <c r="BB353" s="31" t="str">
        <f>BBDD_TERRENO[[#This Row],[Comuna]]&amp;BBDD_TERRENO[[#This Row],[Identificacion Propiedad]]</f>
        <v>Puerto MonttLote 21 (Cardenas - Alberto Cardenas)</v>
      </c>
    </row>
    <row r="354" spans="1:54" x14ac:dyDescent="0.3">
      <c r="A354" s="31" t="s">
        <v>70</v>
      </c>
      <c r="B354" s="31" t="s">
        <v>169</v>
      </c>
      <c r="C354" s="31" t="s">
        <v>962</v>
      </c>
      <c r="D354" s="31" t="s">
        <v>902</v>
      </c>
      <c r="E354" s="42">
        <v>61191.81</v>
      </c>
      <c r="F354" s="31" t="s">
        <v>538</v>
      </c>
      <c r="G354" s="32"/>
      <c r="H354" s="31"/>
      <c r="I354" s="83"/>
      <c r="J354" s="83"/>
      <c r="K354" s="83">
        <v>46221791</v>
      </c>
      <c r="L354" s="83">
        <v>13708672</v>
      </c>
      <c r="M354" s="83">
        <v>62351619</v>
      </c>
      <c r="N354" s="83">
        <v>48089106</v>
      </c>
      <c r="O354" s="83">
        <v>14262513</v>
      </c>
      <c r="P354" s="31" t="s">
        <v>903</v>
      </c>
      <c r="Q354" s="31" t="s">
        <v>963</v>
      </c>
      <c r="R354" s="31" t="s">
        <v>903</v>
      </c>
      <c r="S354" s="31" t="s">
        <v>641</v>
      </c>
      <c r="T354" s="31" t="s">
        <v>642</v>
      </c>
      <c r="U354" s="35" t="s">
        <v>782</v>
      </c>
      <c r="V354" s="134"/>
      <c r="W354" s="85">
        <v>2421156</v>
      </c>
      <c r="X354" s="83">
        <v>553841</v>
      </c>
      <c r="Y354" s="83">
        <v>1867315</v>
      </c>
      <c r="Z354" s="83"/>
      <c r="AA354" s="31"/>
      <c r="AB354" s="132"/>
      <c r="AC354" s="83" t="s">
        <v>964</v>
      </c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>
        <v>0.3</v>
      </c>
      <c r="AO354" s="31">
        <v>18712.5</v>
      </c>
      <c r="AP354" s="31">
        <v>0.17016949659318639</v>
      </c>
      <c r="AQ354" s="31">
        <v>10614.32235</v>
      </c>
      <c r="AR354" s="31"/>
      <c r="AS354" s="31">
        <v>45622</v>
      </c>
      <c r="AT354" s="31" t="s">
        <v>645</v>
      </c>
      <c r="AU354" s="31">
        <v>12503.662961250177</v>
      </c>
      <c r="AV354" s="31" t="s">
        <v>645</v>
      </c>
      <c r="AW354"/>
      <c r="AX354" s="31" t="s">
        <v>109</v>
      </c>
      <c r="AY354">
        <v>59930463</v>
      </c>
      <c r="AZ354" s="83">
        <v>418876169</v>
      </c>
      <c r="BA354" t="s">
        <v>647</v>
      </c>
      <c r="BB354" s="31" t="str">
        <f>BBDD_TERRENO[[#This Row],[Comuna]]&amp;BBDD_TERRENO[[#This Row],[Identificacion Propiedad]]</f>
        <v>HualquiLote Z1</v>
      </c>
    </row>
    <row r="355" spans="1:54" x14ac:dyDescent="0.3">
      <c r="A355" s="31" t="s">
        <v>70</v>
      </c>
      <c r="B355" s="31" t="s">
        <v>169</v>
      </c>
      <c r="C355" s="31" t="s">
        <v>965</v>
      </c>
      <c r="D355" s="31" t="s">
        <v>933</v>
      </c>
      <c r="E355" s="42">
        <v>62395</v>
      </c>
      <c r="F355" s="31" t="s">
        <v>538</v>
      </c>
      <c r="G355" s="32"/>
      <c r="H355" s="31"/>
      <c r="I355" s="83"/>
      <c r="J355" s="83"/>
      <c r="K355" s="83">
        <v>46221791</v>
      </c>
      <c r="L355" s="83">
        <v>661074210</v>
      </c>
      <c r="M355" s="83">
        <v>735870345</v>
      </c>
      <c r="N355" s="83">
        <v>48089106</v>
      </c>
      <c r="O355" s="83">
        <v>687781239</v>
      </c>
      <c r="P355" s="31" t="s">
        <v>934</v>
      </c>
      <c r="Q355" s="31" t="s">
        <v>966</v>
      </c>
      <c r="R355" s="31" t="s">
        <v>934</v>
      </c>
      <c r="S355" s="31" t="s">
        <v>641</v>
      </c>
      <c r="T355" s="31" t="s">
        <v>642</v>
      </c>
      <c r="U355" s="35" t="s">
        <v>680</v>
      </c>
      <c r="V355" s="134"/>
      <c r="W355" s="85">
        <v>28574344</v>
      </c>
      <c r="X355" s="83">
        <v>26707029</v>
      </c>
      <c r="Y355" s="83">
        <v>1867315</v>
      </c>
      <c r="Z355" s="83">
        <v>62395</v>
      </c>
      <c r="AA355" s="31" t="s">
        <v>936</v>
      </c>
      <c r="AB355" s="132">
        <v>37487</v>
      </c>
      <c r="AC355" s="83" t="s">
        <v>967</v>
      </c>
      <c r="AD355" s="31"/>
      <c r="AE355" s="31" t="s">
        <v>177</v>
      </c>
      <c r="AF355" s="31"/>
      <c r="AG355" s="31"/>
      <c r="AH355" s="31"/>
      <c r="AI355" s="31"/>
      <c r="AJ355" s="31"/>
      <c r="AK355" s="31"/>
      <c r="AL355" s="31"/>
      <c r="AM355" s="31"/>
      <c r="AN355" s="31">
        <v>0.2</v>
      </c>
      <c r="AO355" s="31">
        <v>12479</v>
      </c>
      <c r="AP355" s="31">
        <v>6.8000000000000005E-2</v>
      </c>
      <c r="AQ355" s="31">
        <v>4247.090297956317</v>
      </c>
      <c r="AR355" s="31"/>
      <c r="AS355" s="31">
        <v>45622</v>
      </c>
      <c r="AT355" s="31" t="s">
        <v>645</v>
      </c>
      <c r="AU355" s="31">
        <v>6942.4217368687714</v>
      </c>
      <c r="AV355" s="31" t="s">
        <v>645</v>
      </c>
      <c r="AW355"/>
      <c r="AY355">
        <v>707296001</v>
      </c>
      <c r="AZ355" s="83">
        <v>305898497</v>
      </c>
      <c r="BA355" t="s">
        <v>647</v>
      </c>
      <c r="BB355" s="31" t="str">
        <f>BBDD_TERRENO[[#This Row],[Comuna]]&amp;BBDD_TERRENO[[#This Row],[Identificacion Propiedad]]</f>
        <v>HualquiLote 10 Llepinhue</v>
      </c>
    </row>
    <row r="356" spans="1:54" x14ac:dyDescent="0.3">
      <c r="A356" s="31" t="s">
        <v>70</v>
      </c>
      <c r="B356" s="31" t="s">
        <v>169</v>
      </c>
      <c r="C356" s="31" t="s">
        <v>968</v>
      </c>
      <c r="D356" s="31" t="s">
        <v>933</v>
      </c>
      <c r="E356" s="42">
        <v>65787</v>
      </c>
      <c r="F356" s="31" t="s">
        <v>538</v>
      </c>
      <c r="G356" s="32"/>
      <c r="H356" s="31"/>
      <c r="I356" s="83"/>
      <c r="J356" s="83"/>
      <c r="K356" s="83">
        <v>46221791</v>
      </c>
      <c r="L356" s="83">
        <v>661074210</v>
      </c>
      <c r="M356" s="83">
        <v>735870345</v>
      </c>
      <c r="N356" s="83">
        <v>48089106</v>
      </c>
      <c r="O356" s="83">
        <v>687781239</v>
      </c>
      <c r="P356" s="31" t="s">
        <v>934</v>
      </c>
      <c r="Q356" s="31" t="s">
        <v>969</v>
      </c>
      <c r="R356" s="31" t="s">
        <v>934</v>
      </c>
      <c r="S356" s="31" t="s">
        <v>641</v>
      </c>
      <c r="T356" s="31" t="s">
        <v>642</v>
      </c>
      <c r="U356" s="35" t="s">
        <v>680</v>
      </c>
      <c r="V356" s="134"/>
      <c r="W356" s="85">
        <v>28574344</v>
      </c>
      <c r="X356" s="83">
        <v>26707029</v>
      </c>
      <c r="Y356" s="83">
        <v>1867315</v>
      </c>
      <c r="Z356" s="83">
        <v>65787</v>
      </c>
      <c r="AA356" s="31" t="s">
        <v>936</v>
      </c>
      <c r="AB356" s="132">
        <v>37487</v>
      </c>
      <c r="AC356" s="83" t="s">
        <v>970</v>
      </c>
      <c r="AD356" s="31"/>
      <c r="AE356" s="31" t="s">
        <v>177</v>
      </c>
      <c r="AF356" s="31"/>
      <c r="AG356" s="31"/>
      <c r="AH356" s="31"/>
      <c r="AI356" s="31"/>
      <c r="AJ356" s="31"/>
      <c r="AK356" s="31"/>
      <c r="AL356" s="31"/>
      <c r="AM356" s="31"/>
      <c r="AN356" s="31">
        <v>0.2</v>
      </c>
      <c r="AO356" s="31">
        <v>13157.4</v>
      </c>
      <c r="AP356" s="31">
        <v>6.3E-2</v>
      </c>
      <c r="AQ356" s="31">
        <v>4133.5165578847254</v>
      </c>
      <c r="AR356" s="31"/>
      <c r="AS356" s="31">
        <v>45622</v>
      </c>
      <c r="AT356" s="31" t="s">
        <v>645</v>
      </c>
      <c r="AU356" s="31">
        <v>7319.834903492042</v>
      </c>
      <c r="AV356" s="31" t="s">
        <v>645</v>
      </c>
      <c r="AW356"/>
      <c r="AY356">
        <v>707296001</v>
      </c>
      <c r="AZ356" s="83">
        <v>322528154</v>
      </c>
      <c r="BA356" t="s">
        <v>647</v>
      </c>
      <c r="BB356" s="31" t="str">
        <f>BBDD_TERRENO[[#This Row],[Comuna]]&amp;BBDD_TERRENO[[#This Row],[Identificacion Propiedad]]</f>
        <v>HualquiLote 18 Llepinhue</v>
      </c>
    </row>
    <row r="357" spans="1:54" x14ac:dyDescent="0.3">
      <c r="A357" s="31" t="s">
        <v>70</v>
      </c>
      <c r="B357" s="31" t="s">
        <v>169</v>
      </c>
      <c r="C357" s="31" t="s">
        <v>971</v>
      </c>
      <c r="D357" s="31" t="s">
        <v>933</v>
      </c>
      <c r="E357" s="42">
        <v>71134</v>
      </c>
      <c r="F357" s="31" t="s">
        <v>538</v>
      </c>
      <c r="G357" s="32"/>
      <c r="H357" s="31"/>
      <c r="I357" s="83"/>
      <c r="J357" s="83"/>
      <c r="K357" s="83">
        <v>46221791</v>
      </c>
      <c r="L357" s="83">
        <v>661074210</v>
      </c>
      <c r="M357" s="83">
        <v>735870345</v>
      </c>
      <c r="N357" s="83">
        <v>48089106</v>
      </c>
      <c r="O357" s="83">
        <v>687781239</v>
      </c>
      <c r="P357" s="31" t="s">
        <v>934</v>
      </c>
      <c r="Q357" s="31" t="s">
        <v>972</v>
      </c>
      <c r="R357" s="31" t="s">
        <v>934</v>
      </c>
      <c r="S357" s="31" t="s">
        <v>641</v>
      </c>
      <c r="T357" s="31" t="s">
        <v>642</v>
      </c>
      <c r="U357" s="35" t="s">
        <v>680</v>
      </c>
      <c r="V357" s="134"/>
      <c r="W357" s="85">
        <v>28574344</v>
      </c>
      <c r="X357" s="83">
        <v>26707029</v>
      </c>
      <c r="Y357" s="83">
        <v>1867315</v>
      </c>
      <c r="Z357" s="83">
        <v>71134</v>
      </c>
      <c r="AA357" s="31" t="s">
        <v>936</v>
      </c>
      <c r="AB357" s="132">
        <v>37487</v>
      </c>
      <c r="AC357" s="83" t="s">
        <v>973</v>
      </c>
      <c r="AD357" s="31"/>
      <c r="AE357" s="31" t="s">
        <v>177</v>
      </c>
      <c r="AF357" s="31"/>
      <c r="AG357" s="31"/>
      <c r="AH357" s="31"/>
      <c r="AI357" s="31"/>
      <c r="AJ357" s="31"/>
      <c r="AK357" s="31"/>
      <c r="AL357" s="31"/>
      <c r="AM357" s="31"/>
      <c r="AN357" s="31">
        <v>0.2</v>
      </c>
      <c r="AO357" s="31">
        <v>14226.8</v>
      </c>
      <c r="AP357" s="31">
        <v>5.5E-2</v>
      </c>
      <c r="AQ357" s="31">
        <v>3910.7934846550311</v>
      </c>
      <c r="AR357" s="31"/>
      <c r="AS357" s="31">
        <v>45622</v>
      </c>
      <c r="AT357" s="31" t="s">
        <v>645</v>
      </c>
      <c r="AU357" s="31">
        <v>7914.772463024653</v>
      </c>
      <c r="AV357" s="31" t="s">
        <v>645</v>
      </c>
      <c r="AW357"/>
      <c r="AY357">
        <v>707296001</v>
      </c>
      <c r="AZ357" s="83">
        <v>314502581</v>
      </c>
      <c r="BA357" t="s">
        <v>647</v>
      </c>
      <c r="BB357" s="31" t="str">
        <f>BBDD_TERRENO[[#This Row],[Comuna]]&amp;BBDD_TERRENO[[#This Row],[Identificacion Propiedad]]</f>
        <v>HualquiLote 09 Llepinhue</v>
      </c>
    </row>
    <row r="358" spans="1:54" x14ac:dyDescent="0.3">
      <c r="A358" s="31" t="s">
        <v>70</v>
      </c>
      <c r="B358" s="31" t="s">
        <v>169</v>
      </c>
      <c r="C358" s="31" t="s">
        <v>974</v>
      </c>
      <c r="D358" s="31" t="s">
        <v>933</v>
      </c>
      <c r="E358" s="42">
        <v>71272</v>
      </c>
      <c r="F358" s="31" t="s">
        <v>538</v>
      </c>
      <c r="G358" s="32"/>
      <c r="H358" s="31"/>
      <c r="I358" s="83"/>
      <c r="J358" s="83"/>
      <c r="K358" s="83">
        <v>46221791</v>
      </c>
      <c r="L358" s="83">
        <v>661074210</v>
      </c>
      <c r="M358" s="83">
        <v>735870345</v>
      </c>
      <c r="N358" s="83">
        <v>48089106</v>
      </c>
      <c r="O358" s="83">
        <v>687781239</v>
      </c>
      <c r="P358" s="31" t="s">
        <v>934</v>
      </c>
      <c r="Q358" s="31" t="s">
        <v>975</v>
      </c>
      <c r="R358" s="31" t="s">
        <v>934</v>
      </c>
      <c r="S358" s="31" t="s">
        <v>641</v>
      </c>
      <c r="T358" s="31" t="s">
        <v>642</v>
      </c>
      <c r="U358" s="35" t="s">
        <v>680</v>
      </c>
      <c r="V358" s="134"/>
      <c r="W358" s="85">
        <v>28574344</v>
      </c>
      <c r="X358" s="83">
        <v>26707029</v>
      </c>
      <c r="Y358" s="83">
        <v>1867315</v>
      </c>
      <c r="Z358" s="83">
        <v>71272</v>
      </c>
      <c r="AA358" s="31" t="s">
        <v>936</v>
      </c>
      <c r="AB358" s="132">
        <v>37487</v>
      </c>
      <c r="AC358" s="83" t="s">
        <v>976</v>
      </c>
      <c r="AD358" s="31"/>
      <c r="AE358" s="31" t="s">
        <v>177</v>
      </c>
      <c r="AF358" s="31"/>
      <c r="AG358" s="31"/>
      <c r="AH358" s="31"/>
      <c r="AI358" s="31"/>
      <c r="AJ358" s="31"/>
      <c r="AK358" s="31"/>
      <c r="AL358" s="31"/>
      <c r="AM358" s="31"/>
      <c r="AN358" s="31">
        <v>0.2</v>
      </c>
      <c r="AO358" s="31">
        <v>14254.4</v>
      </c>
      <c r="AP358" s="31">
        <v>6.3E-2</v>
      </c>
      <c r="AQ358" s="31">
        <v>4478.1490585307147</v>
      </c>
      <c r="AR358" s="31"/>
      <c r="AS358" s="31">
        <v>45622</v>
      </c>
      <c r="AT358" s="31" t="s">
        <v>645</v>
      </c>
      <c r="AU358" s="31">
        <v>7930.1271260535468</v>
      </c>
      <c r="AV358" s="31" t="s">
        <v>645</v>
      </c>
      <c r="AW358"/>
      <c r="AY358">
        <v>707296001</v>
      </c>
      <c r="AZ358" s="83">
        <v>349418986</v>
      </c>
      <c r="BA358" t="s">
        <v>647</v>
      </c>
      <c r="BB358" s="31" t="str">
        <f>BBDD_TERRENO[[#This Row],[Comuna]]&amp;BBDD_TERRENO[[#This Row],[Identificacion Propiedad]]</f>
        <v>HualquiLote 14 Llepinhue</v>
      </c>
    </row>
    <row r="359" spans="1:54" x14ac:dyDescent="0.3">
      <c r="A359" s="31" t="s">
        <v>70</v>
      </c>
      <c r="B359" s="31" t="s">
        <v>169</v>
      </c>
      <c r="C359" s="31" t="s">
        <v>977</v>
      </c>
      <c r="D359" s="31" t="s">
        <v>933</v>
      </c>
      <c r="E359" s="42">
        <v>74526</v>
      </c>
      <c r="F359" s="31" t="s">
        <v>538</v>
      </c>
      <c r="G359" s="32"/>
      <c r="H359" s="31"/>
      <c r="I359" s="83"/>
      <c r="J359" s="83"/>
      <c r="K359" s="83">
        <v>46221791</v>
      </c>
      <c r="L359" s="83">
        <v>661074210</v>
      </c>
      <c r="M359" s="83">
        <v>735870345</v>
      </c>
      <c r="N359" s="83">
        <v>48089106</v>
      </c>
      <c r="O359" s="83">
        <v>687781239</v>
      </c>
      <c r="P359" s="31" t="s">
        <v>934</v>
      </c>
      <c r="Q359" s="31" t="s">
        <v>978</v>
      </c>
      <c r="R359" s="31" t="s">
        <v>934</v>
      </c>
      <c r="S359" s="31" t="s">
        <v>641</v>
      </c>
      <c r="T359" s="31" t="s">
        <v>642</v>
      </c>
      <c r="U359" s="35" t="s">
        <v>680</v>
      </c>
      <c r="V359" s="134"/>
      <c r="W359" s="85">
        <v>28574344</v>
      </c>
      <c r="X359" s="83">
        <v>26707029</v>
      </c>
      <c r="Y359" s="83">
        <v>1867315</v>
      </c>
      <c r="Z359" s="83">
        <v>74526</v>
      </c>
      <c r="AA359" s="31" t="s">
        <v>936</v>
      </c>
      <c r="AB359" s="132">
        <v>37487</v>
      </c>
      <c r="AC359" s="83" t="s">
        <v>979</v>
      </c>
      <c r="AD359" s="31"/>
      <c r="AE359" s="31" t="s">
        <v>177</v>
      </c>
      <c r="AF359" s="31"/>
      <c r="AG359" s="31"/>
      <c r="AH359" s="31"/>
      <c r="AI359" s="31"/>
      <c r="AJ359" s="31"/>
      <c r="AK359" s="31"/>
      <c r="AL359" s="31"/>
      <c r="AM359" s="31"/>
      <c r="AN359" s="31">
        <v>0.2</v>
      </c>
      <c r="AO359" s="31">
        <v>14905.2</v>
      </c>
      <c r="AP359" s="31">
        <v>0.06</v>
      </c>
      <c r="AQ359" s="31">
        <v>4487.4952908864288</v>
      </c>
      <c r="AR359" s="31"/>
      <c r="AS359" s="31">
        <v>45622</v>
      </c>
      <c r="AT359" s="31" t="s">
        <v>645</v>
      </c>
      <c r="AU359" s="31">
        <v>8292.1856296479218</v>
      </c>
      <c r="AV359" s="31" t="s">
        <v>645</v>
      </c>
      <c r="AW359"/>
      <c r="AY359">
        <v>707296001</v>
      </c>
      <c r="AZ359" s="83">
        <v>365372084</v>
      </c>
      <c r="BA359" t="s">
        <v>647</v>
      </c>
      <c r="BB359" s="31" t="str">
        <f>BBDD_TERRENO[[#This Row],[Comuna]]&amp;BBDD_TERRENO[[#This Row],[Identificacion Propiedad]]</f>
        <v>HualquiLote 04 Llepinhue</v>
      </c>
    </row>
    <row r="360" spans="1:54" x14ac:dyDescent="0.3">
      <c r="A360" s="31" t="s">
        <v>70</v>
      </c>
      <c r="B360" s="31" t="s">
        <v>169</v>
      </c>
      <c r="C360" s="31" t="s">
        <v>980</v>
      </c>
      <c r="D360" s="31" t="s">
        <v>933</v>
      </c>
      <c r="E360" s="42">
        <v>75568</v>
      </c>
      <c r="F360" s="31" t="s">
        <v>538</v>
      </c>
      <c r="G360" s="32"/>
      <c r="H360" s="31"/>
      <c r="I360" s="83"/>
      <c r="J360" s="83"/>
      <c r="K360" s="83">
        <v>46221791</v>
      </c>
      <c r="L360" s="83">
        <v>661074210</v>
      </c>
      <c r="M360" s="83">
        <v>735870345</v>
      </c>
      <c r="N360" s="83">
        <v>48089106</v>
      </c>
      <c r="O360" s="83">
        <v>687781239</v>
      </c>
      <c r="P360" s="31" t="s">
        <v>934</v>
      </c>
      <c r="Q360" s="31" t="s">
        <v>981</v>
      </c>
      <c r="R360" s="31" t="s">
        <v>934</v>
      </c>
      <c r="S360" s="31" t="s">
        <v>641</v>
      </c>
      <c r="T360" s="31" t="s">
        <v>642</v>
      </c>
      <c r="U360" s="35" t="s">
        <v>680</v>
      </c>
      <c r="V360" s="134"/>
      <c r="W360" s="85">
        <v>28574344</v>
      </c>
      <c r="X360" s="83">
        <v>26707029</v>
      </c>
      <c r="Y360" s="83">
        <v>1867315</v>
      </c>
      <c r="Z360" s="83">
        <v>75568</v>
      </c>
      <c r="AA360" s="31" t="s">
        <v>936</v>
      </c>
      <c r="AB360" s="132">
        <v>37487</v>
      </c>
      <c r="AC360" s="83" t="s">
        <v>982</v>
      </c>
      <c r="AD360" s="31"/>
      <c r="AE360" s="31" t="s">
        <v>177</v>
      </c>
      <c r="AF360" s="31"/>
      <c r="AG360" s="31"/>
      <c r="AH360" s="31"/>
      <c r="AI360" s="31"/>
      <c r="AJ360" s="31"/>
      <c r="AK360" s="31"/>
      <c r="AL360" s="31"/>
      <c r="AM360" s="31"/>
      <c r="AN360" s="31">
        <v>0.2</v>
      </c>
      <c r="AO360" s="31">
        <v>15113.6</v>
      </c>
      <c r="AP360" s="31">
        <v>6.2E-2</v>
      </c>
      <c r="AQ360" s="31">
        <v>4649.1563127254585</v>
      </c>
      <c r="AR360" s="31"/>
      <c r="AS360" s="31">
        <v>45622</v>
      </c>
      <c r="AT360" s="31" t="s">
        <v>645</v>
      </c>
      <c r="AU360" s="31">
        <v>8408.1244620834896</v>
      </c>
      <c r="AV360" s="31" t="s">
        <v>645</v>
      </c>
      <c r="AW360"/>
      <c r="AY360">
        <v>707296001</v>
      </c>
      <c r="AZ360" s="83">
        <v>370480610</v>
      </c>
      <c r="BA360" t="s">
        <v>647</v>
      </c>
      <c r="BB360" s="31" t="str">
        <f>BBDD_TERRENO[[#This Row],[Comuna]]&amp;BBDD_TERRENO[[#This Row],[Identificacion Propiedad]]</f>
        <v>HualquiLote 17 Llepinhue</v>
      </c>
    </row>
    <row r="361" spans="1:54" x14ac:dyDescent="0.3">
      <c r="A361" s="31" t="s">
        <v>70</v>
      </c>
      <c r="B361" s="31" t="s">
        <v>169</v>
      </c>
      <c r="C361" s="31" t="s">
        <v>983</v>
      </c>
      <c r="D361" s="31" t="s">
        <v>933</v>
      </c>
      <c r="E361" s="42">
        <v>77838</v>
      </c>
      <c r="F361" s="31" t="s">
        <v>538</v>
      </c>
      <c r="G361" s="32"/>
      <c r="H361" s="31"/>
      <c r="I361" s="83"/>
      <c r="J361" s="83"/>
      <c r="K361" s="83">
        <v>46221791</v>
      </c>
      <c r="L361" s="83">
        <v>661074210</v>
      </c>
      <c r="M361" s="83">
        <v>735870345</v>
      </c>
      <c r="N361" s="83">
        <v>48089106</v>
      </c>
      <c r="O361" s="83">
        <v>687781239</v>
      </c>
      <c r="P361" s="31" t="s">
        <v>934</v>
      </c>
      <c r="Q361" s="31" t="s">
        <v>984</v>
      </c>
      <c r="R361" s="31" t="s">
        <v>934</v>
      </c>
      <c r="S361" s="31" t="s">
        <v>641</v>
      </c>
      <c r="T361" s="31" t="s">
        <v>642</v>
      </c>
      <c r="U361" s="35" t="s">
        <v>680</v>
      </c>
      <c r="V361" s="134"/>
      <c r="W361" s="85">
        <v>28574344</v>
      </c>
      <c r="X361" s="83">
        <v>26707029</v>
      </c>
      <c r="Y361" s="83">
        <v>1867315</v>
      </c>
      <c r="Z361" s="83">
        <v>77838</v>
      </c>
      <c r="AA361" s="31" t="s">
        <v>936</v>
      </c>
      <c r="AB361" s="132">
        <v>37487</v>
      </c>
      <c r="AC361" s="83" t="s">
        <v>985</v>
      </c>
      <c r="AD361" s="31"/>
      <c r="AE361" s="31" t="s">
        <v>177</v>
      </c>
      <c r="AF361" s="31"/>
      <c r="AG361" s="31"/>
      <c r="AH361" s="31"/>
      <c r="AI361" s="31"/>
      <c r="AJ361" s="31"/>
      <c r="AK361" s="31"/>
      <c r="AL361" s="31"/>
      <c r="AM361" s="31"/>
      <c r="AN361" s="31">
        <v>0.2</v>
      </c>
      <c r="AO361" s="31">
        <v>15567.6</v>
      </c>
      <c r="AP361" s="31">
        <v>0.06</v>
      </c>
      <c r="AQ361" s="31">
        <v>4686.9234690177636</v>
      </c>
      <c r="AR361" s="31"/>
      <c r="AS361" s="31">
        <v>45622</v>
      </c>
      <c r="AT361" s="31" t="s">
        <v>645</v>
      </c>
      <c r="AU361" s="31">
        <v>8660.6975423413969</v>
      </c>
      <c r="AV361" s="31" t="s">
        <v>645</v>
      </c>
      <c r="AW361"/>
      <c r="AY361">
        <v>707296001</v>
      </c>
      <c r="AZ361" s="83">
        <v>368406802</v>
      </c>
      <c r="BA361" t="s">
        <v>647</v>
      </c>
      <c r="BB361" s="31" t="str">
        <f>BBDD_TERRENO[[#This Row],[Comuna]]&amp;BBDD_TERRENO[[#This Row],[Identificacion Propiedad]]</f>
        <v>HualquiLote 08 Llepinhue</v>
      </c>
    </row>
    <row r="362" spans="1:54" x14ac:dyDescent="0.3">
      <c r="A362" s="31" t="s">
        <v>70</v>
      </c>
      <c r="B362" s="31" t="s">
        <v>71</v>
      </c>
      <c r="C362" s="31" t="s">
        <v>986</v>
      </c>
      <c r="D362" s="31" t="s">
        <v>638</v>
      </c>
      <c r="E362" s="42">
        <v>5000</v>
      </c>
      <c r="F362" s="31" t="s">
        <v>538</v>
      </c>
      <c r="G362" s="32"/>
      <c r="H362" s="31"/>
      <c r="I362" s="83"/>
      <c r="J362" s="83"/>
      <c r="K362" s="83">
        <v>0</v>
      </c>
      <c r="L362" s="83">
        <v>13515423</v>
      </c>
      <c r="M362" s="83">
        <v>14061432</v>
      </c>
      <c r="N362" s="83">
        <v>0</v>
      </c>
      <c r="O362" s="83">
        <v>14061432</v>
      </c>
      <c r="P362" s="31" t="s">
        <v>639</v>
      </c>
      <c r="Q362" s="31" t="s">
        <v>987</v>
      </c>
      <c r="R362" s="31" t="s">
        <v>639</v>
      </c>
      <c r="S362" s="31" t="s">
        <v>641</v>
      </c>
      <c r="T362" s="31" t="s">
        <v>642</v>
      </c>
      <c r="U362" s="35" t="s">
        <v>643</v>
      </c>
      <c r="V362" s="134"/>
      <c r="W362" s="85">
        <v>546009</v>
      </c>
      <c r="X362" s="83">
        <v>546009</v>
      </c>
      <c r="Y362" s="83">
        <v>0</v>
      </c>
      <c r="Z362" s="83"/>
      <c r="AA362" s="31"/>
      <c r="AB362" s="132"/>
      <c r="AC362" s="83" t="s">
        <v>988</v>
      </c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>
        <v>0.65</v>
      </c>
      <c r="AO362" s="31">
        <v>3250</v>
      </c>
      <c r="AP362" s="31">
        <v>0.3339765359742346</v>
      </c>
      <c r="AQ362" s="31">
        <v>1669.882679871173</v>
      </c>
      <c r="AR362" s="31"/>
      <c r="AS362" s="31">
        <v>43865</v>
      </c>
      <c r="AT362" s="31" t="s">
        <v>645</v>
      </c>
      <c r="AU362" s="31">
        <v>3250</v>
      </c>
      <c r="AV362" s="31" t="s">
        <v>645</v>
      </c>
      <c r="AW362"/>
      <c r="AX362" s="31" t="s">
        <v>646</v>
      </c>
      <c r="AY362">
        <v>13515423</v>
      </c>
      <c r="AZ362" s="83">
        <v>20646696</v>
      </c>
      <c r="BA362" t="s">
        <v>647</v>
      </c>
      <c r="BB362" s="31" t="str">
        <f>BBDD_TERRENO[[#This Row],[Comuna]]&amp;BBDD_TERRENO[[#This Row],[Identificacion Propiedad]]</f>
        <v>Puerto MonttLote 22 (Cardenas - Alberto Cardenas)</v>
      </c>
    </row>
    <row r="363" spans="1:54" x14ac:dyDescent="0.3">
      <c r="A363" s="31" t="s">
        <v>70</v>
      </c>
      <c r="B363" s="31" t="s">
        <v>169</v>
      </c>
      <c r="C363" s="31" t="s">
        <v>989</v>
      </c>
      <c r="D363" s="31" t="s">
        <v>933</v>
      </c>
      <c r="E363" s="42">
        <v>78814.210000000006</v>
      </c>
      <c r="F363" s="31" t="s">
        <v>538</v>
      </c>
      <c r="G363" s="32"/>
      <c r="H363" s="31"/>
      <c r="I363" s="83"/>
      <c r="J363" s="83"/>
      <c r="K363" s="83">
        <v>46221791</v>
      </c>
      <c r="L363" s="83">
        <v>661074210</v>
      </c>
      <c r="M363" s="83">
        <v>735870345</v>
      </c>
      <c r="N363" s="83">
        <v>48089106</v>
      </c>
      <c r="O363" s="83">
        <v>687781239</v>
      </c>
      <c r="P363" s="31" t="s">
        <v>934</v>
      </c>
      <c r="Q363" s="31" t="s">
        <v>990</v>
      </c>
      <c r="R363" s="31" t="s">
        <v>934</v>
      </c>
      <c r="S363" s="31" t="s">
        <v>641</v>
      </c>
      <c r="T363" s="31" t="s">
        <v>642</v>
      </c>
      <c r="U363" s="35" t="s">
        <v>680</v>
      </c>
      <c r="V363" s="134"/>
      <c r="W363" s="85">
        <v>28574344</v>
      </c>
      <c r="X363" s="83">
        <v>26707029</v>
      </c>
      <c r="Y363" s="83">
        <v>1867315</v>
      </c>
      <c r="Z363" s="83">
        <v>78814.210000000006</v>
      </c>
      <c r="AA363" s="31" t="s">
        <v>936</v>
      </c>
      <c r="AB363" s="132">
        <v>37487</v>
      </c>
      <c r="AC363" s="83" t="s">
        <v>991</v>
      </c>
      <c r="AD363" s="31"/>
      <c r="AE363" s="31" t="s">
        <v>177</v>
      </c>
      <c r="AF363" s="31"/>
      <c r="AG363" s="31"/>
      <c r="AH363" s="31"/>
      <c r="AI363" s="31"/>
      <c r="AJ363" s="31"/>
      <c r="AK363" s="31"/>
      <c r="AL363" s="31"/>
      <c r="AM363" s="31"/>
      <c r="AN363" s="31">
        <v>0.2</v>
      </c>
      <c r="AO363" s="31">
        <v>15762.842000000002</v>
      </c>
      <c r="AP363" s="31">
        <v>8.9999999999999993E-3</v>
      </c>
      <c r="AQ363" s="31">
        <v>722.17247018826788</v>
      </c>
      <c r="AR363" s="31"/>
      <c r="AS363" s="31">
        <v>45622</v>
      </c>
      <c r="AT363" s="31" t="s">
        <v>645</v>
      </c>
      <c r="AU363" s="31">
        <v>8769.3162060764516</v>
      </c>
      <c r="AV363" s="31" t="s">
        <v>645</v>
      </c>
      <c r="AW363"/>
      <c r="AY363">
        <v>707296001</v>
      </c>
      <c r="AZ363" s="83">
        <v>367138058</v>
      </c>
      <c r="BA363" t="s">
        <v>647</v>
      </c>
      <c r="BB363" s="31" t="str">
        <f>BBDD_TERRENO[[#This Row],[Comuna]]&amp;BBDD_TERRENO[[#This Row],[Identificacion Propiedad]]</f>
        <v>HualquiLote 02 Llepinhue</v>
      </c>
    </row>
    <row r="364" spans="1:54" x14ac:dyDescent="0.3">
      <c r="A364" s="31" t="s">
        <v>70</v>
      </c>
      <c r="B364" s="31" t="s">
        <v>71</v>
      </c>
      <c r="C364" s="31" t="s">
        <v>992</v>
      </c>
      <c r="D364" s="31" t="s">
        <v>638</v>
      </c>
      <c r="E364" s="42">
        <v>5000</v>
      </c>
      <c r="F364" s="31" t="s">
        <v>538</v>
      </c>
      <c r="G364" s="32"/>
      <c r="H364" s="31"/>
      <c r="I364" s="83"/>
      <c r="J364" s="83"/>
      <c r="K364" s="83">
        <v>0</v>
      </c>
      <c r="L364" s="83">
        <v>13515423</v>
      </c>
      <c r="M364" s="83">
        <v>14061432</v>
      </c>
      <c r="N364" s="83">
        <v>0</v>
      </c>
      <c r="O364" s="83">
        <v>14061432</v>
      </c>
      <c r="P364" s="31" t="s">
        <v>639</v>
      </c>
      <c r="Q364" s="31" t="s">
        <v>993</v>
      </c>
      <c r="R364" s="31" t="s">
        <v>639</v>
      </c>
      <c r="S364" s="31" t="s">
        <v>641</v>
      </c>
      <c r="T364" s="31" t="s">
        <v>642</v>
      </c>
      <c r="U364" s="35" t="s">
        <v>643</v>
      </c>
      <c r="V364" s="134"/>
      <c r="W364" s="85">
        <v>546009</v>
      </c>
      <c r="X364" s="83">
        <v>546009</v>
      </c>
      <c r="Y364" s="83">
        <v>0</v>
      </c>
      <c r="Z364" s="83"/>
      <c r="AA364" s="31"/>
      <c r="AB364" s="132"/>
      <c r="AC364" s="83" t="s">
        <v>994</v>
      </c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>
        <v>0.65</v>
      </c>
      <c r="AO364" s="31">
        <v>3250</v>
      </c>
      <c r="AP364" s="31">
        <v>0.3339765359742346</v>
      </c>
      <c r="AQ364" s="31">
        <v>1669.882679871173</v>
      </c>
      <c r="AR364" s="31"/>
      <c r="AS364" s="31">
        <v>43865</v>
      </c>
      <c r="AT364" s="31" t="s">
        <v>645</v>
      </c>
      <c r="AU364" s="31">
        <v>3250</v>
      </c>
      <c r="AV364" s="31" t="s">
        <v>645</v>
      </c>
      <c r="AW364"/>
      <c r="AX364" s="31" t="s">
        <v>646</v>
      </c>
      <c r="AY364">
        <v>13515423</v>
      </c>
      <c r="AZ364" s="83">
        <v>20646696</v>
      </c>
      <c r="BA364" t="s">
        <v>647</v>
      </c>
      <c r="BB364" s="31" t="str">
        <f>BBDD_TERRENO[[#This Row],[Comuna]]&amp;BBDD_TERRENO[[#This Row],[Identificacion Propiedad]]</f>
        <v>Puerto MonttLote 25 (Cardenas - Alberto Cardenas)</v>
      </c>
    </row>
    <row r="365" spans="1:54" x14ac:dyDescent="0.3">
      <c r="A365" s="31" t="s">
        <v>70</v>
      </c>
      <c r="B365" s="31" t="s">
        <v>169</v>
      </c>
      <c r="C365" s="31" t="s">
        <v>995</v>
      </c>
      <c r="D365" s="31" t="s">
        <v>933</v>
      </c>
      <c r="E365" s="42">
        <v>79700</v>
      </c>
      <c r="F365" s="31" t="s">
        <v>538</v>
      </c>
      <c r="G365" s="32"/>
      <c r="H365" s="31"/>
      <c r="I365" s="83"/>
      <c r="J365" s="83"/>
      <c r="K365" s="83">
        <v>46221791</v>
      </c>
      <c r="L365" s="83">
        <v>661074210</v>
      </c>
      <c r="M365" s="83">
        <v>735870345</v>
      </c>
      <c r="N365" s="83">
        <v>48089106</v>
      </c>
      <c r="O365" s="83">
        <v>687781239</v>
      </c>
      <c r="P365" s="31" t="s">
        <v>934</v>
      </c>
      <c r="Q365" s="31" t="s">
        <v>996</v>
      </c>
      <c r="R365" s="31" t="s">
        <v>934</v>
      </c>
      <c r="S365" s="31" t="s">
        <v>641</v>
      </c>
      <c r="T365" s="31" t="s">
        <v>642</v>
      </c>
      <c r="U365" s="35" t="s">
        <v>680</v>
      </c>
      <c r="V365" s="134"/>
      <c r="W365" s="85">
        <v>28574344</v>
      </c>
      <c r="X365" s="83">
        <v>26707029</v>
      </c>
      <c r="Y365" s="83">
        <v>1867315</v>
      </c>
      <c r="Z365" s="83">
        <v>79700</v>
      </c>
      <c r="AA365" s="31" t="s">
        <v>936</v>
      </c>
      <c r="AB365" s="132">
        <v>37487</v>
      </c>
      <c r="AC365" s="83" t="s">
        <v>997</v>
      </c>
      <c r="AD365" s="31"/>
      <c r="AE365" s="31" t="s">
        <v>177</v>
      </c>
      <c r="AF365" s="31"/>
      <c r="AG365" s="31"/>
      <c r="AH365" s="31"/>
      <c r="AI365" s="31"/>
      <c r="AJ365" s="31"/>
      <c r="AK365" s="31"/>
      <c r="AL365" s="31"/>
      <c r="AM365" s="31"/>
      <c r="AN365" s="31">
        <v>0.2</v>
      </c>
      <c r="AO365" s="31">
        <v>15940</v>
      </c>
      <c r="AP365" s="31">
        <v>0.06</v>
      </c>
      <c r="AQ365" s="31">
        <v>4799.0416053947392</v>
      </c>
      <c r="AR365" s="31"/>
      <c r="AS365" s="31">
        <v>45622</v>
      </c>
      <c r="AT365" s="31" t="s">
        <v>645</v>
      </c>
      <c r="AU365" s="31">
        <v>8867.8742275573532</v>
      </c>
      <c r="AV365" s="31" t="s">
        <v>645</v>
      </c>
      <c r="AW365"/>
      <c r="AY365">
        <v>707296001</v>
      </c>
      <c r="AZ365" s="83">
        <v>390738204</v>
      </c>
      <c r="BA365" t="s">
        <v>647</v>
      </c>
      <c r="BB365" s="31" t="str">
        <f>BBDD_TERRENO[[#This Row],[Comuna]]&amp;BBDD_TERRENO[[#This Row],[Identificacion Propiedad]]</f>
        <v>HualquiLote 07 Llepinhue</v>
      </c>
    </row>
    <row r="366" spans="1:54" x14ac:dyDescent="0.3">
      <c r="A366" s="31" t="s">
        <v>70</v>
      </c>
      <c r="B366" s="31" t="s">
        <v>71</v>
      </c>
      <c r="C366" s="31" t="s">
        <v>998</v>
      </c>
      <c r="D366" s="31" t="s">
        <v>638</v>
      </c>
      <c r="E366" s="42">
        <v>5000</v>
      </c>
      <c r="F366" s="31" t="s">
        <v>538</v>
      </c>
      <c r="G366" s="32"/>
      <c r="H366" s="31"/>
      <c r="I366" s="83"/>
      <c r="J366" s="83"/>
      <c r="K366" s="83">
        <v>0</v>
      </c>
      <c r="L366" s="83">
        <v>13515423</v>
      </c>
      <c r="M366" s="83">
        <v>14061432</v>
      </c>
      <c r="N366" s="83">
        <v>0</v>
      </c>
      <c r="O366" s="83">
        <v>14061432</v>
      </c>
      <c r="P366" s="31" t="s">
        <v>639</v>
      </c>
      <c r="Q366" s="31" t="s">
        <v>999</v>
      </c>
      <c r="R366" s="31" t="s">
        <v>639</v>
      </c>
      <c r="S366" s="31" t="s">
        <v>641</v>
      </c>
      <c r="T366" s="31" t="s">
        <v>642</v>
      </c>
      <c r="U366" s="35" t="s">
        <v>643</v>
      </c>
      <c r="V366" s="134"/>
      <c r="W366" s="85">
        <v>546009</v>
      </c>
      <c r="X366" s="83">
        <v>546009</v>
      </c>
      <c r="Y366" s="83">
        <v>0</v>
      </c>
      <c r="Z366" s="83"/>
      <c r="AA366" s="31"/>
      <c r="AB366" s="132"/>
      <c r="AC366" s="83" t="s">
        <v>1000</v>
      </c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>
        <v>0.65</v>
      </c>
      <c r="AO366" s="31">
        <v>3250</v>
      </c>
      <c r="AP366" s="31">
        <v>0.3339765359742346</v>
      </c>
      <c r="AQ366" s="31">
        <v>1669.882679871173</v>
      </c>
      <c r="AR366" s="31"/>
      <c r="AS366" s="31">
        <v>43865</v>
      </c>
      <c r="AT366" s="31" t="s">
        <v>645</v>
      </c>
      <c r="AU366" s="31">
        <v>3250</v>
      </c>
      <c r="AV366" s="31" t="s">
        <v>645</v>
      </c>
      <c r="AW366"/>
      <c r="AX366" s="31" t="s">
        <v>646</v>
      </c>
      <c r="AY366">
        <v>13515423</v>
      </c>
      <c r="AZ366" s="83">
        <v>20646696</v>
      </c>
      <c r="BA366" t="s">
        <v>647</v>
      </c>
      <c r="BB366" s="31" t="str">
        <f>BBDD_TERRENO[[#This Row],[Comuna]]&amp;BBDD_TERRENO[[#This Row],[Identificacion Propiedad]]</f>
        <v>Puerto MonttLote 26 (Cardenas - Alberto Cardenas)</v>
      </c>
    </row>
    <row r="367" spans="1:54" x14ac:dyDescent="0.3">
      <c r="A367" s="31" t="s">
        <v>70</v>
      </c>
      <c r="B367" s="31" t="s">
        <v>169</v>
      </c>
      <c r="C367" s="31" t="s">
        <v>1001</v>
      </c>
      <c r="D367" s="31" t="s">
        <v>933</v>
      </c>
      <c r="E367" s="42">
        <v>79860</v>
      </c>
      <c r="F367" s="31" t="s">
        <v>538</v>
      </c>
      <c r="G367" s="32"/>
      <c r="H367" s="31"/>
      <c r="I367" s="83"/>
      <c r="J367" s="83"/>
      <c r="K367" s="83">
        <v>46221791</v>
      </c>
      <c r="L367" s="83">
        <v>661074210</v>
      </c>
      <c r="M367" s="83">
        <v>735870345</v>
      </c>
      <c r="N367" s="83">
        <v>48089106</v>
      </c>
      <c r="O367" s="83">
        <v>687781239</v>
      </c>
      <c r="P367" s="31" t="s">
        <v>934</v>
      </c>
      <c r="Q367" s="31" t="s">
        <v>1002</v>
      </c>
      <c r="R367" s="31" t="s">
        <v>934</v>
      </c>
      <c r="S367" s="31" t="s">
        <v>641</v>
      </c>
      <c r="T367" s="31" t="s">
        <v>642</v>
      </c>
      <c r="U367" s="35" t="s">
        <v>680</v>
      </c>
      <c r="V367" s="134"/>
      <c r="W367" s="85">
        <v>28574344</v>
      </c>
      <c r="X367" s="83">
        <v>26707029</v>
      </c>
      <c r="Y367" s="83">
        <v>1867315</v>
      </c>
      <c r="Z367" s="83">
        <v>79860</v>
      </c>
      <c r="AA367" s="31" t="s">
        <v>936</v>
      </c>
      <c r="AB367" s="132">
        <v>37487</v>
      </c>
      <c r="AC367" s="83" t="s">
        <v>1003</v>
      </c>
      <c r="AD367" s="31"/>
      <c r="AE367" s="31" t="s">
        <v>177</v>
      </c>
      <c r="AF367" s="31"/>
      <c r="AG367" s="31"/>
      <c r="AH367" s="31"/>
      <c r="AI367" s="31"/>
      <c r="AJ367" s="31"/>
      <c r="AK367" s="31"/>
      <c r="AL367" s="31"/>
      <c r="AM367" s="31"/>
      <c r="AN367" s="31">
        <v>0.2</v>
      </c>
      <c r="AO367" s="31">
        <v>15972</v>
      </c>
      <c r="AP367" s="31">
        <v>0.06</v>
      </c>
      <c r="AQ367" s="31">
        <v>4808.6758168986689</v>
      </c>
      <c r="AR367" s="31"/>
      <c r="AS367" s="31">
        <v>45622</v>
      </c>
      <c r="AT367" s="31" t="s">
        <v>645</v>
      </c>
      <c r="AU367" s="31">
        <v>8885.6767354169424</v>
      </c>
      <c r="AV367" s="31" t="s">
        <v>645</v>
      </c>
      <c r="AW367"/>
      <c r="AY367">
        <v>707296001</v>
      </c>
      <c r="AZ367" s="83">
        <v>391522620</v>
      </c>
      <c r="BA367" t="s">
        <v>647</v>
      </c>
      <c r="BB367" s="31" t="str">
        <f>BBDD_TERRENO[[#This Row],[Comuna]]&amp;BBDD_TERRENO[[#This Row],[Identificacion Propiedad]]</f>
        <v>HualquiLote 05 Llepinhue</v>
      </c>
    </row>
    <row r="368" spans="1:54" x14ac:dyDescent="0.3">
      <c r="A368" s="31" t="s">
        <v>70</v>
      </c>
      <c r="B368" s="31" t="s">
        <v>71</v>
      </c>
      <c r="C368" s="31" t="s">
        <v>1004</v>
      </c>
      <c r="D368" s="31" t="s">
        <v>638</v>
      </c>
      <c r="E368" s="42">
        <v>5000</v>
      </c>
      <c r="F368" s="31" t="s">
        <v>538</v>
      </c>
      <c r="G368" s="32"/>
      <c r="H368" s="31"/>
      <c r="I368" s="83"/>
      <c r="J368" s="83"/>
      <c r="K368" s="83">
        <v>0</v>
      </c>
      <c r="L368" s="83">
        <v>13515423</v>
      </c>
      <c r="M368" s="83">
        <v>14061432</v>
      </c>
      <c r="N368" s="83">
        <v>0</v>
      </c>
      <c r="O368" s="83">
        <v>14061432</v>
      </c>
      <c r="P368" s="31" t="s">
        <v>639</v>
      </c>
      <c r="Q368" s="31" t="s">
        <v>1005</v>
      </c>
      <c r="R368" s="31" t="s">
        <v>639</v>
      </c>
      <c r="S368" s="31" t="s">
        <v>641</v>
      </c>
      <c r="T368" s="31" t="s">
        <v>642</v>
      </c>
      <c r="U368" s="35" t="s">
        <v>643</v>
      </c>
      <c r="V368" s="134"/>
      <c r="W368" s="85">
        <v>546009</v>
      </c>
      <c r="X368" s="83">
        <v>546009</v>
      </c>
      <c r="Y368" s="83">
        <v>0</v>
      </c>
      <c r="Z368" s="83"/>
      <c r="AA368" s="31"/>
      <c r="AB368" s="132"/>
      <c r="AC368" s="83" t="s">
        <v>1006</v>
      </c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>
        <v>0.65</v>
      </c>
      <c r="AO368" s="31">
        <v>3250</v>
      </c>
      <c r="AP368" s="31">
        <v>0.3339765359742346</v>
      </c>
      <c r="AQ368" s="31">
        <v>1669.882679871173</v>
      </c>
      <c r="AR368" s="31"/>
      <c r="AS368" s="31">
        <v>43865</v>
      </c>
      <c r="AT368" s="31" t="s">
        <v>645</v>
      </c>
      <c r="AU368" s="31">
        <v>3250</v>
      </c>
      <c r="AV368" s="31" t="s">
        <v>645</v>
      </c>
      <c r="AW368"/>
      <c r="AX368" s="31" t="s">
        <v>646</v>
      </c>
      <c r="AY368">
        <v>13515423</v>
      </c>
      <c r="AZ368" s="83">
        <v>20646696</v>
      </c>
      <c r="BA368" t="s">
        <v>647</v>
      </c>
      <c r="BB368" s="31" t="str">
        <f>BBDD_TERRENO[[#This Row],[Comuna]]&amp;BBDD_TERRENO[[#This Row],[Identificacion Propiedad]]</f>
        <v>Puerto MonttLote 27 (Cardenas - Alberto Cardenas)</v>
      </c>
    </row>
    <row r="369" spans="1:54" x14ac:dyDescent="0.3">
      <c r="A369" s="31" t="s">
        <v>70</v>
      </c>
      <c r="B369" s="31" t="s">
        <v>169</v>
      </c>
      <c r="C369" s="31" t="s">
        <v>1007</v>
      </c>
      <c r="D369" s="31" t="s">
        <v>933</v>
      </c>
      <c r="E369" s="42">
        <v>79891</v>
      </c>
      <c r="F369" s="31" t="s">
        <v>538</v>
      </c>
      <c r="G369" s="32"/>
      <c r="H369" s="31"/>
      <c r="I369" s="83"/>
      <c r="J369" s="83"/>
      <c r="K369" s="83">
        <v>46221791</v>
      </c>
      <c r="L369" s="83">
        <v>661074210</v>
      </c>
      <c r="M369" s="83">
        <v>735870345</v>
      </c>
      <c r="N369" s="83">
        <v>48089106</v>
      </c>
      <c r="O369" s="83">
        <v>687781239</v>
      </c>
      <c r="P369" s="31" t="s">
        <v>934</v>
      </c>
      <c r="Q369" s="31" t="s">
        <v>1008</v>
      </c>
      <c r="R369" s="31" t="s">
        <v>934</v>
      </c>
      <c r="S369" s="31" t="s">
        <v>641</v>
      </c>
      <c r="T369" s="31" t="s">
        <v>642</v>
      </c>
      <c r="U369" s="35" t="s">
        <v>680</v>
      </c>
      <c r="V369" s="134"/>
      <c r="W369" s="85">
        <v>28574344</v>
      </c>
      <c r="X369" s="83">
        <v>26707029</v>
      </c>
      <c r="Y369" s="83">
        <v>1867315</v>
      </c>
      <c r="Z369" s="83">
        <v>79891</v>
      </c>
      <c r="AA369" s="31" t="s">
        <v>936</v>
      </c>
      <c r="AB369" s="132">
        <v>37487</v>
      </c>
      <c r="AC369" s="83" t="s">
        <v>1009</v>
      </c>
      <c r="AD369" s="31"/>
      <c r="AE369" s="31" t="s">
        <v>177</v>
      </c>
      <c r="AF369" s="31"/>
      <c r="AG369" s="31"/>
      <c r="AH369" s="31"/>
      <c r="AI369" s="31"/>
      <c r="AJ369" s="31"/>
      <c r="AK369" s="31"/>
      <c r="AL369" s="31"/>
      <c r="AM369" s="31"/>
      <c r="AN369" s="31">
        <v>0.2</v>
      </c>
      <c r="AO369" s="31">
        <v>15978.2</v>
      </c>
      <c r="AP369" s="31">
        <v>6.2E-2</v>
      </c>
      <c r="AQ369" s="31">
        <v>4915.1194550596756</v>
      </c>
      <c r="AR369" s="31"/>
      <c r="AS369" s="31">
        <v>45622</v>
      </c>
      <c r="AT369" s="31" t="s">
        <v>645</v>
      </c>
      <c r="AU369" s="31">
        <v>8889.1259713147374</v>
      </c>
      <c r="AV369" s="31" t="s">
        <v>645</v>
      </c>
      <c r="AW369"/>
      <c r="AY369">
        <v>707296001</v>
      </c>
      <c r="AZ369" s="83">
        <v>391674600</v>
      </c>
      <c r="BA369" t="s">
        <v>647</v>
      </c>
      <c r="BB369" s="31" t="str">
        <f>BBDD_TERRENO[[#This Row],[Comuna]]&amp;BBDD_TERRENO[[#This Row],[Identificacion Propiedad]]</f>
        <v>HualquiLote 16 Llepinhue</v>
      </c>
    </row>
    <row r="370" spans="1:54" x14ac:dyDescent="0.3">
      <c r="A370" s="31" t="s">
        <v>70</v>
      </c>
      <c r="B370" s="31" t="s">
        <v>71</v>
      </c>
      <c r="C370" s="31" t="s">
        <v>1010</v>
      </c>
      <c r="D370" s="31" t="s">
        <v>638</v>
      </c>
      <c r="E370" s="42">
        <v>5000</v>
      </c>
      <c r="F370" s="31" t="s">
        <v>538</v>
      </c>
      <c r="G370" s="32"/>
      <c r="H370" s="31"/>
      <c r="I370" s="83"/>
      <c r="J370" s="83"/>
      <c r="K370" s="83">
        <v>0</v>
      </c>
      <c r="L370" s="83">
        <v>13515423</v>
      </c>
      <c r="M370" s="83">
        <v>14061432</v>
      </c>
      <c r="N370" s="83">
        <v>0</v>
      </c>
      <c r="O370" s="83">
        <v>14061432</v>
      </c>
      <c r="P370" s="31" t="s">
        <v>639</v>
      </c>
      <c r="Q370" s="31" t="s">
        <v>1011</v>
      </c>
      <c r="R370" s="31" t="s">
        <v>639</v>
      </c>
      <c r="S370" s="31" t="s">
        <v>641</v>
      </c>
      <c r="T370" s="31" t="s">
        <v>642</v>
      </c>
      <c r="U370" s="35" t="s">
        <v>643</v>
      </c>
      <c r="V370" s="134"/>
      <c r="W370" s="85">
        <v>546009</v>
      </c>
      <c r="X370" s="83">
        <v>546009</v>
      </c>
      <c r="Y370" s="83">
        <v>0</v>
      </c>
      <c r="Z370" s="83"/>
      <c r="AA370" s="31"/>
      <c r="AB370" s="132"/>
      <c r="AC370" s="83" t="s">
        <v>1012</v>
      </c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>
        <v>0.65</v>
      </c>
      <c r="AO370" s="31">
        <v>3250</v>
      </c>
      <c r="AP370" s="31">
        <v>0.3339765359742346</v>
      </c>
      <c r="AQ370" s="31">
        <v>1669.882679871173</v>
      </c>
      <c r="AR370" s="31"/>
      <c r="AS370" s="31">
        <v>43865</v>
      </c>
      <c r="AT370" s="31" t="s">
        <v>645</v>
      </c>
      <c r="AU370" s="31">
        <v>3250</v>
      </c>
      <c r="AV370" s="31" t="s">
        <v>645</v>
      </c>
      <c r="AW370"/>
      <c r="AX370" s="31" t="s">
        <v>646</v>
      </c>
      <c r="AY370">
        <v>13515423</v>
      </c>
      <c r="AZ370" s="83">
        <v>20646696</v>
      </c>
      <c r="BA370" t="s">
        <v>647</v>
      </c>
      <c r="BB370" s="31" t="str">
        <f>BBDD_TERRENO[[#This Row],[Comuna]]&amp;BBDD_TERRENO[[#This Row],[Identificacion Propiedad]]</f>
        <v>Puerto MonttLote 28 (Cardenas - Alberto Cardenas)</v>
      </c>
    </row>
    <row r="371" spans="1:54" x14ac:dyDescent="0.3">
      <c r="A371" s="31" t="s">
        <v>70</v>
      </c>
      <c r="B371" s="31" t="s">
        <v>71</v>
      </c>
      <c r="C371" s="31" t="s">
        <v>1013</v>
      </c>
      <c r="D371" s="31" t="s">
        <v>638</v>
      </c>
      <c r="E371" s="42">
        <v>5000</v>
      </c>
      <c r="F371" s="31" t="s">
        <v>538</v>
      </c>
      <c r="G371" s="32"/>
      <c r="H371" s="31"/>
      <c r="I371" s="83"/>
      <c r="J371" s="83"/>
      <c r="K371" s="83">
        <v>0</v>
      </c>
      <c r="L371" s="83">
        <v>13515423</v>
      </c>
      <c r="M371" s="83">
        <v>14061432</v>
      </c>
      <c r="N371" s="83">
        <v>0</v>
      </c>
      <c r="O371" s="83">
        <v>14061432</v>
      </c>
      <c r="P371" s="31" t="s">
        <v>639</v>
      </c>
      <c r="Q371" s="31" t="s">
        <v>1014</v>
      </c>
      <c r="R371" s="31" t="s">
        <v>639</v>
      </c>
      <c r="S371" s="31" t="s">
        <v>641</v>
      </c>
      <c r="T371" s="31" t="s">
        <v>642</v>
      </c>
      <c r="U371" s="35" t="s">
        <v>643</v>
      </c>
      <c r="V371" s="134"/>
      <c r="W371" s="85">
        <v>546009</v>
      </c>
      <c r="X371" s="83">
        <v>546009</v>
      </c>
      <c r="Y371" s="83">
        <v>0</v>
      </c>
      <c r="Z371" s="83"/>
      <c r="AA371" s="31"/>
      <c r="AB371" s="132"/>
      <c r="AC371" s="83" t="s">
        <v>1015</v>
      </c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>
        <v>0.65</v>
      </c>
      <c r="AO371" s="31">
        <v>3250</v>
      </c>
      <c r="AP371" s="31">
        <v>0.3339765359742346</v>
      </c>
      <c r="AQ371" s="31">
        <v>1669.882679871173</v>
      </c>
      <c r="AR371" s="31"/>
      <c r="AS371" s="31">
        <v>43865</v>
      </c>
      <c r="AT371" s="31" t="s">
        <v>645</v>
      </c>
      <c r="AU371" s="31">
        <v>3250</v>
      </c>
      <c r="AV371" s="31" t="s">
        <v>645</v>
      </c>
      <c r="AW371"/>
      <c r="AX371" s="31" t="s">
        <v>646</v>
      </c>
      <c r="AY371">
        <v>13515423</v>
      </c>
      <c r="AZ371" s="83">
        <v>20646696</v>
      </c>
      <c r="BA371" t="s">
        <v>647</v>
      </c>
      <c r="BB371" s="31" t="str">
        <f>BBDD_TERRENO[[#This Row],[Comuna]]&amp;BBDD_TERRENO[[#This Row],[Identificacion Propiedad]]</f>
        <v>Puerto MonttLote 29 (Cardenas - Alberto Cardenas)</v>
      </c>
    </row>
    <row r="372" spans="1:54" x14ac:dyDescent="0.3">
      <c r="A372" s="31" t="s">
        <v>70</v>
      </c>
      <c r="B372" s="31" t="s">
        <v>71</v>
      </c>
      <c r="C372" s="31" t="s">
        <v>1016</v>
      </c>
      <c r="D372" s="31" t="s">
        <v>638</v>
      </c>
      <c r="E372" s="42">
        <v>5000</v>
      </c>
      <c r="F372" s="31" t="s">
        <v>538</v>
      </c>
      <c r="G372" s="32"/>
      <c r="H372" s="31"/>
      <c r="I372" s="83"/>
      <c r="J372" s="83"/>
      <c r="K372" s="83">
        <v>0</v>
      </c>
      <c r="L372" s="83">
        <v>13515423</v>
      </c>
      <c r="M372" s="83">
        <v>14061432</v>
      </c>
      <c r="N372" s="83">
        <v>0</v>
      </c>
      <c r="O372" s="83">
        <v>14061432</v>
      </c>
      <c r="P372" s="31" t="s">
        <v>639</v>
      </c>
      <c r="Q372" s="31" t="s">
        <v>1017</v>
      </c>
      <c r="R372" s="31" t="s">
        <v>639</v>
      </c>
      <c r="S372" s="31" t="s">
        <v>641</v>
      </c>
      <c r="T372" s="31" t="s">
        <v>642</v>
      </c>
      <c r="U372" s="35" t="s">
        <v>643</v>
      </c>
      <c r="V372" s="134"/>
      <c r="W372" s="85">
        <v>546009</v>
      </c>
      <c r="X372" s="83">
        <v>546009</v>
      </c>
      <c r="Y372" s="83">
        <v>0</v>
      </c>
      <c r="Z372" s="83"/>
      <c r="AA372" s="31"/>
      <c r="AB372" s="132"/>
      <c r="AC372" s="83" t="s">
        <v>1018</v>
      </c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>
        <v>0.65</v>
      </c>
      <c r="AO372" s="31">
        <v>3250</v>
      </c>
      <c r="AP372" s="31">
        <v>0.3339765359742346</v>
      </c>
      <c r="AQ372" s="31">
        <v>1669.882679871173</v>
      </c>
      <c r="AR372" s="31"/>
      <c r="AS372" s="31">
        <v>43865</v>
      </c>
      <c r="AT372" s="31" t="s">
        <v>645</v>
      </c>
      <c r="AU372" s="31">
        <v>3250</v>
      </c>
      <c r="AV372" s="31" t="s">
        <v>645</v>
      </c>
      <c r="AW372"/>
      <c r="AX372" s="31" t="s">
        <v>646</v>
      </c>
      <c r="AY372">
        <v>13515423</v>
      </c>
      <c r="AZ372" s="83">
        <v>20646696</v>
      </c>
      <c r="BA372" t="s">
        <v>647</v>
      </c>
      <c r="BB372" s="31" t="str">
        <f>BBDD_TERRENO[[#This Row],[Comuna]]&amp;BBDD_TERRENO[[#This Row],[Identificacion Propiedad]]</f>
        <v>Puerto MonttLote 30 (Cardenas - Alberto Cardenas)</v>
      </c>
    </row>
    <row r="373" spans="1:54" x14ac:dyDescent="0.3">
      <c r="A373" s="31" t="s">
        <v>70</v>
      </c>
      <c r="B373" s="31" t="s">
        <v>71</v>
      </c>
      <c r="C373" s="31" t="s">
        <v>1019</v>
      </c>
      <c r="D373" s="31" t="s">
        <v>638</v>
      </c>
      <c r="E373" s="42">
        <v>5000</v>
      </c>
      <c r="F373" s="31" t="s">
        <v>538</v>
      </c>
      <c r="G373" s="32"/>
      <c r="H373" s="31"/>
      <c r="I373" s="83"/>
      <c r="J373" s="83"/>
      <c r="K373" s="83">
        <v>0</v>
      </c>
      <c r="L373" s="83">
        <v>13515423</v>
      </c>
      <c r="M373" s="83">
        <v>14061432</v>
      </c>
      <c r="N373" s="83">
        <v>0</v>
      </c>
      <c r="O373" s="83">
        <v>14061432</v>
      </c>
      <c r="P373" s="31" t="s">
        <v>639</v>
      </c>
      <c r="Q373" s="31" t="s">
        <v>1020</v>
      </c>
      <c r="R373" s="31" t="s">
        <v>639</v>
      </c>
      <c r="S373" s="31" t="s">
        <v>641</v>
      </c>
      <c r="T373" s="31" t="s">
        <v>642</v>
      </c>
      <c r="U373" s="35" t="s">
        <v>643</v>
      </c>
      <c r="V373" s="134"/>
      <c r="W373" s="85">
        <v>546009</v>
      </c>
      <c r="X373" s="83">
        <v>546009</v>
      </c>
      <c r="Y373" s="83">
        <v>0</v>
      </c>
      <c r="Z373" s="83"/>
      <c r="AA373" s="31"/>
      <c r="AB373" s="132"/>
      <c r="AC373" s="83" t="s">
        <v>1021</v>
      </c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>
        <v>0.65</v>
      </c>
      <c r="AO373" s="31">
        <v>3250</v>
      </c>
      <c r="AP373" s="31">
        <v>0.3339765359742346</v>
      </c>
      <c r="AQ373" s="31">
        <v>1669.882679871173</v>
      </c>
      <c r="AR373" s="31"/>
      <c r="AS373" s="31">
        <v>43865</v>
      </c>
      <c r="AT373" s="31" t="s">
        <v>645</v>
      </c>
      <c r="AU373" s="31">
        <v>3250</v>
      </c>
      <c r="AV373" s="31" t="s">
        <v>645</v>
      </c>
      <c r="AW373"/>
      <c r="AX373" s="31" t="s">
        <v>646</v>
      </c>
      <c r="AY373">
        <v>13515423</v>
      </c>
      <c r="AZ373" s="83">
        <v>20646696</v>
      </c>
      <c r="BA373" t="s">
        <v>647</v>
      </c>
      <c r="BB373" s="31" t="str">
        <f>BBDD_TERRENO[[#This Row],[Comuna]]&amp;BBDD_TERRENO[[#This Row],[Identificacion Propiedad]]</f>
        <v>Puerto MonttLote 31 (Cardenas - Alberto Cardenas)</v>
      </c>
    </row>
    <row r="374" spans="1:54" x14ac:dyDescent="0.3">
      <c r="A374" s="31" t="s">
        <v>70</v>
      </c>
      <c r="B374" s="31" t="s">
        <v>71</v>
      </c>
      <c r="C374" s="31" t="s">
        <v>1022</v>
      </c>
      <c r="D374" s="31" t="s">
        <v>638</v>
      </c>
      <c r="E374" s="42">
        <v>5000</v>
      </c>
      <c r="F374" s="31" t="s">
        <v>538</v>
      </c>
      <c r="G374" s="32"/>
      <c r="H374" s="31"/>
      <c r="I374" s="83"/>
      <c r="J374" s="83"/>
      <c r="K374" s="83">
        <v>0</v>
      </c>
      <c r="L374" s="83">
        <v>13515423</v>
      </c>
      <c r="M374" s="83">
        <v>14061432</v>
      </c>
      <c r="N374" s="83">
        <v>0</v>
      </c>
      <c r="O374" s="83">
        <v>14061432</v>
      </c>
      <c r="P374" s="31" t="s">
        <v>639</v>
      </c>
      <c r="Q374" s="31" t="s">
        <v>1023</v>
      </c>
      <c r="R374" s="31" t="s">
        <v>639</v>
      </c>
      <c r="S374" s="31" t="s">
        <v>641</v>
      </c>
      <c r="T374" s="31" t="s">
        <v>642</v>
      </c>
      <c r="U374" s="35" t="s">
        <v>643</v>
      </c>
      <c r="V374" s="134"/>
      <c r="W374" s="85">
        <v>546009</v>
      </c>
      <c r="X374" s="83">
        <v>546009</v>
      </c>
      <c r="Y374" s="83">
        <v>0</v>
      </c>
      <c r="Z374" s="83"/>
      <c r="AA374" s="31"/>
      <c r="AB374" s="132"/>
      <c r="AC374" s="83" t="s">
        <v>1024</v>
      </c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>
        <v>0.65</v>
      </c>
      <c r="AO374" s="31">
        <v>3250</v>
      </c>
      <c r="AP374" s="31">
        <v>0.3339765359742346</v>
      </c>
      <c r="AQ374" s="31">
        <v>1669.882679871173</v>
      </c>
      <c r="AR374" s="31"/>
      <c r="AS374" s="31">
        <v>43865</v>
      </c>
      <c r="AT374" s="31" t="s">
        <v>645</v>
      </c>
      <c r="AU374" s="31">
        <v>3250</v>
      </c>
      <c r="AV374" s="31" t="s">
        <v>645</v>
      </c>
      <c r="AW374"/>
      <c r="AX374" s="31" t="s">
        <v>646</v>
      </c>
      <c r="AY374">
        <v>13515423</v>
      </c>
      <c r="AZ374" s="83">
        <v>20646696</v>
      </c>
      <c r="BA374" t="s">
        <v>647</v>
      </c>
      <c r="BB374" s="31" t="str">
        <f>BBDD_TERRENO[[#This Row],[Comuna]]&amp;BBDD_TERRENO[[#This Row],[Identificacion Propiedad]]</f>
        <v>Puerto MonttLote 32 (Cardenas - Alberto Cardenas)</v>
      </c>
    </row>
    <row r="375" spans="1:54" x14ac:dyDescent="0.3">
      <c r="A375" s="31" t="s">
        <v>70</v>
      </c>
      <c r="B375" s="31" t="s">
        <v>71</v>
      </c>
      <c r="C375" s="31" t="s">
        <v>1025</v>
      </c>
      <c r="D375" s="31" t="s">
        <v>638</v>
      </c>
      <c r="E375" s="42">
        <v>5000</v>
      </c>
      <c r="F375" s="31" t="s">
        <v>538</v>
      </c>
      <c r="G375" s="32"/>
      <c r="H375" s="31"/>
      <c r="I375" s="83"/>
      <c r="J375" s="83"/>
      <c r="K375" s="83">
        <v>0</v>
      </c>
      <c r="L375" s="83">
        <v>13515423</v>
      </c>
      <c r="M375" s="83">
        <v>14061432</v>
      </c>
      <c r="N375" s="83">
        <v>0</v>
      </c>
      <c r="O375" s="83">
        <v>14061432</v>
      </c>
      <c r="P375" s="31" t="s">
        <v>639</v>
      </c>
      <c r="Q375" s="31" t="s">
        <v>1026</v>
      </c>
      <c r="R375" s="31" t="s">
        <v>639</v>
      </c>
      <c r="S375" s="31" t="s">
        <v>641</v>
      </c>
      <c r="T375" s="31" t="s">
        <v>642</v>
      </c>
      <c r="U375" s="35" t="s">
        <v>643</v>
      </c>
      <c r="V375" s="134"/>
      <c r="W375" s="85">
        <v>546009</v>
      </c>
      <c r="X375" s="83">
        <v>546009</v>
      </c>
      <c r="Y375" s="83">
        <v>0</v>
      </c>
      <c r="Z375" s="83"/>
      <c r="AA375" s="31"/>
      <c r="AB375" s="132"/>
      <c r="AC375" s="83" t="s">
        <v>1027</v>
      </c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>
        <v>0.65</v>
      </c>
      <c r="AO375" s="31">
        <v>3250</v>
      </c>
      <c r="AP375" s="31">
        <v>0.3339765359742346</v>
      </c>
      <c r="AQ375" s="31">
        <v>1669.882679871173</v>
      </c>
      <c r="AR375" s="31"/>
      <c r="AS375" s="31">
        <v>43865</v>
      </c>
      <c r="AT375" s="31" t="s">
        <v>645</v>
      </c>
      <c r="AU375" s="31">
        <v>3250</v>
      </c>
      <c r="AV375" s="31" t="s">
        <v>645</v>
      </c>
      <c r="AW375"/>
      <c r="AX375" s="31" t="s">
        <v>646</v>
      </c>
      <c r="AY375">
        <v>13515423</v>
      </c>
      <c r="AZ375" s="83">
        <v>20646696</v>
      </c>
      <c r="BA375" t="s">
        <v>647</v>
      </c>
      <c r="BB375" s="31" t="str">
        <f>BBDD_TERRENO[[#This Row],[Comuna]]&amp;BBDD_TERRENO[[#This Row],[Identificacion Propiedad]]</f>
        <v>Puerto MonttLote 33 (Cardenas - Alberto Cardenas)</v>
      </c>
    </row>
    <row r="376" spans="1:54" x14ac:dyDescent="0.3">
      <c r="A376" s="31" t="s">
        <v>70</v>
      </c>
      <c r="B376" s="31" t="s">
        <v>71</v>
      </c>
      <c r="C376" s="31" t="s">
        <v>1028</v>
      </c>
      <c r="D376" s="31" t="s">
        <v>638</v>
      </c>
      <c r="E376" s="42">
        <v>5000</v>
      </c>
      <c r="F376" s="31" t="s">
        <v>538</v>
      </c>
      <c r="G376" s="32"/>
      <c r="H376" s="31"/>
      <c r="I376" s="83"/>
      <c r="J376" s="83"/>
      <c r="K376" s="83">
        <v>0</v>
      </c>
      <c r="L376" s="83">
        <v>13515423</v>
      </c>
      <c r="M376" s="83">
        <v>14061432</v>
      </c>
      <c r="N376" s="83">
        <v>0</v>
      </c>
      <c r="O376" s="83">
        <v>14061432</v>
      </c>
      <c r="P376" s="31" t="s">
        <v>639</v>
      </c>
      <c r="Q376" s="31" t="s">
        <v>1029</v>
      </c>
      <c r="R376" s="31" t="s">
        <v>639</v>
      </c>
      <c r="S376" s="31" t="s">
        <v>641</v>
      </c>
      <c r="T376" s="31" t="s">
        <v>642</v>
      </c>
      <c r="U376" s="35" t="s">
        <v>643</v>
      </c>
      <c r="V376" s="134"/>
      <c r="W376" s="85">
        <v>546009</v>
      </c>
      <c r="X376" s="83">
        <v>546009</v>
      </c>
      <c r="Y376" s="83">
        <v>0</v>
      </c>
      <c r="Z376" s="83"/>
      <c r="AA376" s="31"/>
      <c r="AB376" s="132"/>
      <c r="AC376" s="83" t="s">
        <v>1030</v>
      </c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>
        <v>0.65</v>
      </c>
      <c r="AO376" s="31">
        <v>3250</v>
      </c>
      <c r="AP376" s="31">
        <v>0.3339765359742346</v>
      </c>
      <c r="AQ376" s="31">
        <v>1669.882679871173</v>
      </c>
      <c r="AR376" s="31"/>
      <c r="AS376" s="31">
        <v>43865</v>
      </c>
      <c r="AT376" s="31" t="s">
        <v>645</v>
      </c>
      <c r="AU376" s="31">
        <v>3250</v>
      </c>
      <c r="AV376" s="31" t="s">
        <v>645</v>
      </c>
      <c r="AW376"/>
      <c r="AX376" s="31" t="s">
        <v>646</v>
      </c>
      <c r="AY376">
        <v>13515423</v>
      </c>
      <c r="AZ376" s="83">
        <v>20646696</v>
      </c>
      <c r="BA376" t="s">
        <v>647</v>
      </c>
      <c r="BB376" s="31" t="str">
        <f>BBDD_TERRENO[[#This Row],[Comuna]]&amp;BBDD_TERRENO[[#This Row],[Identificacion Propiedad]]</f>
        <v>Puerto MonttLote 34 (Cardenas - Guillian Gonzalez)</v>
      </c>
    </row>
    <row r="377" spans="1:54" x14ac:dyDescent="0.3">
      <c r="A377" s="31" t="s">
        <v>70</v>
      </c>
      <c r="B377" s="31" t="s">
        <v>71</v>
      </c>
      <c r="C377" s="31" t="s">
        <v>1031</v>
      </c>
      <c r="D377" s="31" t="s">
        <v>638</v>
      </c>
      <c r="E377" s="42">
        <v>5000</v>
      </c>
      <c r="F377" s="31" t="s">
        <v>538</v>
      </c>
      <c r="G377" s="32"/>
      <c r="H377" s="31"/>
      <c r="I377" s="83"/>
      <c r="J377" s="83"/>
      <c r="K377" s="83">
        <v>0</v>
      </c>
      <c r="L377" s="83">
        <v>13515423</v>
      </c>
      <c r="M377" s="83">
        <v>14061432</v>
      </c>
      <c r="N377" s="83">
        <v>0</v>
      </c>
      <c r="O377" s="83">
        <v>14061432</v>
      </c>
      <c r="P377" s="31" t="s">
        <v>639</v>
      </c>
      <c r="Q377" s="31" t="s">
        <v>1029</v>
      </c>
      <c r="R377" s="31" t="s">
        <v>639</v>
      </c>
      <c r="S377" s="31" t="s">
        <v>641</v>
      </c>
      <c r="T377" s="31" t="s">
        <v>642</v>
      </c>
      <c r="U377" s="35" t="s">
        <v>643</v>
      </c>
      <c r="V377" s="134"/>
      <c r="W377" s="85">
        <v>546009</v>
      </c>
      <c r="X377" s="83">
        <v>546009</v>
      </c>
      <c r="Y377" s="83">
        <v>0</v>
      </c>
      <c r="Z377" s="83"/>
      <c r="AA377" s="31"/>
      <c r="AB377" s="132"/>
      <c r="AC377" s="83" t="s">
        <v>1032</v>
      </c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>
        <v>0.65</v>
      </c>
      <c r="AO377" s="31">
        <v>3250</v>
      </c>
      <c r="AP377" s="31">
        <v>0.3339765359742346</v>
      </c>
      <c r="AQ377" s="31">
        <v>1669.882679871173</v>
      </c>
      <c r="AR377" s="31"/>
      <c r="AS377" s="31">
        <v>43865</v>
      </c>
      <c r="AT377" s="31" t="s">
        <v>645</v>
      </c>
      <c r="AU377" s="31">
        <v>3250</v>
      </c>
      <c r="AV377" s="31" t="s">
        <v>645</v>
      </c>
      <c r="AW377"/>
      <c r="AX377" s="31" t="s">
        <v>646</v>
      </c>
      <c r="AY377">
        <v>13515423</v>
      </c>
      <c r="AZ377" s="83">
        <v>20646696</v>
      </c>
      <c r="BA377" t="s">
        <v>647</v>
      </c>
      <c r="BB377" s="31" t="str">
        <f>BBDD_TERRENO[[#This Row],[Comuna]]&amp;BBDD_TERRENO[[#This Row],[Identificacion Propiedad]]</f>
        <v>Puerto MonttLote 35 (Cardenas - Guillian Gonzalez)</v>
      </c>
    </row>
    <row r="378" spans="1:54" x14ac:dyDescent="0.3">
      <c r="A378" s="31" t="s">
        <v>70</v>
      </c>
      <c r="B378" s="31" t="s">
        <v>71</v>
      </c>
      <c r="C378" s="31" t="s">
        <v>1033</v>
      </c>
      <c r="D378" s="31" t="s">
        <v>638</v>
      </c>
      <c r="E378" s="42">
        <v>5000</v>
      </c>
      <c r="F378" s="31" t="s">
        <v>538</v>
      </c>
      <c r="G378" s="32"/>
      <c r="H378" s="31"/>
      <c r="I378" s="83"/>
      <c r="J378" s="83"/>
      <c r="K378" s="83">
        <v>0</v>
      </c>
      <c r="L378" s="83">
        <v>13515423</v>
      </c>
      <c r="M378" s="83">
        <v>14061432</v>
      </c>
      <c r="N378" s="83">
        <v>0</v>
      </c>
      <c r="O378" s="83">
        <v>14061432</v>
      </c>
      <c r="P378" s="31" t="s">
        <v>639</v>
      </c>
      <c r="Q378" s="31" t="s">
        <v>1034</v>
      </c>
      <c r="R378" s="31" t="s">
        <v>639</v>
      </c>
      <c r="S378" s="31" t="s">
        <v>641</v>
      </c>
      <c r="T378" s="31" t="s">
        <v>642</v>
      </c>
      <c r="U378" s="35" t="s">
        <v>643</v>
      </c>
      <c r="V378" s="134"/>
      <c r="W378" s="85">
        <v>546009</v>
      </c>
      <c r="X378" s="83">
        <v>546009</v>
      </c>
      <c r="Y378" s="83">
        <v>0</v>
      </c>
      <c r="Z378" s="83"/>
      <c r="AA378" s="31"/>
      <c r="AB378" s="132"/>
      <c r="AC378" s="83" t="s">
        <v>1035</v>
      </c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>
        <v>0.65</v>
      </c>
      <c r="AO378" s="31">
        <v>3250</v>
      </c>
      <c r="AP378" s="31">
        <v>0.3339765359742346</v>
      </c>
      <c r="AQ378" s="31">
        <v>1669.882679871173</v>
      </c>
      <c r="AR378" s="31"/>
      <c r="AS378" s="31">
        <v>43865</v>
      </c>
      <c r="AT378" s="31" t="s">
        <v>645</v>
      </c>
      <c r="AU378" s="31">
        <v>3250</v>
      </c>
      <c r="AV378" s="31" t="s">
        <v>645</v>
      </c>
      <c r="AW378"/>
      <c r="AX378" s="31" t="s">
        <v>646</v>
      </c>
      <c r="AY378">
        <v>13515423</v>
      </c>
      <c r="AZ378" s="83">
        <v>20646696</v>
      </c>
      <c r="BA378" t="s">
        <v>647</v>
      </c>
      <c r="BB378" s="31" t="str">
        <f>BBDD_TERRENO[[#This Row],[Comuna]]&amp;BBDD_TERRENO[[#This Row],[Identificacion Propiedad]]</f>
        <v>Puerto MonttLote 39 (Cardenas - Alberto Cardenas)</v>
      </c>
    </row>
    <row r="379" spans="1:54" x14ac:dyDescent="0.3">
      <c r="A379" s="31" t="s">
        <v>70</v>
      </c>
      <c r="B379" s="31" t="s">
        <v>71</v>
      </c>
      <c r="C379" s="31" t="s">
        <v>1036</v>
      </c>
      <c r="D379" s="31" t="s">
        <v>638</v>
      </c>
      <c r="E379" s="42">
        <v>5000</v>
      </c>
      <c r="F379" s="31" t="s">
        <v>538</v>
      </c>
      <c r="G379" s="32"/>
      <c r="H379" s="31"/>
      <c r="I379" s="83"/>
      <c r="J379" s="83"/>
      <c r="K379" s="83">
        <v>0</v>
      </c>
      <c r="L379" s="83">
        <v>13515423</v>
      </c>
      <c r="M379" s="83">
        <v>14061432</v>
      </c>
      <c r="N379" s="83">
        <v>0</v>
      </c>
      <c r="O379" s="83">
        <v>14061432</v>
      </c>
      <c r="P379" s="31" t="s">
        <v>639</v>
      </c>
      <c r="Q379" s="31" t="s">
        <v>1037</v>
      </c>
      <c r="R379" s="31" t="s">
        <v>639</v>
      </c>
      <c r="S379" s="31" t="s">
        <v>641</v>
      </c>
      <c r="T379" s="31" t="s">
        <v>642</v>
      </c>
      <c r="U379" s="35" t="s">
        <v>643</v>
      </c>
      <c r="V379" s="134"/>
      <c r="W379" s="85">
        <v>546009</v>
      </c>
      <c r="X379" s="83">
        <v>546009</v>
      </c>
      <c r="Y379" s="83">
        <v>0</v>
      </c>
      <c r="Z379" s="83"/>
      <c r="AA379" s="31"/>
      <c r="AB379" s="132"/>
      <c r="AC379" s="83" t="s">
        <v>1038</v>
      </c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>
        <v>0.65</v>
      </c>
      <c r="AO379" s="31">
        <v>3250</v>
      </c>
      <c r="AP379" s="31">
        <v>0.3339765359742346</v>
      </c>
      <c r="AQ379" s="31">
        <v>1669.882679871173</v>
      </c>
      <c r="AR379" s="31"/>
      <c r="AS379" s="31">
        <v>43865</v>
      </c>
      <c r="AT379" s="31" t="s">
        <v>645</v>
      </c>
      <c r="AU379" s="31">
        <v>3250</v>
      </c>
      <c r="AV379" s="31" t="s">
        <v>645</v>
      </c>
      <c r="AW379"/>
      <c r="AX379" s="31" t="s">
        <v>646</v>
      </c>
      <c r="AY379">
        <v>13515423</v>
      </c>
      <c r="AZ379" s="83">
        <v>20646696</v>
      </c>
      <c r="BA379" t="s">
        <v>647</v>
      </c>
      <c r="BB379" s="31" t="str">
        <f>BBDD_TERRENO[[#This Row],[Comuna]]&amp;BBDD_TERRENO[[#This Row],[Identificacion Propiedad]]</f>
        <v>Puerto MonttLote 40 (Cardenas - Alberto Cardenas)</v>
      </c>
    </row>
    <row r="380" spans="1:54" x14ac:dyDescent="0.3">
      <c r="A380" s="31" t="s">
        <v>70</v>
      </c>
      <c r="B380" s="31" t="s">
        <v>71</v>
      </c>
      <c r="C380" s="31" t="s">
        <v>1039</v>
      </c>
      <c r="D380" s="31" t="s">
        <v>638</v>
      </c>
      <c r="E380" s="42">
        <v>5000</v>
      </c>
      <c r="F380" s="31" t="s">
        <v>538</v>
      </c>
      <c r="G380" s="32"/>
      <c r="H380" s="31"/>
      <c r="I380" s="83"/>
      <c r="J380" s="83"/>
      <c r="K380" s="83">
        <v>0</v>
      </c>
      <c r="L380" s="83">
        <v>13515423</v>
      </c>
      <c r="M380" s="83">
        <v>14061432</v>
      </c>
      <c r="N380" s="83">
        <v>0</v>
      </c>
      <c r="O380" s="83">
        <v>14061432</v>
      </c>
      <c r="P380" s="31" t="s">
        <v>639</v>
      </c>
      <c r="Q380" s="31" t="s">
        <v>1040</v>
      </c>
      <c r="R380" s="31" t="s">
        <v>639</v>
      </c>
      <c r="S380" s="31" t="s">
        <v>641</v>
      </c>
      <c r="T380" s="31" t="s">
        <v>642</v>
      </c>
      <c r="U380" s="35" t="s">
        <v>643</v>
      </c>
      <c r="V380" s="134"/>
      <c r="W380" s="85">
        <v>546009</v>
      </c>
      <c r="X380" s="83">
        <v>546009</v>
      </c>
      <c r="Y380" s="83">
        <v>0</v>
      </c>
      <c r="Z380" s="83"/>
      <c r="AA380" s="31"/>
      <c r="AB380" s="132"/>
      <c r="AC380" s="83" t="s">
        <v>1041</v>
      </c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>
        <v>0.65</v>
      </c>
      <c r="AO380" s="31">
        <v>3250</v>
      </c>
      <c r="AP380" s="31">
        <v>0.3339765359742346</v>
      </c>
      <c r="AQ380" s="31">
        <v>1669.882679871173</v>
      </c>
      <c r="AR380" s="31"/>
      <c r="AS380" s="31">
        <v>43865</v>
      </c>
      <c r="AT380" s="31" t="s">
        <v>645</v>
      </c>
      <c r="AU380" s="31">
        <v>3250</v>
      </c>
      <c r="AV380" s="31" t="s">
        <v>645</v>
      </c>
      <c r="AW380"/>
      <c r="AX380" s="31" t="s">
        <v>646</v>
      </c>
      <c r="AY380">
        <v>13515423</v>
      </c>
      <c r="AZ380" s="83">
        <v>20646696</v>
      </c>
      <c r="BA380" t="s">
        <v>647</v>
      </c>
      <c r="BB380" s="31" t="str">
        <f>BBDD_TERRENO[[#This Row],[Comuna]]&amp;BBDD_TERRENO[[#This Row],[Identificacion Propiedad]]</f>
        <v>Puerto MonttLote 41 (Cardenas - Alberto Cardenas)</v>
      </c>
    </row>
    <row r="381" spans="1:54" x14ac:dyDescent="0.3">
      <c r="A381" s="31" t="s">
        <v>70</v>
      </c>
      <c r="B381" s="31" t="s">
        <v>71</v>
      </c>
      <c r="C381" s="31" t="s">
        <v>1042</v>
      </c>
      <c r="D381" s="31" t="s">
        <v>638</v>
      </c>
      <c r="E381" s="42">
        <v>5000</v>
      </c>
      <c r="F381" s="31" t="s">
        <v>538</v>
      </c>
      <c r="G381" s="32"/>
      <c r="H381" s="31"/>
      <c r="I381" s="83"/>
      <c r="J381" s="83"/>
      <c r="K381" s="83">
        <v>0</v>
      </c>
      <c r="L381" s="83">
        <v>13515423</v>
      </c>
      <c r="M381" s="83">
        <v>14061432</v>
      </c>
      <c r="N381" s="83">
        <v>0</v>
      </c>
      <c r="O381" s="83">
        <v>14061432</v>
      </c>
      <c r="P381" s="31" t="s">
        <v>639</v>
      </c>
      <c r="Q381" s="31" t="s">
        <v>1043</v>
      </c>
      <c r="R381" s="31" t="s">
        <v>639</v>
      </c>
      <c r="S381" s="31" t="s">
        <v>641</v>
      </c>
      <c r="T381" s="31" t="s">
        <v>642</v>
      </c>
      <c r="U381" s="35" t="s">
        <v>643</v>
      </c>
      <c r="V381" s="134"/>
      <c r="W381" s="85">
        <v>546009</v>
      </c>
      <c r="X381" s="83">
        <v>546009</v>
      </c>
      <c r="Y381" s="83">
        <v>0</v>
      </c>
      <c r="Z381" s="83"/>
      <c r="AA381" s="31"/>
      <c r="AB381" s="132"/>
      <c r="AC381" s="83" t="s">
        <v>1044</v>
      </c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>
        <v>0.65</v>
      </c>
      <c r="AO381" s="31">
        <v>3250</v>
      </c>
      <c r="AP381" s="31">
        <v>0.3339765359742346</v>
      </c>
      <c r="AQ381" s="31">
        <v>1669.882679871173</v>
      </c>
      <c r="AR381" s="31"/>
      <c r="AS381" s="31">
        <v>43865</v>
      </c>
      <c r="AT381" s="31" t="s">
        <v>645</v>
      </c>
      <c r="AU381" s="31">
        <v>3250</v>
      </c>
      <c r="AV381" s="31" t="s">
        <v>645</v>
      </c>
      <c r="AW381"/>
      <c r="AX381" s="31" t="s">
        <v>646</v>
      </c>
      <c r="AY381">
        <v>13515423</v>
      </c>
      <c r="AZ381" s="83">
        <v>20646696</v>
      </c>
      <c r="BA381" t="s">
        <v>647</v>
      </c>
      <c r="BB381" s="31" t="str">
        <f>BBDD_TERRENO[[#This Row],[Comuna]]&amp;BBDD_TERRENO[[#This Row],[Identificacion Propiedad]]</f>
        <v>Puerto MonttLote 42 (Cardenas - Alberto Cardenas)</v>
      </c>
    </row>
    <row r="382" spans="1:54" x14ac:dyDescent="0.3">
      <c r="A382" s="31" t="s">
        <v>70</v>
      </c>
      <c r="B382" s="31" t="s">
        <v>71</v>
      </c>
      <c r="C382" s="31" t="s">
        <v>1045</v>
      </c>
      <c r="D382" s="31" t="s">
        <v>638</v>
      </c>
      <c r="E382" s="42">
        <v>5000</v>
      </c>
      <c r="F382" s="31" t="s">
        <v>538</v>
      </c>
      <c r="G382" s="32"/>
      <c r="H382" s="31"/>
      <c r="I382" s="83"/>
      <c r="J382" s="83"/>
      <c r="K382" s="83">
        <v>0</v>
      </c>
      <c r="L382" s="83">
        <v>13515423</v>
      </c>
      <c r="M382" s="83">
        <v>14061432</v>
      </c>
      <c r="N382" s="83">
        <v>0</v>
      </c>
      <c r="O382" s="83">
        <v>14061432</v>
      </c>
      <c r="P382" s="31" t="s">
        <v>639</v>
      </c>
      <c r="Q382" s="31" t="s">
        <v>1046</v>
      </c>
      <c r="R382" s="31" t="s">
        <v>639</v>
      </c>
      <c r="S382" s="31" t="s">
        <v>641</v>
      </c>
      <c r="T382" s="31" t="s">
        <v>642</v>
      </c>
      <c r="U382" s="35" t="s">
        <v>643</v>
      </c>
      <c r="V382" s="134"/>
      <c r="W382" s="85">
        <v>546009</v>
      </c>
      <c r="X382" s="83">
        <v>546009</v>
      </c>
      <c r="Y382" s="83">
        <v>0</v>
      </c>
      <c r="Z382" s="83"/>
      <c r="AA382" s="31"/>
      <c r="AB382" s="132"/>
      <c r="AC382" s="83" t="s">
        <v>1047</v>
      </c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>
        <v>0.65</v>
      </c>
      <c r="AO382" s="31">
        <v>3250</v>
      </c>
      <c r="AP382" s="31">
        <v>0.3339765359742346</v>
      </c>
      <c r="AQ382" s="31">
        <v>1669.882679871173</v>
      </c>
      <c r="AR382" s="31"/>
      <c r="AS382" s="31">
        <v>43865</v>
      </c>
      <c r="AT382" s="31" t="s">
        <v>645</v>
      </c>
      <c r="AU382" s="31">
        <v>3250</v>
      </c>
      <c r="AV382" s="31" t="s">
        <v>645</v>
      </c>
      <c r="AW382"/>
      <c r="AX382" s="31" t="s">
        <v>646</v>
      </c>
      <c r="AY382">
        <v>13515423</v>
      </c>
      <c r="AZ382" s="83">
        <v>20646696</v>
      </c>
      <c r="BA382" t="s">
        <v>647</v>
      </c>
      <c r="BB382" s="31" t="str">
        <f>BBDD_TERRENO[[#This Row],[Comuna]]&amp;BBDD_TERRENO[[#This Row],[Identificacion Propiedad]]</f>
        <v>Puerto MonttLote 43 (Cardenas - Alberto Cardenas)</v>
      </c>
    </row>
    <row r="383" spans="1:54" x14ac:dyDescent="0.3">
      <c r="A383" s="31" t="s">
        <v>70</v>
      </c>
      <c r="B383" s="31" t="s">
        <v>71</v>
      </c>
      <c r="C383" s="31" t="s">
        <v>1048</v>
      </c>
      <c r="D383" s="31" t="s">
        <v>638</v>
      </c>
      <c r="E383" s="42">
        <v>5000</v>
      </c>
      <c r="F383" s="31" t="s">
        <v>538</v>
      </c>
      <c r="G383" s="32"/>
      <c r="H383" s="31"/>
      <c r="I383" s="83"/>
      <c r="J383" s="83"/>
      <c r="K383" s="83">
        <v>0</v>
      </c>
      <c r="L383" s="83">
        <v>13515423</v>
      </c>
      <c r="M383" s="83">
        <v>14061432</v>
      </c>
      <c r="N383" s="83">
        <v>0</v>
      </c>
      <c r="O383" s="83">
        <v>14061432</v>
      </c>
      <c r="P383" s="31" t="s">
        <v>639</v>
      </c>
      <c r="Q383" s="31" t="s">
        <v>1029</v>
      </c>
      <c r="R383" s="31" t="s">
        <v>639</v>
      </c>
      <c r="S383" s="31" t="s">
        <v>641</v>
      </c>
      <c r="T383" s="31" t="s">
        <v>642</v>
      </c>
      <c r="U383" s="35" t="s">
        <v>643</v>
      </c>
      <c r="V383" s="134"/>
      <c r="W383" s="85">
        <v>546009</v>
      </c>
      <c r="X383" s="83">
        <v>546009</v>
      </c>
      <c r="Y383" s="83">
        <v>0</v>
      </c>
      <c r="Z383" s="83"/>
      <c r="AA383" s="31"/>
      <c r="AB383" s="132"/>
      <c r="AC383" s="83" t="s">
        <v>1049</v>
      </c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>
        <v>0.65</v>
      </c>
      <c r="AO383" s="31">
        <v>3250</v>
      </c>
      <c r="AP383" s="31">
        <v>0.3339765359742346</v>
      </c>
      <c r="AQ383" s="31">
        <v>1669.882679871173</v>
      </c>
      <c r="AR383" s="31"/>
      <c r="AS383" s="31">
        <v>43865</v>
      </c>
      <c r="AT383" s="31" t="s">
        <v>645</v>
      </c>
      <c r="AU383" s="31">
        <v>3250</v>
      </c>
      <c r="AV383" s="31" t="s">
        <v>645</v>
      </c>
      <c r="AW383"/>
      <c r="AX383" s="31" t="s">
        <v>646</v>
      </c>
      <c r="AY383">
        <v>13515423</v>
      </c>
      <c r="AZ383" s="83" t="s">
        <v>682</v>
      </c>
      <c r="BA383" t="s">
        <v>647</v>
      </c>
      <c r="BB383" s="31" t="str">
        <f>BBDD_TERRENO[[#This Row],[Comuna]]&amp;BBDD_TERRENO[[#This Row],[Identificacion Propiedad]]</f>
        <v>Puerto MonttLote 44 (Cardenas - Guillian Gonzalez)</v>
      </c>
    </row>
    <row r="384" spans="1:54" x14ac:dyDescent="0.3">
      <c r="A384" s="31" t="s">
        <v>70</v>
      </c>
      <c r="B384" s="31" t="s">
        <v>71</v>
      </c>
      <c r="C384" s="31" t="s">
        <v>1050</v>
      </c>
      <c r="D384" s="31" t="s">
        <v>638</v>
      </c>
      <c r="E384" s="42">
        <v>5000</v>
      </c>
      <c r="F384" s="31" t="s">
        <v>538</v>
      </c>
      <c r="G384" s="32"/>
      <c r="H384" s="31"/>
      <c r="I384" s="83"/>
      <c r="J384" s="83"/>
      <c r="K384" s="83">
        <v>0</v>
      </c>
      <c r="L384" s="83">
        <v>13515423</v>
      </c>
      <c r="M384" s="83">
        <v>14061432</v>
      </c>
      <c r="N384" s="83">
        <v>0</v>
      </c>
      <c r="O384" s="83">
        <v>14061432</v>
      </c>
      <c r="P384" s="31" t="s">
        <v>639</v>
      </c>
      <c r="Q384" s="31" t="s">
        <v>1029</v>
      </c>
      <c r="R384" s="31" t="s">
        <v>639</v>
      </c>
      <c r="S384" s="31" t="s">
        <v>641</v>
      </c>
      <c r="T384" s="31" t="s">
        <v>642</v>
      </c>
      <c r="U384" s="35" t="s">
        <v>643</v>
      </c>
      <c r="V384" s="134"/>
      <c r="W384" s="85">
        <v>546009</v>
      </c>
      <c r="X384" s="83">
        <v>546009</v>
      </c>
      <c r="Y384" s="83">
        <v>0</v>
      </c>
      <c r="Z384" s="83"/>
      <c r="AA384" s="31"/>
      <c r="AB384" s="132"/>
      <c r="AC384" s="83" t="s">
        <v>1051</v>
      </c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>
        <v>0.65</v>
      </c>
      <c r="AO384" s="31">
        <v>3250</v>
      </c>
      <c r="AP384" s="31">
        <v>0.3339765359742346</v>
      </c>
      <c r="AQ384" s="31">
        <v>1669.882679871173</v>
      </c>
      <c r="AR384" s="31"/>
      <c r="AS384" s="31">
        <v>43865</v>
      </c>
      <c r="AT384" s="31" t="s">
        <v>645</v>
      </c>
      <c r="AU384" s="31">
        <v>3250</v>
      </c>
      <c r="AV384" s="31" t="s">
        <v>645</v>
      </c>
      <c r="AW384"/>
      <c r="AX384" s="31" t="s">
        <v>646</v>
      </c>
      <c r="AY384">
        <v>13515423</v>
      </c>
      <c r="AZ384" s="83" t="s">
        <v>682</v>
      </c>
      <c r="BA384" t="s">
        <v>647</v>
      </c>
      <c r="BB384" s="31" t="str">
        <f>BBDD_TERRENO[[#This Row],[Comuna]]&amp;BBDD_TERRENO[[#This Row],[Identificacion Propiedad]]</f>
        <v>Puerto MonttLote 45 (Cardenas - Guillian Gonzalez)</v>
      </c>
    </row>
    <row r="385" spans="1:54" x14ac:dyDescent="0.3">
      <c r="A385" s="31" t="s">
        <v>70</v>
      </c>
      <c r="B385" s="31" t="s">
        <v>71</v>
      </c>
      <c r="C385" s="31" t="s">
        <v>1052</v>
      </c>
      <c r="D385" s="31" t="s">
        <v>638</v>
      </c>
      <c r="E385" s="42">
        <v>5000</v>
      </c>
      <c r="F385" s="31" t="s">
        <v>538</v>
      </c>
      <c r="G385" s="32"/>
      <c r="H385" s="31"/>
      <c r="I385" s="83"/>
      <c r="J385" s="83"/>
      <c r="K385" s="83">
        <v>0</v>
      </c>
      <c r="L385" s="83">
        <v>13515423</v>
      </c>
      <c r="M385" s="83">
        <v>14061432</v>
      </c>
      <c r="N385" s="83">
        <v>0</v>
      </c>
      <c r="O385" s="83">
        <v>14061432</v>
      </c>
      <c r="P385" s="31" t="s">
        <v>639</v>
      </c>
      <c r="Q385" s="31" t="s">
        <v>1053</v>
      </c>
      <c r="R385" s="31" t="s">
        <v>639</v>
      </c>
      <c r="S385" s="31" t="s">
        <v>641</v>
      </c>
      <c r="T385" s="31" t="s">
        <v>642</v>
      </c>
      <c r="U385" s="35" t="s">
        <v>643</v>
      </c>
      <c r="V385" s="134"/>
      <c r="W385" s="85">
        <v>546009</v>
      </c>
      <c r="X385" s="83">
        <v>546009</v>
      </c>
      <c r="Y385" s="83">
        <v>0</v>
      </c>
      <c r="Z385" s="83"/>
      <c r="AA385" s="31"/>
      <c r="AB385" s="132"/>
      <c r="AC385" s="83" t="s">
        <v>1054</v>
      </c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>
        <v>0.65</v>
      </c>
      <c r="AO385" s="31">
        <v>3250</v>
      </c>
      <c r="AP385" s="31">
        <v>0.3339765359742346</v>
      </c>
      <c r="AQ385" s="31">
        <v>1669.882679871173</v>
      </c>
      <c r="AR385" s="31"/>
      <c r="AS385" s="31">
        <v>43865</v>
      </c>
      <c r="AT385" s="31" t="s">
        <v>645</v>
      </c>
      <c r="AU385" s="31">
        <v>3250</v>
      </c>
      <c r="AV385" s="31" t="s">
        <v>645</v>
      </c>
      <c r="AW385"/>
      <c r="AX385" s="31" t="s">
        <v>646</v>
      </c>
      <c r="AY385">
        <v>13515423</v>
      </c>
      <c r="AZ385" s="83">
        <v>20646696</v>
      </c>
      <c r="BA385" t="s">
        <v>647</v>
      </c>
      <c r="BB385" s="31" t="str">
        <f>BBDD_TERRENO[[#This Row],[Comuna]]&amp;BBDD_TERRENO[[#This Row],[Identificacion Propiedad]]</f>
        <v>Puerto MonttLote 46 (Cardenas - Alberto Cardenas)</v>
      </c>
    </row>
    <row r="386" spans="1:54" x14ac:dyDescent="0.3">
      <c r="A386" s="31" t="s">
        <v>70</v>
      </c>
      <c r="B386" s="31" t="s">
        <v>71</v>
      </c>
      <c r="C386" s="31" t="s">
        <v>1055</v>
      </c>
      <c r="D386" s="31" t="s">
        <v>638</v>
      </c>
      <c r="E386" s="42">
        <v>5000</v>
      </c>
      <c r="F386" s="31" t="s">
        <v>538</v>
      </c>
      <c r="G386" s="32"/>
      <c r="H386" s="31"/>
      <c r="I386" s="83"/>
      <c r="J386" s="83"/>
      <c r="K386" s="83">
        <v>0</v>
      </c>
      <c r="L386" s="83">
        <v>13515423</v>
      </c>
      <c r="M386" s="83">
        <v>14061432</v>
      </c>
      <c r="N386" s="83">
        <v>0</v>
      </c>
      <c r="O386" s="83">
        <v>14061432</v>
      </c>
      <c r="P386" s="31" t="s">
        <v>639</v>
      </c>
      <c r="Q386" s="31" t="s">
        <v>1056</v>
      </c>
      <c r="R386" s="31" t="s">
        <v>639</v>
      </c>
      <c r="S386" s="31" t="s">
        <v>641</v>
      </c>
      <c r="T386" s="31" t="s">
        <v>642</v>
      </c>
      <c r="U386" s="35" t="s">
        <v>643</v>
      </c>
      <c r="V386" s="134"/>
      <c r="W386" s="85">
        <v>546009</v>
      </c>
      <c r="X386" s="83">
        <v>546009</v>
      </c>
      <c r="Y386" s="83">
        <v>0</v>
      </c>
      <c r="Z386" s="83"/>
      <c r="AA386" s="31"/>
      <c r="AB386" s="132"/>
      <c r="AC386" s="83" t="s">
        <v>1057</v>
      </c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>
        <v>0.65</v>
      </c>
      <c r="AO386" s="31">
        <v>3250</v>
      </c>
      <c r="AP386" s="31">
        <v>0.3339765359742346</v>
      </c>
      <c r="AQ386" s="31">
        <v>1669.882679871173</v>
      </c>
      <c r="AR386" s="31"/>
      <c r="AS386" s="31">
        <v>43865</v>
      </c>
      <c r="AT386" s="31" t="s">
        <v>645</v>
      </c>
      <c r="AU386" s="31">
        <v>3250</v>
      </c>
      <c r="AV386" s="31" t="s">
        <v>645</v>
      </c>
      <c r="AW386"/>
      <c r="AX386" s="31" t="s">
        <v>646</v>
      </c>
      <c r="AY386">
        <v>13515423</v>
      </c>
      <c r="AZ386" s="83">
        <v>20646696</v>
      </c>
      <c r="BA386" t="s">
        <v>647</v>
      </c>
      <c r="BB386" s="31" t="str">
        <f>BBDD_TERRENO[[#This Row],[Comuna]]&amp;BBDD_TERRENO[[#This Row],[Identificacion Propiedad]]</f>
        <v>Puerto MonttLote 48 (Cardenas - Alberto Cardenas)</v>
      </c>
    </row>
    <row r="387" spans="1:54" x14ac:dyDescent="0.3">
      <c r="A387" s="31" t="s">
        <v>70</v>
      </c>
      <c r="B387" s="31" t="s">
        <v>71</v>
      </c>
      <c r="C387" s="31" t="s">
        <v>1058</v>
      </c>
      <c r="D387" s="31" t="s">
        <v>638</v>
      </c>
      <c r="E387" s="42">
        <v>5000</v>
      </c>
      <c r="F387" s="31" t="s">
        <v>538</v>
      </c>
      <c r="G387" s="32"/>
      <c r="H387" s="31"/>
      <c r="I387" s="83"/>
      <c r="J387" s="83"/>
      <c r="K387" s="83">
        <v>0</v>
      </c>
      <c r="L387" s="83">
        <v>13515423</v>
      </c>
      <c r="M387" s="83">
        <v>14061432</v>
      </c>
      <c r="N387" s="83">
        <v>0</v>
      </c>
      <c r="O387" s="83">
        <v>14061432</v>
      </c>
      <c r="P387" s="31" t="s">
        <v>639</v>
      </c>
      <c r="Q387" s="31" t="s">
        <v>1059</v>
      </c>
      <c r="R387" s="31" t="s">
        <v>639</v>
      </c>
      <c r="S387" s="31" t="s">
        <v>641</v>
      </c>
      <c r="T387" s="31" t="s">
        <v>642</v>
      </c>
      <c r="U387" s="35" t="s">
        <v>643</v>
      </c>
      <c r="V387" s="134"/>
      <c r="W387" s="85">
        <v>546009</v>
      </c>
      <c r="X387" s="83">
        <v>546009</v>
      </c>
      <c r="Y387" s="83">
        <v>0</v>
      </c>
      <c r="Z387" s="83"/>
      <c r="AA387" s="31"/>
      <c r="AB387" s="132"/>
      <c r="AC387" s="83" t="s">
        <v>1060</v>
      </c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>
        <v>0.65</v>
      </c>
      <c r="AO387" s="31">
        <v>3250</v>
      </c>
      <c r="AP387" s="31">
        <v>0.3339765359742346</v>
      </c>
      <c r="AQ387" s="31">
        <v>1669.882679871173</v>
      </c>
      <c r="AR387" s="31"/>
      <c r="AS387" s="31">
        <v>43865</v>
      </c>
      <c r="AT387" s="31" t="s">
        <v>645</v>
      </c>
      <c r="AU387" s="31">
        <v>3250</v>
      </c>
      <c r="AV387" s="31" t="s">
        <v>645</v>
      </c>
      <c r="AW387"/>
      <c r="AX387" s="31" t="s">
        <v>646</v>
      </c>
      <c r="AY387">
        <v>13515423</v>
      </c>
      <c r="AZ387" s="83">
        <v>20646696</v>
      </c>
      <c r="BA387" t="s">
        <v>647</v>
      </c>
      <c r="BB387" s="31" t="str">
        <f>BBDD_TERRENO[[#This Row],[Comuna]]&amp;BBDD_TERRENO[[#This Row],[Identificacion Propiedad]]</f>
        <v>Puerto MonttLote 49 (Cardenas - Alberto Cardenas)</v>
      </c>
    </row>
    <row r="388" spans="1:54" x14ac:dyDescent="0.3">
      <c r="A388" s="31" t="s">
        <v>70</v>
      </c>
      <c r="B388" s="31" t="s">
        <v>71</v>
      </c>
      <c r="C388" s="31" t="s">
        <v>1061</v>
      </c>
      <c r="D388" s="31" t="s">
        <v>638</v>
      </c>
      <c r="E388" s="42">
        <v>5000</v>
      </c>
      <c r="F388" s="31" t="s">
        <v>538</v>
      </c>
      <c r="G388" s="32"/>
      <c r="H388" s="31"/>
      <c r="I388" s="83"/>
      <c r="J388" s="83"/>
      <c r="K388" s="83">
        <v>0</v>
      </c>
      <c r="L388" s="83">
        <v>13515423</v>
      </c>
      <c r="M388" s="83">
        <v>14061432</v>
      </c>
      <c r="N388" s="83">
        <v>0</v>
      </c>
      <c r="O388" s="83">
        <v>14061432</v>
      </c>
      <c r="P388" s="31" t="s">
        <v>639</v>
      </c>
      <c r="Q388" s="31" t="s">
        <v>1062</v>
      </c>
      <c r="R388" s="31" t="s">
        <v>639</v>
      </c>
      <c r="S388" s="31" t="s">
        <v>641</v>
      </c>
      <c r="T388" s="31" t="s">
        <v>642</v>
      </c>
      <c r="U388" s="35" t="s">
        <v>643</v>
      </c>
      <c r="V388" s="134"/>
      <c r="W388" s="85">
        <v>546009</v>
      </c>
      <c r="X388" s="83">
        <v>546009</v>
      </c>
      <c r="Y388" s="83">
        <v>0</v>
      </c>
      <c r="Z388" s="83"/>
      <c r="AA388" s="31"/>
      <c r="AB388" s="132"/>
      <c r="AC388" s="83" t="s">
        <v>1063</v>
      </c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>
        <v>0.65</v>
      </c>
      <c r="AO388" s="31">
        <v>3250</v>
      </c>
      <c r="AP388" s="31">
        <v>0.3339765359742346</v>
      </c>
      <c r="AQ388" s="31">
        <v>1669.882679871173</v>
      </c>
      <c r="AR388" s="31"/>
      <c r="AS388" s="31">
        <v>43865</v>
      </c>
      <c r="AT388" s="31" t="s">
        <v>645</v>
      </c>
      <c r="AU388" s="31">
        <v>3250</v>
      </c>
      <c r="AV388" s="31" t="s">
        <v>645</v>
      </c>
      <c r="AW388"/>
      <c r="AX388" s="31" t="s">
        <v>646</v>
      </c>
      <c r="AY388">
        <v>13515423</v>
      </c>
      <c r="AZ388" s="83">
        <v>20646696</v>
      </c>
      <c r="BA388" t="s">
        <v>647</v>
      </c>
      <c r="BB388" s="31" t="str">
        <f>BBDD_TERRENO[[#This Row],[Comuna]]&amp;BBDD_TERRENO[[#This Row],[Identificacion Propiedad]]</f>
        <v>Puerto MonttLote 50 (Cardenas - Alberto Cardenas)</v>
      </c>
    </row>
    <row r="389" spans="1:54" x14ac:dyDescent="0.3">
      <c r="A389" s="31" t="s">
        <v>70</v>
      </c>
      <c r="B389" s="31" t="s">
        <v>71</v>
      </c>
      <c r="C389" s="31" t="s">
        <v>1064</v>
      </c>
      <c r="D389" s="31" t="s">
        <v>638</v>
      </c>
      <c r="E389" s="42">
        <v>5000</v>
      </c>
      <c r="F389" s="31" t="s">
        <v>538</v>
      </c>
      <c r="G389" s="32"/>
      <c r="H389" s="31"/>
      <c r="I389" s="83"/>
      <c r="J389" s="83"/>
      <c r="K389" s="83">
        <v>0</v>
      </c>
      <c r="L389" s="83">
        <v>13515423</v>
      </c>
      <c r="M389" s="83">
        <v>14061432</v>
      </c>
      <c r="N389" s="83">
        <v>0</v>
      </c>
      <c r="O389" s="83">
        <v>14061432</v>
      </c>
      <c r="P389" s="31" t="s">
        <v>639</v>
      </c>
      <c r="Q389" s="31" t="s">
        <v>1065</v>
      </c>
      <c r="R389" s="31" t="s">
        <v>639</v>
      </c>
      <c r="S389" s="31" t="s">
        <v>641</v>
      </c>
      <c r="T389" s="31" t="s">
        <v>642</v>
      </c>
      <c r="U389" s="35" t="s">
        <v>643</v>
      </c>
      <c r="V389" s="134"/>
      <c r="W389" s="85">
        <v>546009</v>
      </c>
      <c r="X389" s="83">
        <v>546009</v>
      </c>
      <c r="Y389" s="83">
        <v>0</v>
      </c>
      <c r="Z389" s="83"/>
      <c r="AA389" s="31"/>
      <c r="AB389" s="132"/>
      <c r="AC389" s="83" t="s">
        <v>1066</v>
      </c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>
        <v>0.65</v>
      </c>
      <c r="AO389" s="31">
        <v>3250</v>
      </c>
      <c r="AP389" s="31">
        <v>0.3339765359742346</v>
      </c>
      <c r="AQ389" s="31">
        <v>1669.882679871173</v>
      </c>
      <c r="AR389" s="31"/>
      <c r="AS389" s="31">
        <v>43865</v>
      </c>
      <c r="AT389" s="31" t="s">
        <v>645</v>
      </c>
      <c r="AU389" s="31">
        <v>3250</v>
      </c>
      <c r="AV389" s="31" t="s">
        <v>645</v>
      </c>
      <c r="AW389"/>
      <c r="AX389" s="31" t="s">
        <v>646</v>
      </c>
      <c r="AY389">
        <v>13515423</v>
      </c>
      <c r="AZ389" s="83">
        <v>20646696</v>
      </c>
      <c r="BA389" t="s">
        <v>647</v>
      </c>
      <c r="BB389" s="31" t="str">
        <f>BBDD_TERRENO[[#This Row],[Comuna]]&amp;BBDD_TERRENO[[#This Row],[Identificacion Propiedad]]</f>
        <v>Puerto MonttLote 51 (Cardenas - Alberto Cardenas)</v>
      </c>
    </row>
    <row r="390" spans="1:54" x14ac:dyDescent="0.3">
      <c r="A390" s="31" t="s">
        <v>70</v>
      </c>
      <c r="B390" s="31" t="s">
        <v>71</v>
      </c>
      <c r="C390" s="31" t="s">
        <v>1067</v>
      </c>
      <c r="D390" s="31" t="s">
        <v>638</v>
      </c>
      <c r="E390" s="42">
        <v>5000</v>
      </c>
      <c r="F390" s="31" t="s">
        <v>538</v>
      </c>
      <c r="G390" s="32"/>
      <c r="H390" s="31"/>
      <c r="I390" s="83"/>
      <c r="J390" s="83"/>
      <c r="K390" s="83">
        <v>0</v>
      </c>
      <c r="L390" s="83">
        <v>13515423</v>
      </c>
      <c r="M390" s="83">
        <v>14061432</v>
      </c>
      <c r="N390" s="83">
        <v>0</v>
      </c>
      <c r="O390" s="83">
        <v>14061432</v>
      </c>
      <c r="P390" s="31" t="s">
        <v>639</v>
      </c>
      <c r="Q390" s="31" t="s">
        <v>1068</v>
      </c>
      <c r="R390" s="31" t="s">
        <v>639</v>
      </c>
      <c r="S390" s="31" t="s">
        <v>641</v>
      </c>
      <c r="T390" s="31" t="s">
        <v>642</v>
      </c>
      <c r="U390" s="35" t="s">
        <v>643</v>
      </c>
      <c r="V390" s="134"/>
      <c r="W390" s="85">
        <v>546009</v>
      </c>
      <c r="X390" s="83">
        <v>546009</v>
      </c>
      <c r="Y390" s="83">
        <v>0</v>
      </c>
      <c r="Z390" s="83"/>
      <c r="AA390" s="31"/>
      <c r="AB390" s="132"/>
      <c r="AC390" s="83" t="s">
        <v>1069</v>
      </c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>
        <v>0.65</v>
      </c>
      <c r="AO390" s="31">
        <v>3250</v>
      </c>
      <c r="AP390" s="31">
        <v>0.3339765359742346</v>
      </c>
      <c r="AQ390" s="31">
        <v>1669.882679871173</v>
      </c>
      <c r="AR390" s="31"/>
      <c r="AS390" s="31">
        <v>43865</v>
      </c>
      <c r="AT390" s="31" t="s">
        <v>645</v>
      </c>
      <c r="AU390" s="31">
        <v>3250</v>
      </c>
      <c r="AV390" s="31" t="s">
        <v>645</v>
      </c>
      <c r="AW390"/>
      <c r="AX390" s="31" t="s">
        <v>646</v>
      </c>
      <c r="AY390">
        <v>13515423</v>
      </c>
      <c r="AZ390" s="83">
        <v>20646696</v>
      </c>
      <c r="BA390" t="s">
        <v>647</v>
      </c>
      <c r="BB390" s="31" t="str">
        <f>BBDD_TERRENO[[#This Row],[Comuna]]&amp;BBDD_TERRENO[[#This Row],[Identificacion Propiedad]]</f>
        <v>Puerto MonttLote 52 (Cardenas - Alberto Cardenas)</v>
      </c>
    </row>
    <row r="391" spans="1:54" x14ac:dyDescent="0.3">
      <c r="A391" s="31" t="s">
        <v>70</v>
      </c>
      <c r="B391" s="31" t="s">
        <v>71</v>
      </c>
      <c r="C391" s="31" t="s">
        <v>1070</v>
      </c>
      <c r="D391" s="31" t="s">
        <v>638</v>
      </c>
      <c r="E391" s="42">
        <v>5000</v>
      </c>
      <c r="F391" s="31" t="s">
        <v>538</v>
      </c>
      <c r="G391" s="32"/>
      <c r="H391" s="31"/>
      <c r="I391" s="83"/>
      <c r="J391" s="83"/>
      <c r="K391" s="83">
        <v>0</v>
      </c>
      <c r="L391" s="83">
        <v>13515423</v>
      </c>
      <c r="M391" s="83">
        <v>14061432</v>
      </c>
      <c r="N391" s="83">
        <v>0</v>
      </c>
      <c r="O391" s="83">
        <v>14061432</v>
      </c>
      <c r="P391" s="31" t="s">
        <v>639</v>
      </c>
      <c r="Q391" s="31" t="s">
        <v>1071</v>
      </c>
      <c r="R391" s="31" t="s">
        <v>639</v>
      </c>
      <c r="S391" s="31" t="s">
        <v>641</v>
      </c>
      <c r="T391" s="31" t="s">
        <v>642</v>
      </c>
      <c r="U391" s="35" t="s">
        <v>643</v>
      </c>
      <c r="V391" s="134"/>
      <c r="W391" s="85">
        <v>546009</v>
      </c>
      <c r="X391" s="83">
        <v>546009</v>
      </c>
      <c r="Y391" s="83">
        <v>0</v>
      </c>
      <c r="Z391" s="83"/>
      <c r="AA391" s="31"/>
      <c r="AB391" s="132"/>
      <c r="AC391" s="83" t="s">
        <v>1072</v>
      </c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>
        <v>0.65</v>
      </c>
      <c r="AO391" s="31">
        <v>3250</v>
      </c>
      <c r="AP391" s="31">
        <v>0.3339765359742346</v>
      </c>
      <c r="AQ391" s="31">
        <v>1669.882679871173</v>
      </c>
      <c r="AR391" s="31"/>
      <c r="AS391" s="31">
        <v>43865</v>
      </c>
      <c r="AT391" s="31" t="s">
        <v>645</v>
      </c>
      <c r="AU391" s="31">
        <v>3250</v>
      </c>
      <c r="AV391" s="31" t="s">
        <v>645</v>
      </c>
      <c r="AW391"/>
      <c r="AX391" s="31" t="s">
        <v>646</v>
      </c>
      <c r="AY391">
        <v>13515423</v>
      </c>
      <c r="AZ391" s="83">
        <v>20646696</v>
      </c>
      <c r="BA391" t="s">
        <v>647</v>
      </c>
      <c r="BB391" s="31" t="str">
        <f>BBDD_TERRENO[[#This Row],[Comuna]]&amp;BBDD_TERRENO[[#This Row],[Identificacion Propiedad]]</f>
        <v>Puerto MonttLote 53 (Cardenas - Alberto Cardenas)</v>
      </c>
    </row>
    <row r="392" spans="1:54" x14ac:dyDescent="0.3">
      <c r="A392" s="31" t="s">
        <v>70</v>
      </c>
      <c r="B392" s="31" t="s">
        <v>71</v>
      </c>
      <c r="C392" s="31" t="s">
        <v>1073</v>
      </c>
      <c r="D392" s="31" t="s">
        <v>638</v>
      </c>
      <c r="E392" s="42">
        <v>5000</v>
      </c>
      <c r="F392" s="31" t="s">
        <v>538</v>
      </c>
      <c r="G392" s="32"/>
      <c r="H392" s="31"/>
      <c r="I392" s="83"/>
      <c r="J392" s="83"/>
      <c r="K392" s="83">
        <v>0</v>
      </c>
      <c r="L392" s="83">
        <v>13515423</v>
      </c>
      <c r="M392" s="83">
        <v>14061432</v>
      </c>
      <c r="N392" s="83">
        <v>0</v>
      </c>
      <c r="O392" s="83">
        <v>14061432</v>
      </c>
      <c r="P392" s="31" t="s">
        <v>639</v>
      </c>
      <c r="Q392" s="31" t="s">
        <v>1074</v>
      </c>
      <c r="R392" s="31" t="s">
        <v>639</v>
      </c>
      <c r="S392" s="31" t="s">
        <v>641</v>
      </c>
      <c r="T392" s="31" t="s">
        <v>642</v>
      </c>
      <c r="U392" s="35" t="s">
        <v>643</v>
      </c>
      <c r="V392" s="134"/>
      <c r="W392" s="85">
        <v>546009</v>
      </c>
      <c r="X392" s="83">
        <v>546009</v>
      </c>
      <c r="Y392" s="83">
        <v>0</v>
      </c>
      <c r="Z392" s="83"/>
      <c r="AA392" s="31"/>
      <c r="AB392" s="132"/>
      <c r="AC392" s="83" t="s">
        <v>1075</v>
      </c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>
        <v>0.65</v>
      </c>
      <c r="AO392" s="31">
        <v>3250</v>
      </c>
      <c r="AP392" s="31">
        <v>0.3339765359742346</v>
      </c>
      <c r="AQ392" s="31">
        <v>1669.882679871173</v>
      </c>
      <c r="AR392" s="31"/>
      <c r="AS392" s="31">
        <v>43865</v>
      </c>
      <c r="AT392" s="31" t="s">
        <v>645</v>
      </c>
      <c r="AU392" s="31">
        <v>3250</v>
      </c>
      <c r="AV392" s="31" t="s">
        <v>645</v>
      </c>
      <c r="AW392"/>
      <c r="AX392" s="31" t="s">
        <v>646</v>
      </c>
      <c r="AY392">
        <v>13515423</v>
      </c>
      <c r="AZ392" s="83">
        <v>20646696</v>
      </c>
      <c r="BA392" t="s">
        <v>647</v>
      </c>
      <c r="BB392" s="31" t="str">
        <f>BBDD_TERRENO[[#This Row],[Comuna]]&amp;BBDD_TERRENO[[#This Row],[Identificacion Propiedad]]</f>
        <v>Puerto MonttLote 54 (Cardenas - Alberto Cardenas)</v>
      </c>
    </row>
    <row r="393" spans="1:54" x14ac:dyDescent="0.3">
      <c r="A393" s="31" t="s">
        <v>70</v>
      </c>
      <c r="B393" s="31" t="s">
        <v>71</v>
      </c>
      <c r="C393" s="31" t="s">
        <v>1076</v>
      </c>
      <c r="D393" s="31" t="s">
        <v>638</v>
      </c>
      <c r="E393" s="42">
        <v>5000</v>
      </c>
      <c r="F393" s="31" t="s">
        <v>538</v>
      </c>
      <c r="G393" s="32"/>
      <c r="H393" s="31"/>
      <c r="I393" s="83"/>
      <c r="J393" s="83"/>
      <c r="K393" s="83">
        <v>0</v>
      </c>
      <c r="L393" s="83">
        <v>13515423</v>
      </c>
      <c r="M393" s="83">
        <v>14061432</v>
      </c>
      <c r="N393" s="83">
        <v>0</v>
      </c>
      <c r="O393" s="83">
        <v>14061432</v>
      </c>
      <c r="P393" s="31" t="s">
        <v>639</v>
      </c>
      <c r="Q393" s="31" t="s">
        <v>1077</v>
      </c>
      <c r="R393" s="31" t="s">
        <v>639</v>
      </c>
      <c r="S393" s="31" t="s">
        <v>641</v>
      </c>
      <c r="T393" s="31" t="s">
        <v>642</v>
      </c>
      <c r="U393" s="35" t="s">
        <v>643</v>
      </c>
      <c r="V393" s="134"/>
      <c r="W393" s="85">
        <v>546009</v>
      </c>
      <c r="X393" s="83">
        <v>546009</v>
      </c>
      <c r="Y393" s="83">
        <v>0</v>
      </c>
      <c r="Z393" s="83"/>
      <c r="AA393" s="31"/>
      <c r="AB393" s="132"/>
      <c r="AC393" s="83" t="s">
        <v>1078</v>
      </c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>
        <v>0.65</v>
      </c>
      <c r="AO393" s="31">
        <v>3250</v>
      </c>
      <c r="AP393" s="31">
        <v>0.3339765359742346</v>
      </c>
      <c r="AQ393" s="31">
        <v>1669.882679871173</v>
      </c>
      <c r="AR393" s="31"/>
      <c r="AS393" s="31">
        <v>43865</v>
      </c>
      <c r="AT393" s="31" t="s">
        <v>645</v>
      </c>
      <c r="AU393" s="31">
        <v>3250</v>
      </c>
      <c r="AV393" s="31" t="s">
        <v>645</v>
      </c>
      <c r="AW393"/>
      <c r="AX393" s="31" t="s">
        <v>646</v>
      </c>
      <c r="AY393">
        <v>13515423</v>
      </c>
      <c r="AZ393" s="83">
        <v>20646696</v>
      </c>
      <c r="BA393" t="s">
        <v>647</v>
      </c>
      <c r="BB393" s="31" t="str">
        <f>BBDD_TERRENO[[#This Row],[Comuna]]&amp;BBDD_TERRENO[[#This Row],[Identificacion Propiedad]]</f>
        <v>Puerto MonttLote 57 (Cardenas - Alberto Cardenas)</v>
      </c>
    </row>
    <row r="394" spans="1:54" x14ac:dyDescent="0.3">
      <c r="A394" s="31" t="s">
        <v>70</v>
      </c>
      <c r="B394" s="31" t="s">
        <v>71</v>
      </c>
      <c r="C394" s="31" t="s">
        <v>1079</v>
      </c>
      <c r="D394" s="31" t="s">
        <v>638</v>
      </c>
      <c r="E394" s="42">
        <v>5000</v>
      </c>
      <c r="F394" s="31" t="s">
        <v>538</v>
      </c>
      <c r="G394" s="32"/>
      <c r="H394" s="31"/>
      <c r="I394" s="83"/>
      <c r="J394" s="83"/>
      <c r="K394" s="83">
        <v>0</v>
      </c>
      <c r="L394" s="83">
        <v>13515423</v>
      </c>
      <c r="M394" s="83">
        <v>14061432</v>
      </c>
      <c r="N394" s="83">
        <v>0</v>
      </c>
      <c r="O394" s="83">
        <v>14061432</v>
      </c>
      <c r="P394" s="31" t="s">
        <v>639</v>
      </c>
      <c r="Q394" s="31" t="s">
        <v>1080</v>
      </c>
      <c r="R394" s="31" t="s">
        <v>639</v>
      </c>
      <c r="S394" s="31" t="s">
        <v>641</v>
      </c>
      <c r="T394" s="31" t="s">
        <v>642</v>
      </c>
      <c r="U394" s="35" t="s">
        <v>643</v>
      </c>
      <c r="V394" s="134"/>
      <c r="W394" s="85">
        <v>546009</v>
      </c>
      <c r="X394" s="83">
        <v>546009</v>
      </c>
      <c r="Y394" s="83">
        <v>0</v>
      </c>
      <c r="Z394" s="83"/>
      <c r="AA394" s="31"/>
      <c r="AB394" s="132"/>
      <c r="AC394" s="83" t="s">
        <v>1081</v>
      </c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>
        <v>0.65</v>
      </c>
      <c r="AO394" s="31">
        <v>3250</v>
      </c>
      <c r="AP394" s="31">
        <v>0.3339765359742346</v>
      </c>
      <c r="AQ394" s="31">
        <v>1669.882679871173</v>
      </c>
      <c r="AR394" s="31"/>
      <c r="AS394" s="31">
        <v>43865</v>
      </c>
      <c r="AT394" s="31" t="s">
        <v>645</v>
      </c>
      <c r="AU394" s="31">
        <v>3250</v>
      </c>
      <c r="AV394" s="31" t="s">
        <v>645</v>
      </c>
      <c r="AW394"/>
      <c r="AX394" s="31" t="s">
        <v>646</v>
      </c>
      <c r="AY394">
        <v>13515423</v>
      </c>
      <c r="AZ394" s="83">
        <v>20646696</v>
      </c>
      <c r="BA394" t="s">
        <v>647</v>
      </c>
      <c r="BB394" s="31" t="str">
        <f>BBDD_TERRENO[[#This Row],[Comuna]]&amp;BBDD_TERRENO[[#This Row],[Identificacion Propiedad]]</f>
        <v>Puerto MonttLote 58 (Cardenas - Alberto Cardenas)</v>
      </c>
    </row>
    <row r="395" spans="1:54" x14ac:dyDescent="0.3">
      <c r="A395" s="31" t="s">
        <v>70</v>
      </c>
      <c r="B395" s="31" t="s">
        <v>71</v>
      </c>
      <c r="C395" s="31" t="s">
        <v>1082</v>
      </c>
      <c r="D395" s="31" t="s">
        <v>638</v>
      </c>
      <c r="E395" s="42">
        <v>5000</v>
      </c>
      <c r="F395" s="31" t="s">
        <v>538</v>
      </c>
      <c r="G395" s="32"/>
      <c r="H395" s="31"/>
      <c r="I395" s="83"/>
      <c r="J395" s="83"/>
      <c r="K395" s="83">
        <v>0</v>
      </c>
      <c r="L395" s="83">
        <v>13515423</v>
      </c>
      <c r="M395" s="83">
        <v>14061432</v>
      </c>
      <c r="N395" s="83">
        <v>0</v>
      </c>
      <c r="O395" s="83">
        <v>14061432</v>
      </c>
      <c r="P395" s="31"/>
      <c r="Q395" s="31" t="s">
        <v>639</v>
      </c>
      <c r="R395" s="31" t="s">
        <v>639</v>
      </c>
      <c r="S395" s="31" t="s">
        <v>641</v>
      </c>
      <c r="T395" s="31" t="s">
        <v>642</v>
      </c>
      <c r="U395" s="35" t="s">
        <v>643</v>
      </c>
      <c r="V395" s="134"/>
      <c r="W395" s="85">
        <v>546009</v>
      </c>
      <c r="X395" s="83">
        <v>546009</v>
      </c>
      <c r="Y395" s="83">
        <v>0</v>
      </c>
      <c r="Z395" s="83"/>
      <c r="AA395" s="31"/>
      <c r="AB395" s="132"/>
      <c r="AC395" s="83" t="s">
        <v>1083</v>
      </c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>
        <v>0.3</v>
      </c>
      <c r="AO395" s="31">
        <v>1500</v>
      </c>
      <c r="AP395" s="31">
        <v>0.3</v>
      </c>
      <c r="AQ395" s="31">
        <v>1500</v>
      </c>
      <c r="AR395" s="31"/>
      <c r="AS395" s="31"/>
      <c r="AT395" s="31"/>
      <c r="AU395" s="31"/>
      <c r="AV395" s="31" t="s">
        <v>88</v>
      </c>
      <c r="AW395"/>
      <c r="AY395">
        <v>13515423</v>
      </c>
      <c r="AZ395" s="83">
        <v>19485683</v>
      </c>
      <c r="BA395" t="s">
        <v>647</v>
      </c>
      <c r="BB395" s="31" t="str">
        <f>BBDD_TERRENO[[#This Row],[Comuna]]&amp;BBDD_TERRENO[[#This Row],[Identificacion Propiedad]]</f>
        <v>Puerto MonttLote 59 (ex Joaquin Rodriguez)</v>
      </c>
    </row>
    <row r="396" spans="1:54" x14ac:dyDescent="0.3">
      <c r="A396" s="31" t="s">
        <v>70</v>
      </c>
      <c r="B396" s="31" t="s">
        <v>71</v>
      </c>
      <c r="C396" s="31" t="s">
        <v>1084</v>
      </c>
      <c r="D396" s="31" t="s">
        <v>1085</v>
      </c>
      <c r="E396" s="42">
        <v>5000</v>
      </c>
      <c r="F396" s="31" t="s">
        <v>538</v>
      </c>
      <c r="G396" s="32"/>
      <c r="H396" s="31"/>
      <c r="I396" s="83"/>
      <c r="J396" s="83"/>
      <c r="K396" s="83">
        <v>0</v>
      </c>
      <c r="L396" s="83">
        <v>63081977</v>
      </c>
      <c r="M396" s="83">
        <v>64406678</v>
      </c>
      <c r="N396" s="83">
        <v>0</v>
      </c>
      <c r="O396" s="83">
        <v>64406678</v>
      </c>
      <c r="P396" s="31" t="s">
        <v>1086</v>
      </c>
      <c r="Q396" s="31" t="s">
        <v>1087</v>
      </c>
      <c r="R396" s="31" t="s">
        <v>1087</v>
      </c>
      <c r="S396" s="31" t="s">
        <v>641</v>
      </c>
      <c r="T396" s="31" t="s">
        <v>642</v>
      </c>
      <c r="U396" s="35" t="s">
        <v>643</v>
      </c>
      <c r="V396" s="134"/>
      <c r="W396" s="85">
        <v>1324701</v>
      </c>
      <c r="X396" s="83">
        <v>1324701</v>
      </c>
      <c r="Y396" s="83">
        <v>0</v>
      </c>
      <c r="Z396" s="83"/>
      <c r="AA396" s="31"/>
      <c r="AB396" s="132"/>
      <c r="AC396" s="83" t="s">
        <v>1088</v>
      </c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>
        <v>3.5</v>
      </c>
      <c r="AO396" s="31">
        <v>17500</v>
      </c>
      <c r="AP396" s="31">
        <v>0.88</v>
      </c>
      <c r="AQ396" s="31">
        <v>4400</v>
      </c>
      <c r="AR396" s="31"/>
      <c r="AS396" s="31">
        <v>40868</v>
      </c>
      <c r="AT396" s="31" t="s">
        <v>108</v>
      </c>
      <c r="AU396" s="31">
        <v>4400</v>
      </c>
      <c r="AV396" s="31" t="s">
        <v>88</v>
      </c>
      <c r="AW396"/>
      <c r="AY396">
        <v>63081977</v>
      </c>
      <c r="AZ396" s="83">
        <v>92395390</v>
      </c>
      <c r="BA396" t="s">
        <v>647</v>
      </c>
      <c r="BB396" s="31" t="str">
        <f>BBDD_TERRENO[[#This Row],[Comuna]]&amp;BBDD_TERRENO[[#This Row],[Identificacion Propiedad]]</f>
        <v>Puerto MonttLote B12 (Numero 12 Mz B)</v>
      </c>
    </row>
    <row r="397" spans="1:54" x14ac:dyDescent="0.3">
      <c r="A397" s="31" t="s">
        <v>70</v>
      </c>
      <c r="B397" s="31" t="s">
        <v>71</v>
      </c>
      <c r="C397" s="31" t="s">
        <v>1089</v>
      </c>
      <c r="D397" s="31" t="s">
        <v>638</v>
      </c>
      <c r="E397" s="42">
        <v>5400</v>
      </c>
      <c r="F397" s="31" t="s">
        <v>538</v>
      </c>
      <c r="G397" s="32"/>
      <c r="H397" s="31"/>
      <c r="I397" s="83"/>
      <c r="J397" s="83"/>
      <c r="K397" s="83">
        <v>0</v>
      </c>
      <c r="L397" s="83">
        <v>13515423</v>
      </c>
      <c r="M397" s="83">
        <v>14061432</v>
      </c>
      <c r="N397" s="83">
        <v>0</v>
      </c>
      <c r="O397" s="83">
        <v>14061432</v>
      </c>
      <c r="P397" s="31" t="s">
        <v>639</v>
      </c>
      <c r="Q397" s="31" t="s">
        <v>1090</v>
      </c>
      <c r="R397" s="31" t="s">
        <v>639</v>
      </c>
      <c r="S397" s="31" t="s">
        <v>641</v>
      </c>
      <c r="T397" s="31" t="s">
        <v>642</v>
      </c>
      <c r="U397" s="35" t="s">
        <v>643</v>
      </c>
      <c r="V397" s="134"/>
      <c r="W397" s="85">
        <v>546009</v>
      </c>
      <c r="X397" s="83">
        <v>546009</v>
      </c>
      <c r="Y397" s="83">
        <v>0</v>
      </c>
      <c r="Z397" s="83"/>
      <c r="AA397" s="31"/>
      <c r="AB397" s="132"/>
      <c r="AC397" s="83" t="s">
        <v>1091</v>
      </c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>
        <v>0.65</v>
      </c>
      <c r="AO397" s="31">
        <v>3510</v>
      </c>
      <c r="AP397" s="31">
        <v>0.3339765359742346</v>
      </c>
      <c r="AQ397" s="31">
        <v>1803.4732942608669</v>
      </c>
      <c r="AR397" s="31"/>
      <c r="AS397" s="31">
        <v>43865</v>
      </c>
      <c r="AT397" s="31" t="s">
        <v>645</v>
      </c>
      <c r="AU397" s="31">
        <v>3510</v>
      </c>
      <c r="AV397" s="31" t="s">
        <v>645</v>
      </c>
      <c r="AW397"/>
      <c r="AX397" s="31" t="s">
        <v>646</v>
      </c>
      <c r="AY397">
        <v>13515423</v>
      </c>
      <c r="AZ397" s="83">
        <v>22298431</v>
      </c>
      <c r="BA397" t="s">
        <v>647</v>
      </c>
      <c r="BB397" s="31" t="str">
        <f>BBDD_TERRENO[[#This Row],[Comuna]]&amp;BBDD_TERRENO[[#This Row],[Identificacion Propiedad]]</f>
        <v>Puerto MonttLote 36 (Cardenas - Alberto Cardenas)</v>
      </c>
    </row>
    <row r="398" spans="1:54" x14ac:dyDescent="0.3">
      <c r="A398" s="31" t="s">
        <v>70</v>
      </c>
      <c r="B398" s="31" t="s">
        <v>71</v>
      </c>
      <c r="C398" s="31" t="s">
        <v>1092</v>
      </c>
      <c r="D398" s="31" t="s">
        <v>1093</v>
      </c>
      <c r="E398" s="42">
        <v>5850</v>
      </c>
      <c r="F398" s="31" t="s">
        <v>538</v>
      </c>
      <c r="G398" s="32"/>
      <c r="H398" s="31"/>
      <c r="I398" s="83"/>
      <c r="J398" s="83"/>
      <c r="K398" s="83">
        <v>0</v>
      </c>
      <c r="L398" s="83">
        <v>73805913</v>
      </c>
      <c r="M398" s="83">
        <v>75355813</v>
      </c>
      <c r="N398" s="83">
        <v>0</v>
      </c>
      <c r="O398" s="83">
        <v>75355813</v>
      </c>
      <c r="P398" s="31" t="s">
        <v>1086</v>
      </c>
      <c r="Q398" s="31" t="s">
        <v>1094</v>
      </c>
      <c r="R398" s="31" t="s">
        <v>1094</v>
      </c>
      <c r="S398" s="31" t="s">
        <v>641</v>
      </c>
      <c r="T398" s="31" t="s">
        <v>642</v>
      </c>
      <c r="U398" s="35" t="s">
        <v>643</v>
      </c>
      <c r="V398" s="134"/>
      <c r="W398" s="85">
        <v>1549900</v>
      </c>
      <c r="X398" s="83">
        <v>1549900</v>
      </c>
      <c r="Y398" s="83">
        <v>0</v>
      </c>
      <c r="Z398" s="83"/>
      <c r="AA398" s="31"/>
      <c r="AB398" s="132"/>
      <c r="AC398" s="83" t="s">
        <v>1095</v>
      </c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>
        <v>3.5</v>
      </c>
      <c r="AO398" s="31">
        <v>20475</v>
      </c>
      <c r="AP398" s="31">
        <v>0.88</v>
      </c>
      <c r="AQ398" s="31">
        <v>4400</v>
      </c>
      <c r="AR398" s="31"/>
      <c r="AS398" s="31">
        <v>40868</v>
      </c>
      <c r="AT398" s="31" t="s">
        <v>108</v>
      </c>
      <c r="AU398" s="31">
        <v>4400</v>
      </c>
      <c r="AV398" s="31" t="s">
        <v>88</v>
      </c>
      <c r="AW398"/>
      <c r="AY398">
        <v>73805913</v>
      </c>
      <c r="AZ398" s="83">
        <v>92395390</v>
      </c>
      <c r="BA398" t="s">
        <v>647</v>
      </c>
      <c r="BB398" s="31" t="str">
        <f>BBDD_TERRENO[[#This Row],[Comuna]]&amp;BBDD_TERRENO[[#This Row],[Identificacion Propiedad]]</f>
        <v>Puerto MonttLote B10 (Numero 10 Mz B)</v>
      </c>
    </row>
    <row r="399" spans="1:54" s="54" customFormat="1" x14ac:dyDescent="0.3">
      <c r="A399" s="31" t="s">
        <v>70</v>
      </c>
      <c r="B399" s="31" t="s">
        <v>71</v>
      </c>
      <c r="C399" s="31" t="s">
        <v>1096</v>
      </c>
      <c r="D399" s="31" t="s">
        <v>638</v>
      </c>
      <c r="E399" s="42">
        <v>6000</v>
      </c>
      <c r="F399" s="31" t="s">
        <v>538</v>
      </c>
      <c r="G399" s="32"/>
      <c r="H399" s="31"/>
      <c r="I399" s="83"/>
      <c r="J399" s="83"/>
      <c r="K399" s="83">
        <v>0</v>
      </c>
      <c r="L399" s="83">
        <v>13515423</v>
      </c>
      <c r="M399" s="83">
        <v>14061432</v>
      </c>
      <c r="N399" s="83">
        <v>0</v>
      </c>
      <c r="O399" s="83">
        <v>14061432</v>
      </c>
      <c r="P399" s="31" t="s">
        <v>639</v>
      </c>
      <c r="Q399" s="31" t="s">
        <v>1097</v>
      </c>
      <c r="R399" s="31" t="s">
        <v>639</v>
      </c>
      <c r="S399" s="31" t="s">
        <v>641</v>
      </c>
      <c r="T399" s="31" t="s">
        <v>642</v>
      </c>
      <c r="U399" s="35" t="s">
        <v>643</v>
      </c>
      <c r="V399" s="134"/>
      <c r="W399" s="85">
        <v>546009</v>
      </c>
      <c r="X399" s="83">
        <v>546009</v>
      </c>
      <c r="Y399" s="83">
        <v>0</v>
      </c>
      <c r="Z399" s="83"/>
      <c r="AA399" s="31"/>
      <c r="AB399" s="132"/>
      <c r="AC399" s="83" t="s">
        <v>1098</v>
      </c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>
        <v>0.65</v>
      </c>
      <c r="AO399" s="31">
        <v>3900</v>
      </c>
      <c r="AP399" s="31">
        <v>0.3339765359742346</v>
      </c>
      <c r="AQ399" s="31">
        <v>2003.8592158454076</v>
      </c>
      <c r="AR399" s="31"/>
      <c r="AS399" s="31">
        <v>43865</v>
      </c>
      <c r="AT399" s="31" t="s">
        <v>645</v>
      </c>
      <c r="AU399" s="31">
        <v>3900</v>
      </c>
      <c r="AV399" s="31" t="s">
        <v>645</v>
      </c>
      <c r="AW399"/>
      <c r="AX399" s="31" t="s">
        <v>646</v>
      </c>
      <c r="AY399">
        <v>13515423</v>
      </c>
      <c r="AZ399" s="83" t="s">
        <v>682</v>
      </c>
      <c r="BA399" t="s">
        <v>647</v>
      </c>
      <c r="BB399" s="31" t="str">
        <f>BBDD_TERRENO[[#This Row],[Comuna]]&amp;BBDD_TERRENO[[#This Row],[Identificacion Propiedad]]</f>
        <v>Puerto MonttLote 09 (Cardenas - Alberto Cardenas)</v>
      </c>
    </row>
    <row r="400" spans="1:54" x14ac:dyDescent="0.3">
      <c r="A400" s="31" t="s">
        <v>70</v>
      </c>
      <c r="B400" s="31" t="s">
        <v>71</v>
      </c>
      <c r="C400" s="31" t="s">
        <v>1099</v>
      </c>
      <c r="D400" s="31" t="s">
        <v>638</v>
      </c>
      <c r="E400" s="42">
        <v>6000</v>
      </c>
      <c r="F400" s="31" t="s">
        <v>538</v>
      </c>
      <c r="G400" s="32"/>
      <c r="H400" s="31"/>
      <c r="I400" s="83"/>
      <c r="J400" s="83"/>
      <c r="K400" s="83">
        <v>0</v>
      </c>
      <c r="L400" s="83">
        <v>13515423</v>
      </c>
      <c r="M400" s="83">
        <v>14061432</v>
      </c>
      <c r="N400" s="83">
        <v>0</v>
      </c>
      <c r="O400" s="83">
        <v>14061432</v>
      </c>
      <c r="P400" s="31" t="s">
        <v>639</v>
      </c>
      <c r="Q400" s="31" t="s">
        <v>1100</v>
      </c>
      <c r="R400" s="31" t="s">
        <v>639</v>
      </c>
      <c r="S400" s="31" t="s">
        <v>641</v>
      </c>
      <c r="T400" s="31" t="s">
        <v>642</v>
      </c>
      <c r="U400" s="35" t="s">
        <v>643</v>
      </c>
      <c r="V400" s="134"/>
      <c r="W400" s="85">
        <v>546009</v>
      </c>
      <c r="X400" s="83">
        <v>546009</v>
      </c>
      <c r="Y400" s="83">
        <v>0</v>
      </c>
      <c r="Z400" s="83"/>
      <c r="AA400" s="31"/>
      <c r="AB400" s="132"/>
      <c r="AC400" s="83" t="s">
        <v>1101</v>
      </c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>
        <v>0.65</v>
      </c>
      <c r="AO400" s="31">
        <v>3900</v>
      </c>
      <c r="AP400" s="31">
        <v>0.3339765359742346</v>
      </c>
      <c r="AQ400" s="31">
        <v>2003.8592158454076</v>
      </c>
      <c r="AR400" s="31"/>
      <c r="AS400" s="31">
        <v>43865</v>
      </c>
      <c r="AT400" s="31" t="s">
        <v>645</v>
      </c>
      <c r="AU400" s="31">
        <v>3900</v>
      </c>
      <c r="AV400" s="31" t="s">
        <v>645</v>
      </c>
      <c r="AW400"/>
      <c r="AX400" s="31" t="s">
        <v>646</v>
      </c>
      <c r="AY400">
        <v>13515423</v>
      </c>
      <c r="AZ400" s="83">
        <v>24776038</v>
      </c>
      <c r="BA400" t="s">
        <v>647</v>
      </c>
      <c r="BB400" s="31" t="str">
        <f>BBDD_TERRENO[[#This Row],[Comuna]]&amp;BBDD_TERRENO[[#This Row],[Identificacion Propiedad]]</f>
        <v>Puerto MonttLote 23 (Cardenas - Alberto Cardenas)</v>
      </c>
    </row>
    <row r="401" spans="1:54" x14ac:dyDescent="0.3">
      <c r="A401" s="31" t="s">
        <v>70</v>
      </c>
      <c r="B401" s="31" t="s">
        <v>71</v>
      </c>
      <c r="C401" s="31" t="s">
        <v>1102</v>
      </c>
      <c r="D401" s="31" t="s">
        <v>638</v>
      </c>
      <c r="E401" s="42">
        <v>6000</v>
      </c>
      <c r="F401" s="31" t="s">
        <v>538</v>
      </c>
      <c r="G401" s="32"/>
      <c r="H401" s="31"/>
      <c r="I401" s="83"/>
      <c r="J401" s="83"/>
      <c r="K401" s="83">
        <v>0</v>
      </c>
      <c r="L401" s="83">
        <v>13515423</v>
      </c>
      <c r="M401" s="83">
        <v>14061432</v>
      </c>
      <c r="N401" s="83">
        <v>0</v>
      </c>
      <c r="O401" s="83">
        <v>14061432</v>
      </c>
      <c r="P401" s="31" t="s">
        <v>639</v>
      </c>
      <c r="Q401" s="31" t="s">
        <v>1103</v>
      </c>
      <c r="R401" s="31" t="s">
        <v>639</v>
      </c>
      <c r="S401" s="31" t="s">
        <v>641</v>
      </c>
      <c r="T401" s="31" t="s">
        <v>642</v>
      </c>
      <c r="U401" s="35" t="s">
        <v>643</v>
      </c>
      <c r="V401" s="134"/>
      <c r="W401" s="85">
        <v>546009</v>
      </c>
      <c r="X401" s="83">
        <v>546009</v>
      </c>
      <c r="Y401" s="83">
        <v>0</v>
      </c>
      <c r="Z401" s="83"/>
      <c r="AA401" s="31"/>
      <c r="AB401" s="132"/>
      <c r="AC401" s="83" t="s">
        <v>1104</v>
      </c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>
        <v>0.65</v>
      </c>
      <c r="AO401" s="31">
        <v>3250</v>
      </c>
      <c r="AP401" s="31">
        <v>0.3339765359742346</v>
      </c>
      <c r="AQ401" s="31">
        <v>2003.8592158454076</v>
      </c>
      <c r="AR401" s="31"/>
      <c r="AS401" s="31">
        <v>43865</v>
      </c>
      <c r="AT401" s="31" t="s">
        <v>645</v>
      </c>
      <c r="AU401" s="31">
        <v>3900</v>
      </c>
      <c r="AV401" s="31" t="s">
        <v>645</v>
      </c>
      <c r="AW401"/>
      <c r="AX401" s="31" t="s">
        <v>646</v>
      </c>
      <c r="AY401">
        <v>13515423</v>
      </c>
      <c r="AZ401" s="83">
        <v>24776038</v>
      </c>
      <c r="BA401" t="s">
        <v>647</v>
      </c>
      <c r="BB401" s="31" t="str">
        <f>BBDD_TERRENO[[#This Row],[Comuna]]&amp;BBDD_TERRENO[[#This Row],[Identificacion Propiedad]]</f>
        <v>Puerto MonttLote 55 (Cardenas - Alberto Cardenas)</v>
      </c>
    </row>
    <row r="402" spans="1:54" x14ac:dyDescent="0.3">
      <c r="A402" s="31" t="s">
        <v>1105</v>
      </c>
      <c r="B402" s="31" t="s">
        <v>71</v>
      </c>
      <c r="C402" s="31" t="s">
        <v>1106</v>
      </c>
      <c r="D402" s="31" t="s">
        <v>1107</v>
      </c>
      <c r="E402" s="42">
        <v>19400</v>
      </c>
      <c r="F402" s="31" t="s">
        <v>538</v>
      </c>
      <c r="G402" s="32"/>
      <c r="H402" s="31"/>
      <c r="I402" s="83"/>
      <c r="J402" s="83"/>
      <c r="K402" s="83">
        <v>0</v>
      </c>
      <c r="L402" s="83">
        <v>944118335</v>
      </c>
      <c r="M402" s="83">
        <v>982259708</v>
      </c>
      <c r="N402" s="83">
        <v>0</v>
      </c>
      <c r="O402" s="83">
        <v>982259708</v>
      </c>
      <c r="P402" s="31" t="s">
        <v>1108</v>
      </c>
      <c r="Q402" s="31" t="s">
        <v>1109</v>
      </c>
      <c r="R402" s="31" t="s">
        <v>1109</v>
      </c>
      <c r="S402" s="31" t="s">
        <v>641</v>
      </c>
      <c r="T402" s="31" t="s">
        <v>642</v>
      </c>
      <c r="U402" s="35" t="s">
        <v>643</v>
      </c>
      <c r="V402" s="134"/>
      <c r="W402" s="85">
        <v>38141373</v>
      </c>
      <c r="X402" s="83">
        <v>38141373</v>
      </c>
      <c r="Y402" s="83">
        <v>0</v>
      </c>
      <c r="Z402" s="83"/>
      <c r="AA402" s="31"/>
      <c r="AB402" s="132"/>
      <c r="AC402" s="83" t="s">
        <v>1110</v>
      </c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>
        <v>0.8</v>
      </c>
      <c r="AO402" s="31">
        <v>15520</v>
      </c>
      <c r="AP402" s="31">
        <v>0.47</v>
      </c>
      <c r="AQ402" s="31">
        <v>9118</v>
      </c>
      <c r="AR402" s="31"/>
      <c r="AS402" s="31">
        <v>45579</v>
      </c>
      <c r="AT402" s="31" t="s">
        <v>1111</v>
      </c>
      <c r="AU402" s="31">
        <v>9118</v>
      </c>
      <c r="AV402" s="31" t="s">
        <v>1111</v>
      </c>
      <c r="AW402"/>
      <c r="AY402">
        <v>944118335</v>
      </c>
      <c r="AZ402" s="83">
        <v>235746239</v>
      </c>
      <c r="BA402" t="s">
        <v>647</v>
      </c>
      <c r="BB402" s="31" t="str">
        <f>BBDD_TERRENO[[#This Row],[Comuna]]&amp;BBDD_TERRENO[[#This Row],[Identificacion Propiedad]]</f>
        <v>Puerto Montt2B - Jose Guerrero La Faja</v>
      </c>
    </row>
    <row r="403" spans="1:54" x14ac:dyDescent="0.3">
      <c r="A403" s="31" t="s">
        <v>1105</v>
      </c>
      <c r="B403" s="31" t="s">
        <v>71</v>
      </c>
      <c r="C403" s="31" t="s">
        <v>1112</v>
      </c>
      <c r="D403" s="31" t="s">
        <v>1113</v>
      </c>
      <c r="E403" s="42">
        <v>40700</v>
      </c>
      <c r="F403" s="31" t="s">
        <v>538</v>
      </c>
      <c r="G403" s="32"/>
      <c r="H403" s="31"/>
      <c r="I403" s="83"/>
      <c r="J403" s="83"/>
      <c r="K403" s="83">
        <v>0</v>
      </c>
      <c r="L403" s="83">
        <v>1842409621</v>
      </c>
      <c r="M403" s="83">
        <v>1881099633</v>
      </c>
      <c r="N403" s="83">
        <v>0</v>
      </c>
      <c r="O403" s="83">
        <v>1881099633</v>
      </c>
      <c r="P403" s="31" t="s">
        <v>1108</v>
      </c>
      <c r="Q403" s="31" t="s">
        <v>1114</v>
      </c>
      <c r="R403" s="31" t="s">
        <v>1114</v>
      </c>
      <c r="S403" s="31" t="s">
        <v>641</v>
      </c>
      <c r="T403" s="31" t="s">
        <v>642</v>
      </c>
      <c r="U403" s="35" t="s">
        <v>643</v>
      </c>
      <c r="V403" s="134"/>
      <c r="W403" s="85">
        <v>38690012</v>
      </c>
      <c r="X403" s="83">
        <v>38690012</v>
      </c>
      <c r="Y403" s="83">
        <v>0</v>
      </c>
      <c r="Z403" s="83"/>
      <c r="AA403" s="31"/>
      <c r="AB403" s="132"/>
      <c r="AC403" s="83" t="s">
        <v>1115</v>
      </c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>
        <v>0.8</v>
      </c>
      <c r="AO403" s="31">
        <v>32560</v>
      </c>
      <c r="AP403" s="31">
        <v>0.47</v>
      </c>
      <c r="AQ403" s="31">
        <v>19129</v>
      </c>
      <c r="AR403" s="31"/>
      <c r="AS403" s="31">
        <v>45579</v>
      </c>
      <c r="AT403" s="31" t="s">
        <v>1111</v>
      </c>
      <c r="AU403" s="31">
        <v>19129</v>
      </c>
      <c r="AV403" s="31" t="s">
        <v>1111</v>
      </c>
      <c r="AW403"/>
      <c r="AY403">
        <v>1842409621</v>
      </c>
      <c r="AZ403" s="83">
        <v>494580829</v>
      </c>
      <c r="BA403" t="s">
        <v>647</v>
      </c>
      <c r="BB403" s="31" t="str">
        <f>BBDD_TERRENO[[#This Row],[Comuna]]&amp;BBDD_TERRENO[[#This Row],[Identificacion Propiedad]]</f>
        <v>Puerto Montt2A - Jose Guerrero</v>
      </c>
    </row>
    <row r="404" spans="1:54" x14ac:dyDescent="0.3">
      <c r="A404" s="31" t="s">
        <v>496</v>
      </c>
      <c r="B404" s="31" t="s">
        <v>71</v>
      </c>
      <c r="C404" s="31" t="s">
        <v>1116</v>
      </c>
      <c r="D404" s="31" t="s">
        <v>1117</v>
      </c>
      <c r="E404" s="42">
        <v>54848.91</v>
      </c>
      <c r="F404" s="31" t="s">
        <v>538</v>
      </c>
      <c r="G404" s="32"/>
      <c r="H404" s="31"/>
      <c r="I404" s="83"/>
      <c r="J404" s="83"/>
      <c r="K404" s="83">
        <v>0</v>
      </c>
      <c r="L404" s="83">
        <v>4612626336</v>
      </c>
      <c r="M404" s="83">
        <v>4712553013</v>
      </c>
      <c r="N404" s="83">
        <v>0</v>
      </c>
      <c r="O404" s="83">
        <v>4712553013</v>
      </c>
      <c r="P404" s="31" t="s">
        <v>1118</v>
      </c>
      <c r="Q404" s="31" t="s">
        <v>1119</v>
      </c>
      <c r="R404" s="31" t="s">
        <v>1119</v>
      </c>
      <c r="S404" s="31" t="s">
        <v>641</v>
      </c>
      <c r="T404" s="31" t="s">
        <v>642</v>
      </c>
      <c r="U404" s="35" t="s">
        <v>643</v>
      </c>
      <c r="V404" s="134"/>
      <c r="W404" s="85">
        <v>96926677</v>
      </c>
      <c r="X404" s="83">
        <v>99926677</v>
      </c>
      <c r="Y404" s="83">
        <v>0</v>
      </c>
      <c r="Z404" s="83"/>
      <c r="AA404" s="31"/>
      <c r="AB404" s="132"/>
      <c r="AC404" s="83" t="s">
        <v>1120</v>
      </c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>
        <v>1.8</v>
      </c>
      <c r="AO404" s="31">
        <v>86364.306000000011</v>
      </c>
      <c r="AP404" s="31">
        <v>3.3951373756388916</v>
      </c>
      <c r="AQ404" s="31">
        <v>186407.88</v>
      </c>
      <c r="AR404" s="31"/>
      <c r="AS404" s="31">
        <v>45603</v>
      </c>
      <c r="AT404" s="31" t="s">
        <v>645</v>
      </c>
      <c r="AU404" s="31">
        <v>186407.88</v>
      </c>
      <c r="AV404" s="31" t="s">
        <v>645</v>
      </c>
      <c r="AW404"/>
      <c r="AX404" s="31" t="s">
        <v>646</v>
      </c>
      <c r="AY404">
        <v>4615626336</v>
      </c>
      <c r="AZ404" s="83">
        <v>292805086</v>
      </c>
      <c r="BA404" t="s">
        <v>647</v>
      </c>
      <c r="BB404" s="31" t="str">
        <f>BBDD_TERRENO[[#This Row],[Comuna]]&amp;BBDD_TERRENO[[#This Row],[Identificacion Propiedad]]</f>
        <v>Puerto MonttLote B (A3-a, A4 y A2f)</v>
      </c>
    </row>
    <row r="405" spans="1:54" x14ac:dyDescent="0.3">
      <c r="A405" s="31" t="s">
        <v>70</v>
      </c>
      <c r="B405" s="31" t="s">
        <v>71</v>
      </c>
      <c r="C405" s="31" t="s">
        <v>1121</v>
      </c>
      <c r="D405" s="31" t="s">
        <v>852</v>
      </c>
      <c r="E405" s="42">
        <v>80900</v>
      </c>
      <c r="F405" s="31" t="s">
        <v>538</v>
      </c>
      <c r="G405" s="32"/>
      <c r="H405" s="31"/>
      <c r="I405" s="83"/>
      <c r="J405" s="83"/>
      <c r="K405" s="83">
        <v>14607774</v>
      </c>
      <c r="L405" s="83">
        <v>0</v>
      </c>
      <c r="M405" s="83">
        <v>14914537</v>
      </c>
      <c r="N405" s="83">
        <v>14914537</v>
      </c>
      <c r="O405" s="83">
        <v>0</v>
      </c>
      <c r="P405" s="31"/>
      <c r="Q405" s="31" t="s">
        <v>1122</v>
      </c>
      <c r="R405" s="31" t="s">
        <v>1123</v>
      </c>
      <c r="S405" s="31" t="s">
        <v>854</v>
      </c>
      <c r="T405" s="31" t="s">
        <v>1124</v>
      </c>
      <c r="U405" s="35" t="s">
        <v>782</v>
      </c>
      <c r="V405" s="134"/>
      <c r="W405" s="85">
        <v>306763</v>
      </c>
      <c r="X405" s="83">
        <v>0</v>
      </c>
      <c r="Y405" s="83">
        <v>306763</v>
      </c>
      <c r="Z405" s="83"/>
      <c r="AA405" s="31"/>
      <c r="AB405" s="132"/>
      <c r="AC405" s="83" t="s">
        <v>1125</v>
      </c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>
        <v>0.51</v>
      </c>
      <c r="AO405" s="31">
        <v>41259</v>
      </c>
      <c r="AP405" s="31">
        <v>0.51</v>
      </c>
      <c r="AQ405" s="31">
        <v>41259</v>
      </c>
      <c r="AR405" s="31"/>
      <c r="AS405" s="31">
        <v>43243</v>
      </c>
      <c r="AT405" s="31" t="s">
        <v>87</v>
      </c>
      <c r="AU405" s="31">
        <v>41259</v>
      </c>
      <c r="AV405" s="31" t="s">
        <v>88</v>
      </c>
      <c r="AW405"/>
      <c r="AY405">
        <v>14607774</v>
      </c>
      <c r="AZ405" s="83">
        <v>536964272</v>
      </c>
      <c r="BA405" t="s">
        <v>647</v>
      </c>
      <c r="BB405" s="31" t="str">
        <f>BBDD_TERRENO[[#This Row],[Comuna]]&amp;BBDD_TERRENO[[#This Row],[Identificacion Propiedad]]</f>
        <v>Puerto MonttLote A</v>
      </c>
    </row>
    <row r="406" spans="1:54" x14ac:dyDescent="0.3">
      <c r="A406" s="31" t="s">
        <v>70</v>
      </c>
      <c r="B406" s="31" t="s">
        <v>169</v>
      </c>
      <c r="C406" s="31" t="s">
        <v>1126</v>
      </c>
      <c r="D406" s="31" t="s">
        <v>933</v>
      </c>
      <c r="E406" s="42">
        <v>80608</v>
      </c>
      <c r="F406" s="31" t="s">
        <v>538</v>
      </c>
      <c r="G406" s="32"/>
      <c r="H406" s="31"/>
      <c r="I406" s="83"/>
      <c r="J406" s="83"/>
      <c r="K406" s="83">
        <v>46221791</v>
      </c>
      <c r="L406" s="83">
        <v>661074210</v>
      </c>
      <c r="M406" s="83">
        <v>735870345</v>
      </c>
      <c r="N406" s="83">
        <v>48089106</v>
      </c>
      <c r="O406" s="83">
        <v>687781239</v>
      </c>
      <c r="P406" s="31" t="s">
        <v>934</v>
      </c>
      <c r="Q406" s="31" t="s">
        <v>1127</v>
      </c>
      <c r="R406" s="31" t="s">
        <v>934</v>
      </c>
      <c r="S406" s="31" t="s">
        <v>641</v>
      </c>
      <c r="T406" s="31" t="s">
        <v>642</v>
      </c>
      <c r="U406" s="35" t="s">
        <v>680</v>
      </c>
      <c r="V406" s="134"/>
      <c r="W406" s="85">
        <v>28574344</v>
      </c>
      <c r="X406" s="83">
        <v>26707029</v>
      </c>
      <c r="Y406" s="83">
        <v>1867315</v>
      </c>
      <c r="Z406" s="83">
        <v>80608</v>
      </c>
      <c r="AA406" s="31" t="s">
        <v>936</v>
      </c>
      <c r="AB406" s="132">
        <v>37487</v>
      </c>
      <c r="AC406" s="83" t="s">
        <v>1128</v>
      </c>
      <c r="AD406" s="31"/>
      <c r="AE406" s="31" t="s">
        <v>177</v>
      </c>
      <c r="AF406" s="31"/>
      <c r="AG406" s="31"/>
      <c r="AH406" s="31"/>
      <c r="AI406" s="31"/>
      <c r="AJ406" s="31"/>
      <c r="AK406" s="31"/>
      <c r="AL406" s="31"/>
      <c r="AM406" s="31"/>
      <c r="AN406" s="31">
        <v>0.2</v>
      </c>
      <c r="AO406" s="31">
        <v>16121.6</v>
      </c>
      <c r="AP406" s="31">
        <v>0.05</v>
      </c>
      <c r="AQ406" s="31">
        <v>4009.5912764309232</v>
      </c>
      <c r="AR406" s="31"/>
      <c r="AS406" s="31">
        <v>45622</v>
      </c>
      <c r="AT406" s="31" t="s">
        <v>645</v>
      </c>
      <c r="AU406" s="31">
        <v>8968.9034596605161</v>
      </c>
      <c r="AV406" s="31" t="s">
        <v>645</v>
      </c>
      <c r="AW406"/>
      <c r="AY406">
        <v>707296001</v>
      </c>
      <c r="AZ406" s="83">
        <v>337834113</v>
      </c>
      <c r="BA406" t="s">
        <v>647</v>
      </c>
      <c r="BB406" s="31" t="str">
        <f>BBDD_TERRENO[[#This Row],[Comuna]]&amp;BBDD_TERRENO[[#This Row],[Identificacion Propiedad]]</f>
        <v>HualquiLote 15 Llepinhue</v>
      </c>
    </row>
    <row r="407" spans="1:54" x14ac:dyDescent="0.3">
      <c r="A407" s="31" t="s">
        <v>70</v>
      </c>
      <c r="B407" s="31" t="s">
        <v>169</v>
      </c>
      <c r="C407" s="31" t="s">
        <v>1129</v>
      </c>
      <c r="D407" s="31" t="s">
        <v>933</v>
      </c>
      <c r="E407" s="42">
        <v>91401</v>
      </c>
      <c r="F407" s="31" t="s">
        <v>538</v>
      </c>
      <c r="G407" s="32"/>
      <c r="H407" s="31"/>
      <c r="I407" s="83"/>
      <c r="J407" s="83"/>
      <c r="K407" s="83">
        <v>46221791</v>
      </c>
      <c r="L407" s="83">
        <v>661074210</v>
      </c>
      <c r="M407" s="83">
        <v>735870345</v>
      </c>
      <c r="N407" s="83">
        <v>48089106</v>
      </c>
      <c r="O407" s="83">
        <v>687781239</v>
      </c>
      <c r="P407" s="31" t="s">
        <v>934</v>
      </c>
      <c r="Q407" s="31" t="s">
        <v>1130</v>
      </c>
      <c r="R407" s="31" t="s">
        <v>934</v>
      </c>
      <c r="S407" s="31" t="s">
        <v>641</v>
      </c>
      <c r="T407" s="31" t="s">
        <v>642</v>
      </c>
      <c r="U407" s="35" t="s">
        <v>680</v>
      </c>
      <c r="V407" s="134"/>
      <c r="W407" s="85">
        <v>28574344</v>
      </c>
      <c r="X407" s="83">
        <v>26707029</v>
      </c>
      <c r="Y407" s="83">
        <v>1867315</v>
      </c>
      <c r="Z407" s="83">
        <v>91401</v>
      </c>
      <c r="AA407" s="31" t="s">
        <v>936</v>
      </c>
      <c r="AB407" s="132">
        <v>37487</v>
      </c>
      <c r="AC407" s="83" t="s">
        <v>1131</v>
      </c>
      <c r="AD407" s="31"/>
      <c r="AE407" s="31" t="s">
        <v>177</v>
      </c>
      <c r="AF407" s="31"/>
      <c r="AG407" s="31"/>
      <c r="AH407" s="31"/>
      <c r="AI407" s="31"/>
      <c r="AJ407" s="31"/>
      <c r="AK407" s="31"/>
      <c r="AL407" s="31"/>
      <c r="AM407" s="31"/>
      <c r="AN407" s="31">
        <v>0.2</v>
      </c>
      <c r="AO407" s="31">
        <v>18280.2</v>
      </c>
      <c r="AP407" s="31">
        <v>5.8000000000000003E-2</v>
      </c>
      <c r="AQ407" s="31">
        <v>5264.3164252048773</v>
      </c>
      <c r="AR407" s="31"/>
      <c r="AS407" s="31">
        <v>45622</v>
      </c>
      <c r="AT407" s="31" t="s">
        <v>645</v>
      </c>
      <c r="AU407" s="31">
        <v>10169.793880463862</v>
      </c>
      <c r="AV407" s="31" t="s">
        <v>645</v>
      </c>
      <c r="AW407"/>
      <c r="AY407">
        <v>707296001</v>
      </c>
      <c r="AZ407" s="83">
        <v>448103672</v>
      </c>
      <c r="BA407" t="s">
        <v>647</v>
      </c>
      <c r="BB407" s="31" t="str">
        <f>BBDD_TERRENO[[#This Row],[Comuna]]&amp;BBDD_TERRENO[[#This Row],[Identificacion Propiedad]]</f>
        <v>HualquiLote 13 Llepinhue</v>
      </c>
    </row>
    <row r="408" spans="1:54" x14ac:dyDescent="0.3">
      <c r="A408" s="31" t="s">
        <v>70</v>
      </c>
      <c r="B408" s="31" t="s">
        <v>169</v>
      </c>
      <c r="C408" s="31" t="s">
        <v>1132</v>
      </c>
      <c r="D408" s="31" t="s">
        <v>902</v>
      </c>
      <c r="E408" s="42">
        <v>102204.72</v>
      </c>
      <c r="F408" s="31" t="s">
        <v>538</v>
      </c>
      <c r="G408" s="32"/>
      <c r="H408" s="31"/>
      <c r="I408" s="83"/>
      <c r="J408" s="83"/>
      <c r="K408" s="83">
        <v>46221791</v>
      </c>
      <c r="L408" s="83">
        <v>13708672</v>
      </c>
      <c r="M408" s="83">
        <v>61189003</v>
      </c>
      <c r="N408" s="83">
        <v>47192449</v>
      </c>
      <c r="O408" s="83">
        <v>13996554</v>
      </c>
      <c r="P408" s="31" t="s">
        <v>903</v>
      </c>
      <c r="Q408" s="31" t="s">
        <v>1133</v>
      </c>
      <c r="R408" s="31" t="s">
        <v>903</v>
      </c>
      <c r="S408" s="31" t="s">
        <v>641</v>
      </c>
      <c r="T408" s="31" t="s">
        <v>642</v>
      </c>
      <c r="U408" s="35" t="s">
        <v>782</v>
      </c>
      <c r="V408" s="134"/>
      <c r="W408" s="85">
        <v>1258540</v>
      </c>
      <c r="X408" s="83">
        <v>287882</v>
      </c>
      <c r="Y408" s="83">
        <v>970658</v>
      </c>
      <c r="Z408" s="83"/>
      <c r="AA408" s="31"/>
      <c r="AB408" s="132"/>
      <c r="AC408" s="83" t="s">
        <v>1134</v>
      </c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>
        <v>0.3</v>
      </c>
      <c r="AO408" s="31">
        <v>18712.5</v>
      </c>
      <c r="AP408" s="31">
        <v>0.17016949659318639</v>
      </c>
      <c r="AQ408" s="31">
        <v>10614.32235</v>
      </c>
      <c r="AR408" s="31"/>
      <c r="AS408" s="31">
        <v>45622</v>
      </c>
      <c r="AT408" s="31" t="s">
        <v>645</v>
      </c>
      <c r="AU408" s="31">
        <v>12503.662961250177</v>
      </c>
      <c r="AV408" s="31" t="s">
        <v>645</v>
      </c>
      <c r="AW408"/>
      <c r="AX408" s="31" t="s">
        <v>109</v>
      </c>
      <c r="AY408">
        <v>59930463</v>
      </c>
      <c r="AZ408" s="83">
        <v>418876169</v>
      </c>
      <c r="BA408" t="s">
        <v>647</v>
      </c>
      <c r="BB408" s="31" t="str">
        <f>BBDD_TERRENO[[#This Row],[Comuna]]&amp;BBDD_TERRENO[[#This Row],[Identificacion Propiedad]]</f>
        <v>HualquiLote Z3</v>
      </c>
    </row>
    <row r="409" spans="1:54" x14ac:dyDescent="0.3">
      <c r="A409" s="31" t="s">
        <v>70</v>
      </c>
      <c r="B409" s="31" t="s">
        <v>169</v>
      </c>
      <c r="C409" s="31" t="s">
        <v>1135</v>
      </c>
      <c r="D409" s="31" t="s">
        <v>933</v>
      </c>
      <c r="E409" s="42">
        <v>120377</v>
      </c>
      <c r="F409" s="31" t="s">
        <v>538</v>
      </c>
      <c r="G409" s="32"/>
      <c r="H409" s="31"/>
      <c r="I409" s="83"/>
      <c r="J409" s="83"/>
      <c r="K409" s="83">
        <v>46221791</v>
      </c>
      <c r="L409" s="83">
        <v>661074210</v>
      </c>
      <c r="M409" s="83">
        <v>735870345</v>
      </c>
      <c r="N409" s="83">
        <v>48089106</v>
      </c>
      <c r="O409" s="83">
        <v>687781239</v>
      </c>
      <c r="P409" s="31" t="s">
        <v>934</v>
      </c>
      <c r="Q409" s="31" t="s">
        <v>1136</v>
      </c>
      <c r="R409" s="31" t="s">
        <v>934</v>
      </c>
      <c r="S409" s="31" t="s">
        <v>641</v>
      </c>
      <c r="T409" s="31" t="s">
        <v>642</v>
      </c>
      <c r="U409" s="35" t="s">
        <v>680</v>
      </c>
      <c r="V409" s="134"/>
      <c r="W409" s="85">
        <v>28574344</v>
      </c>
      <c r="X409" s="83">
        <v>26707029</v>
      </c>
      <c r="Y409" s="83">
        <v>1867315</v>
      </c>
      <c r="Z409" s="83">
        <v>120377</v>
      </c>
      <c r="AA409" s="31" t="s">
        <v>936</v>
      </c>
      <c r="AB409" s="132">
        <v>37487</v>
      </c>
      <c r="AC409" s="83" t="s">
        <v>1137</v>
      </c>
      <c r="AD409" s="31"/>
      <c r="AE409" s="31" t="s">
        <v>177</v>
      </c>
      <c r="AF409" s="31"/>
      <c r="AG409" s="31"/>
      <c r="AH409" s="31"/>
      <c r="AI409" s="31"/>
      <c r="AJ409" s="31"/>
      <c r="AK409" s="31"/>
      <c r="AL409" s="31"/>
      <c r="AM409" s="31"/>
      <c r="AN409" s="31">
        <v>0.2</v>
      </c>
      <c r="AO409" s="31">
        <v>24075.4</v>
      </c>
      <c r="AP409" s="31">
        <v>4.4999999999999998E-2</v>
      </c>
      <c r="AQ409" s="31">
        <v>5357.4829156370324</v>
      </c>
      <c r="AR409" s="31"/>
      <c r="AS409" s="31">
        <v>45622</v>
      </c>
      <c r="AT409" s="31" t="s">
        <v>645</v>
      </c>
      <c r="AU409" s="31">
        <v>13393.828053835276</v>
      </c>
      <c r="AV409" s="31" t="s">
        <v>645</v>
      </c>
      <c r="AW409"/>
      <c r="AY409">
        <v>707296001</v>
      </c>
      <c r="AZ409" s="83">
        <v>590161764</v>
      </c>
      <c r="BA409" t="s">
        <v>647</v>
      </c>
      <c r="BB409" s="31" t="str">
        <f>BBDD_TERRENO[[#This Row],[Comuna]]&amp;BBDD_TERRENO[[#This Row],[Identificacion Propiedad]]</f>
        <v>HualquiLote 06 Llepinhue</v>
      </c>
    </row>
    <row r="410" spans="1:54" x14ac:dyDescent="0.3">
      <c r="A410" s="31" t="s">
        <v>906</v>
      </c>
      <c r="B410" s="31" t="s">
        <v>383</v>
      </c>
      <c r="C410" s="31" t="s">
        <v>1138</v>
      </c>
      <c r="D410" s="31" t="s">
        <v>1139</v>
      </c>
      <c r="E410" s="42">
        <v>1327010.31</v>
      </c>
      <c r="F410" s="31" t="s">
        <v>538</v>
      </c>
      <c r="G410" s="32"/>
      <c r="H410" s="31"/>
      <c r="I410" s="83"/>
      <c r="J410" s="83"/>
      <c r="K410" s="83">
        <v>46221791</v>
      </c>
      <c r="L410" s="83">
        <v>239277939</v>
      </c>
      <c r="M410" s="83">
        <v>297033752</v>
      </c>
      <c r="N410" s="83">
        <v>48089106</v>
      </c>
      <c r="O410" s="83">
        <v>248944646</v>
      </c>
      <c r="P410" s="31" t="s">
        <v>1140</v>
      </c>
      <c r="Q410" s="31" t="s">
        <v>1140</v>
      </c>
      <c r="R410" s="31" t="s">
        <v>1140</v>
      </c>
      <c r="S410" s="31" t="s">
        <v>641</v>
      </c>
      <c r="T410" s="31" t="s">
        <v>642</v>
      </c>
      <c r="U410" s="35" t="s">
        <v>680</v>
      </c>
      <c r="V410" s="134"/>
      <c r="W410" s="85">
        <v>11534022</v>
      </c>
      <c r="X410" s="83">
        <v>9666707</v>
      </c>
      <c r="Y410" s="83">
        <v>1867315</v>
      </c>
      <c r="Z410" s="83"/>
      <c r="AA410" s="31"/>
      <c r="AB410" s="132"/>
      <c r="AC410" s="83" t="s">
        <v>1141</v>
      </c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>
        <v>0.46</v>
      </c>
      <c r="AO410" s="31">
        <v>411525</v>
      </c>
      <c r="AP410" s="31">
        <v>0.31011439541867614</v>
      </c>
      <c r="AQ410" s="31">
        <v>411525</v>
      </c>
      <c r="AR410" s="31"/>
      <c r="AS410" s="31">
        <v>44221</v>
      </c>
      <c r="AT410" s="31" t="s">
        <v>805</v>
      </c>
      <c r="AU410" s="31">
        <v>411525</v>
      </c>
      <c r="AV410" s="31" t="s">
        <v>805</v>
      </c>
      <c r="AW410"/>
      <c r="AX410" s="31" t="s">
        <v>155</v>
      </c>
      <c r="AY410">
        <v>285499730</v>
      </c>
      <c r="AZ410" s="83">
        <v>1342614125</v>
      </c>
      <c r="BA410" t="s">
        <v>647</v>
      </c>
      <c r="BB410" s="31" t="str">
        <f>BBDD_TERRENO[[#This Row],[Comuna]]&amp;BBDD_TERRENO[[#This Row],[Identificacion Propiedad]]</f>
        <v>ConcepcionC-A</v>
      </c>
    </row>
    <row r="411" spans="1:54" x14ac:dyDescent="0.3">
      <c r="A411" s="31" t="s">
        <v>869</v>
      </c>
      <c r="B411" s="31" t="s">
        <v>169</v>
      </c>
      <c r="C411" s="31" t="s">
        <v>1142</v>
      </c>
      <c r="D411" s="31" t="s">
        <v>1143</v>
      </c>
      <c r="E411" s="42">
        <v>306148.07</v>
      </c>
      <c r="F411" s="31" t="s">
        <v>538</v>
      </c>
      <c r="G411" s="32"/>
      <c r="H411" s="31"/>
      <c r="I411" s="83"/>
      <c r="J411" s="83"/>
      <c r="K411" s="83">
        <v>46221791</v>
      </c>
      <c r="L411" s="83">
        <v>59846605</v>
      </c>
      <c r="M411" s="83">
        <v>108295832</v>
      </c>
      <c r="N411" s="83">
        <v>47192449</v>
      </c>
      <c r="O411" s="83">
        <v>61103383</v>
      </c>
      <c r="P411" s="31" t="s">
        <v>1144</v>
      </c>
      <c r="Q411" s="31" t="s">
        <v>1144</v>
      </c>
      <c r="R411" s="31" t="s">
        <v>1144</v>
      </c>
      <c r="S411" s="31" t="s">
        <v>641</v>
      </c>
      <c r="T411" s="31" t="s">
        <v>642</v>
      </c>
      <c r="U411" s="35" t="s">
        <v>782</v>
      </c>
      <c r="V411" s="134"/>
      <c r="W411" s="85">
        <v>2227436</v>
      </c>
      <c r="X411" s="83">
        <v>1256778</v>
      </c>
      <c r="Y411" s="83">
        <v>970658</v>
      </c>
      <c r="Z411" s="83"/>
      <c r="AA411" s="31"/>
      <c r="AB411" s="132"/>
      <c r="AC411" s="83" t="s">
        <v>1145</v>
      </c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>
        <v>0.7</v>
      </c>
      <c r="AO411" s="31">
        <v>214303.649</v>
      </c>
      <c r="AP411" s="31">
        <v>0.82</v>
      </c>
      <c r="AQ411" s="31">
        <v>251507.34</v>
      </c>
      <c r="AR411" s="31"/>
      <c r="AS411" s="31">
        <v>45532</v>
      </c>
      <c r="AT411" s="31" t="s">
        <v>108</v>
      </c>
      <c r="AU411" s="31">
        <v>251507.34</v>
      </c>
      <c r="AV411" s="31" t="s">
        <v>108</v>
      </c>
      <c r="AW411"/>
      <c r="AX411" s="31" t="s">
        <v>155</v>
      </c>
      <c r="AY411">
        <v>106068396</v>
      </c>
      <c r="AZ411" s="83">
        <v>1023533126</v>
      </c>
      <c r="BA411" t="s">
        <v>647</v>
      </c>
      <c r="BB411" s="31" t="str">
        <f>BBDD_TERRENO[[#This Row],[Comuna]]&amp;BBDD_TERRENO[[#This Row],[Identificacion Propiedad]]</f>
        <v>HualquiBelen Lote A1</v>
      </c>
    </row>
    <row r="412" spans="1:54" x14ac:dyDescent="0.3">
      <c r="A412" s="31" t="s">
        <v>70</v>
      </c>
      <c r="B412" s="31" t="s">
        <v>80</v>
      </c>
      <c r="C412" s="31" t="s">
        <v>1146</v>
      </c>
      <c r="E412" s="42">
        <v>12425.09</v>
      </c>
      <c r="F412" s="31" t="s">
        <v>538</v>
      </c>
      <c r="G412" s="32"/>
      <c r="H412" s="31"/>
      <c r="I412" s="83"/>
      <c r="J412" s="83"/>
      <c r="K412" s="83"/>
      <c r="L412" s="83"/>
      <c r="M412" s="83"/>
      <c r="N412" s="83"/>
      <c r="O412" s="83"/>
      <c r="P412" s="31" t="s">
        <v>514</v>
      </c>
      <c r="Q412" s="31" t="s">
        <v>1147</v>
      </c>
      <c r="R412" s="31"/>
      <c r="S412" s="31"/>
      <c r="T412" s="31"/>
      <c r="U412" s="35"/>
      <c r="V412" s="134"/>
      <c r="W412" s="85">
        <v>0</v>
      </c>
      <c r="X412" s="83">
        <v>0</v>
      </c>
      <c r="Y412" s="83">
        <v>0</v>
      </c>
      <c r="Z412" s="83">
        <v>12425.09</v>
      </c>
      <c r="AA412" s="31" t="s">
        <v>1148</v>
      </c>
      <c r="AB412" s="132">
        <v>43578</v>
      </c>
      <c r="AC412" s="83" t="s">
        <v>1149</v>
      </c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41">
        <v>1.59995880111237</v>
      </c>
      <c r="AO412" s="41">
        <v>19879.632100113296</v>
      </c>
      <c r="AP412" s="41">
        <v>1.59995880111237</v>
      </c>
      <c r="AQ412" s="41">
        <v>19879.632100113296</v>
      </c>
      <c r="AR412" s="41">
        <v>13915.753769044886</v>
      </c>
      <c r="AS412" s="32">
        <v>44235</v>
      </c>
      <c r="AT412" s="31" t="s">
        <v>108</v>
      </c>
      <c r="AU412" s="41">
        <v>19879.632100113296</v>
      </c>
      <c r="AV412" s="33" t="s">
        <v>108</v>
      </c>
      <c r="AX412" s="31" t="s">
        <v>109</v>
      </c>
      <c r="AZ412" s="161"/>
      <c r="BA412" t="s">
        <v>647</v>
      </c>
      <c r="BB412" s="31" t="str">
        <f>BBDD_TERRENO[[#This Row],[Comuna]]&amp;BBDD_TERRENO[[#This Row],[Identificacion Propiedad]]</f>
        <v>San Pedro de la PazLote 2B-3-X1</v>
      </c>
    </row>
    <row r="413" spans="1:54" x14ac:dyDescent="0.3">
      <c r="A413" s="31" t="s">
        <v>70</v>
      </c>
      <c r="B413" s="31" t="s">
        <v>80</v>
      </c>
      <c r="C413" s="31" t="s">
        <v>1150</v>
      </c>
      <c r="E413" s="42">
        <v>12507.56</v>
      </c>
      <c r="F413" s="31" t="s">
        <v>538</v>
      </c>
      <c r="G413" s="32"/>
      <c r="H413" s="31"/>
      <c r="I413" s="83"/>
      <c r="J413" s="83"/>
      <c r="K413" s="83"/>
      <c r="L413" s="83"/>
      <c r="M413" s="83"/>
      <c r="N413" s="83"/>
      <c r="O413" s="83"/>
      <c r="P413" s="31" t="s">
        <v>530</v>
      </c>
      <c r="Q413" s="31" t="s">
        <v>535</v>
      </c>
      <c r="R413" s="31"/>
      <c r="S413" s="31"/>
      <c r="T413" s="31"/>
      <c r="U413" s="35"/>
      <c r="V413" s="134"/>
      <c r="W413" s="85">
        <v>0</v>
      </c>
      <c r="X413" s="83">
        <v>0</v>
      </c>
      <c r="Y413" s="83">
        <v>0</v>
      </c>
      <c r="Z413" s="83">
        <v>12507.56</v>
      </c>
      <c r="AA413" s="31" t="s">
        <v>1148</v>
      </c>
      <c r="AB413" s="132">
        <v>43578</v>
      </c>
      <c r="AC413" s="83" t="s">
        <v>1151</v>
      </c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41">
        <v>1.59995880111237</v>
      </c>
      <c r="AO413" s="41">
        <v>20011.580702441035</v>
      </c>
      <c r="AP413" s="41">
        <v>1.59995880111237</v>
      </c>
      <c r="AQ413" s="41">
        <v>20011.580702441035</v>
      </c>
      <c r="AR413" s="41">
        <v>14008.1</v>
      </c>
      <c r="AS413" s="32">
        <v>44235</v>
      </c>
      <c r="AT413" s="31" t="s">
        <v>108</v>
      </c>
      <c r="AU413" s="41">
        <v>20011.580702441035</v>
      </c>
      <c r="AV413" s="33" t="s">
        <v>108</v>
      </c>
      <c r="AX413" s="31" t="s">
        <v>109</v>
      </c>
      <c r="AZ413" s="161"/>
      <c r="BA413" t="s">
        <v>647</v>
      </c>
      <c r="BB413" s="31" t="str">
        <f>BBDD_TERRENO[[#This Row],[Comuna]]&amp;BBDD_TERRENO[[#This Row],[Identificacion Propiedad]]</f>
        <v>San Pedro de la PazLote 2B-3-X3</v>
      </c>
    </row>
    <row r="414" spans="1:54" x14ac:dyDescent="0.3">
      <c r="A414" s="31" t="s">
        <v>70</v>
      </c>
      <c r="B414" s="31" t="s">
        <v>80</v>
      </c>
      <c r="C414" s="31" t="s">
        <v>1152</v>
      </c>
      <c r="E414" s="42">
        <v>12588.68</v>
      </c>
      <c r="F414" s="31" t="s">
        <v>538</v>
      </c>
      <c r="G414" s="32"/>
      <c r="H414" s="31"/>
      <c r="I414" s="83"/>
      <c r="J414" s="83"/>
      <c r="K414" s="83"/>
      <c r="L414" s="83"/>
      <c r="M414" s="83"/>
      <c r="N414" s="83"/>
      <c r="O414" s="83"/>
      <c r="P414" s="31" t="s">
        <v>514</v>
      </c>
      <c r="Q414" s="31" t="s">
        <v>529</v>
      </c>
      <c r="R414" s="31"/>
      <c r="S414" s="31"/>
      <c r="T414" s="31"/>
      <c r="U414" s="35"/>
      <c r="V414" s="134"/>
      <c r="W414" s="85">
        <v>0</v>
      </c>
      <c r="X414" s="83">
        <v>0</v>
      </c>
      <c r="Y414" s="83">
        <v>0</v>
      </c>
      <c r="Z414" s="83">
        <v>12588.68</v>
      </c>
      <c r="AA414" s="31" t="s">
        <v>1148</v>
      </c>
      <c r="AB414" s="132">
        <v>43578</v>
      </c>
      <c r="AC414" s="83" t="s">
        <v>1153</v>
      </c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41">
        <v>1.59995880111237</v>
      </c>
      <c r="AO414" s="41">
        <v>20141.369360387271</v>
      </c>
      <c r="AP414" s="41">
        <v>1.59995880111237</v>
      </c>
      <c r="AQ414" s="41">
        <v>20141.369360387271</v>
      </c>
      <c r="AR414" s="41">
        <v>14098.97</v>
      </c>
      <c r="AS414" s="32">
        <v>44235</v>
      </c>
      <c r="AT414" s="31" t="s">
        <v>108</v>
      </c>
      <c r="AU414" s="41">
        <v>20141.369360387271</v>
      </c>
      <c r="AV414" s="33" t="s">
        <v>108</v>
      </c>
      <c r="AX414" s="31" t="s">
        <v>109</v>
      </c>
      <c r="AZ414" s="161"/>
      <c r="BA414" t="s">
        <v>647</v>
      </c>
      <c r="BB414" s="31" t="str">
        <f>BBDD_TERRENO[[#This Row],[Comuna]]&amp;BBDD_TERRENO[[#This Row],[Identificacion Propiedad]]</f>
        <v>San Pedro de la PazLote 2B-3-X2</v>
      </c>
    </row>
    <row r="415" spans="1:54" x14ac:dyDescent="0.3">
      <c r="A415" s="31" t="s">
        <v>70</v>
      </c>
      <c r="B415" s="31" t="s">
        <v>80</v>
      </c>
      <c r="C415" s="31" t="s">
        <v>1154</v>
      </c>
      <c r="E415" s="42">
        <v>23792.79</v>
      </c>
      <c r="F415" s="31" t="s">
        <v>538</v>
      </c>
      <c r="G415" s="32"/>
      <c r="H415" s="31"/>
      <c r="I415" s="83"/>
      <c r="J415" s="83"/>
      <c r="K415" s="83">
        <v>444284</v>
      </c>
      <c r="L415" s="83">
        <v>0</v>
      </c>
      <c r="M415" s="83">
        <v>453614</v>
      </c>
      <c r="N415" s="83">
        <v>453614</v>
      </c>
      <c r="O415" s="83">
        <v>0</v>
      </c>
      <c r="P415" s="31" t="s">
        <v>514</v>
      </c>
      <c r="Q415" s="31" t="s">
        <v>521</v>
      </c>
      <c r="R415" s="31" t="s">
        <v>514</v>
      </c>
      <c r="S415" s="31"/>
      <c r="T415" s="31"/>
      <c r="U415" s="35"/>
      <c r="V415" s="134"/>
      <c r="W415" s="85">
        <v>9330</v>
      </c>
      <c r="X415" s="83">
        <v>0</v>
      </c>
      <c r="Y415" s="83">
        <v>9330</v>
      </c>
      <c r="Z415" s="83">
        <v>23792.79</v>
      </c>
      <c r="AA415" s="31" t="s">
        <v>1148</v>
      </c>
      <c r="AB415" s="132">
        <v>43578</v>
      </c>
      <c r="AC415" s="83" t="s">
        <v>1155</v>
      </c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41">
        <v>1.0054456068861315</v>
      </c>
      <c r="AO415" s="41">
        <v>23922.366235520349</v>
      </c>
      <c r="AP415" s="41">
        <v>1.4999828337968208</v>
      </c>
      <c r="AQ415" s="41">
        <v>35688.791567961001</v>
      </c>
      <c r="AR415" s="41">
        <v>24982.14</v>
      </c>
      <c r="AS415" s="32">
        <v>44235</v>
      </c>
      <c r="AT415" s="31" t="s">
        <v>108</v>
      </c>
      <c r="AU415" s="41">
        <v>35688.791567961001</v>
      </c>
      <c r="AV415" s="33" t="s">
        <v>108</v>
      </c>
      <c r="AX415" s="31" t="s">
        <v>109</v>
      </c>
      <c r="AY415" s="159">
        <v>444284</v>
      </c>
      <c r="AZ415" s="161"/>
      <c r="BA415" t="s">
        <v>647</v>
      </c>
      <c r="BB415" s="31" t="str">
        <f>BBDD_TERRENO[[#This Row],[Comuna]]&amp;BBDD_TERRENO[[#This Row],[Identificacion Propiedad]]</f>
        <v>San Pedro de la PazLote 2B-3-2-A</v>
      </c>
    </row>
    <row r="416" spans="1:54" x14ac:dyDescent="0.3">
      <c r="A416" s="31" t="s">
        <v>70</v>
      </c>
      <c r="B416" s="31" t="s">
        <v>80</v>
      </c>
      <c r="C416" s="31" t="s">
        <v>1156</v>
      </c>
      <c r="E416" s="42">
        <v>27916.63</v>
      </c>
      <c r="F416" s="31" t="s">
        <v>538</v>
      </c>
      <c r="G416" s="32"/>
      <c r="H416" s="31"/>
      <c r="I416" s="83"/>
      <c r="J416" s="83"/>
      <c r="K416" s="83"/>
      <c r="L416" s="83"/>
      <c r="M416" s="83"/>
      <c r="N416" s="83"/>
      <c r="O416" s="83"/>
      <c r="P416" s="31" t="s">
        <v>514</v>
      </c>
      <c r="Q416" s="31" t="s">
        <v>515</v>
      </c>
      <c r="R416" s="31"/>
      <c r="S416" s="31"/>
      <c r="T416" s="31"/>
      <c r="U416" s="35"/>
      <c r="V416" s="134"/>
      <c r="W416" s="85">
        <v>0</v>
      </c>
      <c r="X416" s="83">
        <v>0</v>
      </c>
      <c r="Y416" s="83">
        <v>0</v>
      </c>
      <c r="Z416" s="83">
        <v>27916.63</v>
      </c>
      <c r="AA416" s="31" t="s">
        <v>1148</v>
      </c>
      <c r="AB416" s="132">
        <v>43578</v>
      </c>
      <c r="AC416" s="83" t="s">
        <v>1157</v>
      </c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41">
        <v>1.59995880111237</v>
      </c>
      <c r="AO416" s="41">
        <v>44665.457865897624</v>
      </c>
      <c r="AP416" s="41">
        <v>1.59995880111237</v>
      </c>
      <c r="AQ416" s="41">
        <v>44665.457865897624</v>
      </c>
      <c r="AR416" s="41">
        <v>31266.5</v>
      </c>
      <c r="AS416" s="32">
        <v>44235</v>
      </c>
      <c r="AT416" s="31" t="s">
        <v>108</v>
      </c>
      <c r="AU416" s="41">
        <v>44665.457865897624</v>
      </c>
      <c r="AV416" s="33" t="s">
        <v>108</v>
      </c>
      <c r="AX416" s="31" t="s">
        <v>109</v>
      </c>
      <c r="AZ416" s="161"/>
      <c r="BA416" t="s">
        <v>647</v>
      </c>
      <c r="BB416" s="31" t="str">
        <f>BBDD_TERRENO[[#This Row],[Comuna]]&amp;BBDD_TERRENO[[#This Row],[Identificacion Propiedad]]</f>
        <v>San Pedro de la PazLote 2B-3-X4</v>
      </c>
    </row>
    <row r="417" spans="1:54" x14ac:dyDescent="0.3">
      <c r="A417" s="31" t="s">
        <v>70</v>
      </c>
      <c r="B417" s="31" t="s">
        <v>80</v>
      </c>
      <c r="C417" s="31" t="s">
        <v>1158</v>
      </c>
      <c r="E417" s="42">
        <v>61175.24</v>
      </c>
      <c r="F417" s="31" t="s">
        <v>538</v>
      </c>
      <c r="G417" s="32"/>
      <c r="H417" s="31"/>
      <c r="I417" s="83"/>
      <c r="J417" s="83"/>
      <c r="K417" s="83"/>
      <c r="L417" s="83"/>
      <c r="M417" s="83"/>
      <c r="N417" s="83"/>
      <c r="O417" s="83"/>
      <c r="P417" s="31" t="s">
        <v>514</v>
      </c>
      <c r="Q417" s="31" t="s">
        <v>524</v>
      </c>
      <c r="R417" s="31"/>
      <c r="S417" s="31"/>
      <c r="T417" s="31"/>
      <c r="U417" s="35"/>
      <c r="V417" s="134"/>
      <c r="W417" s="85">
        <v>0</v>
      </c>
      <c r="X417" s="83">
        <v>0</v>
      </c>
      <c r="Y417" s="83">
        <v>0</v>
      </c>
      <c r="Z417" s="83">
        <v>61175.24</v>
      </c>
      <c r="AA417" s="31" t="s">
        <v>1148</v>
      </c>
      <c r="AB417" s="132">
        <v>43578</v>
      </c>
      <c r="AC417" s="83" t="s">
        <v>1159</v>
      </c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41">
        <v>1.4999828337968208</v>
      </c>
      <c r="AO417" s="41">
        <v>91761.809853400628</v>
      </c>
      <c r="AP417" s="41">
        <v>1.4999828337968208</v>
      </c>
      <c r="AQ417" s="41">
        <v>91761.809853400628</v>
      </c>
      <c r="AR417" s="41">
        <v>59645.17</v>
      </c>
      <c r="AS417" s="32">
        <v>44235</v>
      </c>
      <c r="AT417" s="31" t="s">
        <v>108</v>
      </c>
      <c r="AU417" s="41">
        <v>91761.809853400628</v>
      </c>
      <c r="AV417" s="33" t="s">
        <v>108</v>
      </c>
      <c r="AX417" s="31" t="s">
        <v>109</v>
      </c>
      <c r="AZ417" s="161"/>
      <c r="BA417" t="s">
        <v>647</v>
      </c>
      <c r="BB417" s="31" t="str">
        <f>BBDD_TERRENO[[#This Row],[Comuna]]&amp;BBDD_TERRENO[[#This Row],[Identificacion Propiedad]]</f>
        <v>San Pedro de la PazLote 2B-3-2-B</v>
      </c>
    </row>
    <row r="418" spans="1:54" x14ac:dyDescent="0.3">
      <c r="A418" s="31" t="s">
        <v>1160</v>
      </c>
      <c r="B418" s="31" t="s">
        <v>383</v>
      </c>
      <c r="C418" s="31" t="s">
        <v>1161</v>
      </c>
      <c r="E418" s="42">
        <v>64474.400000000001</v>
      </c>
      <c r="F418" s="31" t="s">
        <v>1162</v>
      </c>
      <c r="G418" s="32"/>
      <c r="H418" s="31"/>
      <c r="I418" s="83"/>
      <c r="J418" s="83"/>
      <c r="K418" s="83"/>
      <c r="L418" s="83">
        <v>0</v>
      </c>
      <c r="M418" s="83">
        <v>14723367</v>
      </c>
      <c r="N418" s="83">
        <v>14723367</v>
      </c>
      <c r="O418" s="83">
        <v>0</v>
      </c>
      <c r="P418" s="31" t="s">
        <v>1140</v>
      </c>
      <c r="Q418" s="31" t="s">
        <v>1163</v>
      </c>
      <c r="R418" s="31"/>
      <c r="S418" s="31" t="s">
        <v>1164</v>
      </c>
      <c r="T418" s="31" t="s">
        <v>77</v>
      </c>
      <c r="U418" s="35" t="s">
        <v>98</v>
      </c>
      <c r="V418" s="134">
        <v>4794.6475192715652</v>
      </c>
      <c r="W418" s="85">
        <v>14723367</v>
      </c>
      <c r="X418" s="83">
        <v>0</v>
      </c>
      <c r="Y418" s="83">
        <v>14723367</v>
      </c>
      <c r="Z418" s="83">
        <v>64474.400000000001</v>
      </c>
      <c r="AA418" s="31" t="s">
        <v>1165</v>
      </c>
      <c r="AB418" s="132">
        <v>44043</v>
      </c>
      <c r="AC418" s="83" t="s">
        <v>1166</v>
      </c>
      <c r="AD418" s="31" t="s">
        <v>1167</v>
      </c>
      <c r="AE418" s="31" t="s">
        <v>1168</v>
      </c>
      <c r="AF418" s="31" t="s">
        <v>1169</v>
      </c>
      <c r="AG418" s="31" t="s">
        <v>1168</v>
      </c>
      <c r="AH418" s="31" t="s">
        <v>1170</v>
      </c>
      <c r="AI418" s="31">
        <v>45611</v>
      </c>
      <c r="AJ418" s="31"/>
      <c r="AK418" s="31"/>
      <c r="AL418" s="31"/>
      <c r="AM418" s="31"/>
      <c r="AN418" s="31">
        <v>0.4198187978982254</v>
      </c>
      <c r="AO418" s="31">
        <v>27067.565103209345</v>
      </c>
      <c r="AP418" s="31">
        <v>0.4198187978982254</v>
      </c>
      <c r="AQ418" s="31">
        <v>27067.565103209345</v>
      </c>
      <c r="AR418" s="31"/>
      <c r="AS418" s="31">
        <v>44221</v>
      </c>
      <c r="AT418" s="31" t="s">
        <v>805</v>
      </c>
      <c r="AU418" s="31">
        <v>27067.565103209345</v>
      </c>
      <c r="AV418" s="31" t="s">
        <v>805</v>
      </c>
      <c r="AW418"/>
      <c r="AX418" s="31" t="s">
        <v>155</v>
      </c>
      <c r="AY418"/>
      <c r="AZ418" s="83"/>
      <c r="BB418" s="31" t="str">
        <f>BBDD_TERRENO[[#This Row],[Comuna]]&amp;BBDD_TERRENO[[#This Row],[Identificacion Propiedad]]</f>
        <v>ConcepcionA-01</v>
      </c>
    </row>
    <row r="419" spans="1:54" x14ac:dyDescent="0.3">
      <c r="A419" s="31" t="s">
        <v>70</v>
      </c>
      <c r="B419" s="31" t="s">
        <v>169</v>
      </c>
      <c r="C419" s="31" t="s">
        <v>1171</v>
      </c>
      <c r="E419" s="42">
        <v>152700</v>
      </c>
      <c r="F419" s="31" t="s">
        <v>1162</v>
      </c>
      <c r="G419" s="32"/>
      <c r="H419" s="31"/>
      <c r="I419" s="83"/>
      <c r="J419" s="83"/>
      <c r="K419" s="83"/>
      <c r="L419" s="83">
        <v>0</v>
      </c>
      <c r="M419" s="83"/>
      <c r="N419" s="83"/>
      <c r="O419" s="83"/>
      <c r="P419" s="31"/>
      <c r="Q419" s="31"/>
      <c r="R419" s="31"/>
      <c r="S419" s="31"/>
      <c r="T419" s="31"/>
      <c r="U419" s="35"/>
      <c r="V419" s="134"/>
      <c r="W419" s="85">
        <v>0</v>
      </c>
      <c r="X419" s="83">
        <v>0</v>
      </c>
      <c r="Y419" s="83">
        <v>0</v>
      </c>
      <c r="Z419" s="83"/>
      <c r="AA419" s="31"/>
      <c r="AB419" s="132"/>
      <c r="AC419" s="83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/>
      <c r="AY419"/>
      <c r="AZ419" s="83"/>
      <c r="BB419" s="31" t="str">
        <f>BBDD_TERRENO[[#This Row],[Comuna]]&amp;BBDD_TERRENO[[#This Row],[Identificacion Propiedad]]</f>
        <v>HualquiPlacilla Lote A</v>
      </c>
    </row>
    <row r="420" spans="1:54" x14ac:dyDescent="0.3">
      <c r="A420" s="31" t="s">
        <v>70</v>
      </c>
      <c r="B420" s="31" t="s">
        <v>71</v>
      </c>
      <c r="C420" s="31" t="s">
        <v>1172</v>
      </c>
      <c r="E420" s="42">
        <v>10000</v>
      </c>
      <c r="F420" s="31" t="s">
        <v>1162</v>
      </c>
      <c r="G420" s="32"/>
      <c r="H420" s="31"/>
      <c r="I420" s="83"/>
      <c r="J420" s="83"/>
      <c r="K420" s="83"/>
      <c r="L420" s="83"/>
      <c r="M420" s="83"/>
      <c r="N420" s="83"/>
      <c r="O420" s="83"/>
      <c r="P420" s="31"/>
      <c r="Q420" s="31"/>
      <c r="R420" s="31"/>
      <c r="S420" s="31"/>
      <c r="T420" s="31"/>
      <c r="U420" s="35"/>
      <c r="V420" s="134"/>
      <c r="W420" s="85">
        <v>0</v>
      </c>
      <c r="X420" s="83">
        <v>0</v>
      </c>
      <c r="Y420" s="83">
        <v>0</v>
      </c>
      <c r="Z420" s="83"/>
      <c r="AA420" s="31"/>
      <c r="AB420" s="132"/>
      <c r="AC420" s="83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/>
      <c r="AY420"/>
      <c r="AZ420" s="83"/>
      <c r="BB420" s="31" t="str">
        <f>BBDD_TERRENO[[#This Row],[Comuna]]&amp;BBDD_TERRENO[[#This Row],[Identificacion Propiedad]]</f>
        <v>Puerto MonttLote 19 (Cardenas - Alberto Cardenas)</v>
      </c>
    </row>
    <row r="421" spans="1:54" x14ac:dyDescent="0.3">
      <c r="A421" s="31" t="s">
        <v>70</v>
      </c>
      <c r="B421" s="31" t="s">
        <v>71</v>
      </c>
      <c r="C421" s="31" t="s">
        <v>1173</v>
      </c>
      <c r="E421" s="42">
        <v>10000</v>
      </c>
      <c r="F421" s="31" t="s">
        <v>1162</v>
      </c>
      <c r="G421" s="32"/>
      <c r="H421" s="31"/>
      <c r="I421" s="83"/>
      <c r="J421" s="83"/>
      <c r="K421" s="83"/>
      <c r="L421" s="83"/>
      <c r="M421" s="83"/>
      <c r="N421" s="83"/>
      <c r="O421" s="83"/>
      <c r="P421" s="31"/>
      <c r="Q421" s="31"/>
      <c r="R421" s="31"/>
      <c r="S421" s="31"/>
      <c r="T421" s="31"/>
      <c r="U421" s="35"/>
      <c r="V421" s="134"/>
      <c r="W421" s="85">
        <v>0</v>
      </c>
      <c r="X421" s="83">
        <v>0</v>
      </c>
      <c r="Y421" s="83">
        <v>0</v>
      </c>
      <c r="Z421" s="83"/>
      <c r="AA421" s="31"/>
      <c r="AB421" s="132"/>
      <c r="AC421" s="83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/>
      <c r="AY421"/>
      <c r="AZ421" s="83"/>
      <c r="BB421" s="31" t="str">
        <f>BBDD_TERRENO[[#This Row],[Comuna]]&amp;BBDD_TERRENO[[#This Row],[Identificacion Propiedad]]</f>
        <v>Puerto MonttLote 37 (Cardenas - Cristian Cardenas)</v>
      </c>
    </row>
    <row r="422" spans="1:54" x14ac:dyDescent="0.3">
      <c r="A422" s="31" t="s">
        <v>70</v>
      </c>
      <c r="B422" s="31" t="s">
        <v>71</v>
      </c>
      <c r="C422" s="31" t="s">
        <v>1174</v>
      </c>
      <c r="E422" s="42">
        <v>10000</v>
      </c>
      <c r="F422" s="31" t="s">
        <v>1162</v>
      </c>
      <c r="G422" s="32"/>
      <c r="H422" s="31"/>
      <c r="I422" s="83"/>
      <c r="J422" s="83"/>
      <c r="K422" s="83"/>
      <c r="L422" s="83"/>
      <c r="M422" s="83"/>
      <c r="N422" s="83"/>
      <c r="O422" s="83"/>
      <c r="P422" s="31"/>
      <c r="Q422" s="31"/>
      <c r="R422" s="31"/>
      <c r="S422" s="31"/>
      <c r="T422" s="31"/>
      <c r="U422" s="35"/>
      <c r="V422" s="134"/>
      <c r="W422" s="85">
        <v>0</v>
      </c>
      <c r="X422" s="83">
        <v>0</v>
      </c>
      <c r="Y422" s="83">
        <v>0</v>
      </c>
      <c r="Z422" s="83"/>
      <c r="AA422" s="31"/>
      <c r="AB422" s="132"/>
      <c r="AC422" s="83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/>
      <c r="AY422"/>
      <c r="AZ422" s="83"/>
      <c r="BB422" s="31" t="str">
        <f>BBDD_TERRENO[[#This Row],[Comuna]]&amp;BBDD_TERRENO[[#This Row],[Identificacion Propiedad]]</f>
        <v>Puerto MonttLote 38 (Cardenas - Luis Cardenas)</v>
      </c>
    </row>
    <row r="423" spans="1:54" x14ac:dyDescent="0.3">
      <c r="A423" s="31" t="s">
        <v>70</v>
      </c>
      <c r="B423" s="31" t="s">
        <v>71</v>
      </c>
      <c r="C423" s="31" t="s">
        <v>1175</v>
      </c>
      <c r="E423" s="42">
        <v>10000</v>
      </c>
      <c r="F423" s="31" t="s">
        <v>1162</v>
      </c>
      <c r="G423" s="32"/>
      <c r="H423" s="31"/>
      <c r="I423" s="83"/>
      <c r="J423" s="83"/>
      <c r="K423" s="83"/>
      <c r="L423" s="83"/>
      <c r="M423" s="83"/>
      <c r="N423" s="83"/>
      <c r="O423" s="83"/>
      <c r="P423" s="31" t="s">
        <v>1176</v>
      </c>
      <c r="Q423" s="31" t="s">
        <v>1176</v>
      </c>
      <c r="R423" s="31"/>
      <c r="S423" s="31"/>
      <c r="T423" s="31"/>
      <c r="U423" s="35"/>
      <c r="V423" s="134"/>
      <c r="W423" s="85">
        <v>0</v>
      </c>
      <c r="X423" s="83">
        <v>0</v>
      </c>
      <c r="Y423" s="83">
        <v>0</v>
      </c>
      <c r="Z423" s="83"/>
      <c r="AA423" s="31"/>
      <c r="AB423" s="132"/>
      <c r="AC423" s="83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/>
      <c r="AY423"/>
      <c r="AZ423" s="83"/>
      <c r="BB423" s="31" t="str">
        <f>BBDD_TERRENO[[#This Row],[Comuna]]&amp;BBDD_TERRENO[[#This Row],[Identificacion Propiedad]]</f>
        <v>Puerto MonttLote 47 (Cardenas - Estelvina Cardenas)</v>
      </c>
    </row>
    <row r="424" spans="1:54" x14ac:dyDescent="0.3">
      <c r="A424" s="31" t="s">
        <v>70</v>
      </c>
      <c r="B424" s="31" t="s">
        <v>71</v>
      </c>
      <c r="C424" s="31" t="s">
        <v>1177</v>
      </c>
      <c r="E424" s="42">
        <v>5976</v>
      </c>
      <c r="F424" s="31" t="s">
        <v>1162</v>
      </c>
      <c r="G424" s="32"/>
      <c r="H424" s="31"/>
      <c r="I424" s="83"/>
      <c r="J424" s="83"/>
      <c r="K424" s="83"/>
      <c r="L424" s="83"/>
      <c r="M424" s="83"/>
      <c r="N424" s="83"/>
      <c r="O424" s="83"/>
      <c r="P424" s="31"/>
      <c r="Q424" s="31"/>
      <c r="R424" s="31"/>
      <c r="S424" s="31"/>
      <c r="T424" s="31"/>
      <c r="U424" s="35"/>
      <c r="V424" s="134"/>
      <c r="W424" s="85">
        <v>0</v>
      </c>
      <c r="X424" s="83">
        <v>0</v>
      </c>
      <c r="Y424" s="83">
        <v>0</v>
      </c>
      <c r="Z424" s="83"/>
      <c r="AA424" s="31"/>
      <c r="AB424" s="132"/>
      <c r="AC424" s="83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/>
      <c r="AY424"/>
      <c r="AZ424" s="83"/>
      <c r="BB424" s="31" t="str">
        <f>BBDD_TERRENO[[#This Row],[Comuna]]&amp;BBDD_TERRENO[[#This Row],[Identificacion Propiedad]]</f>
        <v>Puerto MonttECOGLITA 5705 LT 12 -A- 1</v>
      </c>
    </row>
    <row r="425" spans="1:54" x14ac:dyDescent="0.3">
      <c r="A425" s="31" t="s">
        <v>89</v>
      </c>
      <c r="B425" s="31" t="s">
        <v>512</v>
      </c>
      <c r="C425" s="31" t="s">
        <v>1178</v>
      </c>
      <c r="E425" s="42">
        <v>1273.99</v>
      </c>
      <c r="F425" s="31" t="s">
        <v>1179</v>
      </c>
      <c r="G425" s="32"/>
      <c r="H425" s="31"/>
      <c r="I425" s="83"/>
      <c r="J425" s="83"/>
      <c r="K425" s="83"/>
      <c r="L425" s="83"/>
      <c r="M425" s="83"/>
      <c r="N425" s="83"/>
      <c r="O425" s="83"/>
      <c r="P425" s="31" t="s">
        <v>141</v>
      </c>
      <c r="Q425" s="31" t="s">
        <v>1180</v>
      </c>
      <c r="R425" s="31"/>
      <c r="S425" s="31"/>
      <c r="T425" s="31"/>
      <c r="U425" s="35"/>
      <c r="V425" s="134"/>
      <c r="W425" s="85">
        <v>0</v>
      </c>
      <c r="X425" s="83">
        <v>0</v>
      </c>
      <c r="Y425" s="83">
        <v>0</v>
      </c>
      <c r="Z425" s="83"/>
      <c r="AA425" s="31"/>
      <c r="AB425" s="132"/>
      <c r="AC425" s="83" t="s">
        <v>1181</v>
      </c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41"/>
      <c r="AO425" s="41"/>
      <c r="AP425" s="41"/>
      <c r="AQ425" s="41"/>
      <c r="AR425" s="41"/>
      <c r="AS425" s="32"/>
      <c r="AT425" s="31"/>
      <c r="AU425" s="41"/>
      <c r="AV425" s="33"/>
      <c r="AZ425" s="161"/>
      <c r="BB425" s="31" t="str">
        <f>BBDD_TERRENO[[#This Row],[Comuna]]&amp;BBDD_TERRENO[[#This Row],[Identificacion Propiedad]]</f>
        <v>SAN PEDRO DE LA PAZF-9-X2 (SERV. BOSQUEMAR)</v>
      </c>
    </row>
    <row r="426" spans="1:54" x14ac:dyDescent="0.3">
      <c r="A426" s="31" t="s">
        <v>70</v>
      </c>
      <c r="B426" s="31" t="s">
        <v>169</v>
      </c>
      <c r="C426" s="31" t="s">
        <v>461</v>
      </c>
      <c r="E426" s="42">
        <v>249500</v>
      </c>
      <c r="F426" s="31" t="s">
        <v>1182</v>
      </c>
      <c r="G426" s="32"/>
      <c r="H426" s="31"/>
      <c r="I426" s="83"/>
      <c r="J426" s="83"/>
      <c r="K426" s="83"/>
      <c r="L426" s="83"/>
      <c r="M426" s="83"/>
      <c r="N426" s="83"/>
      <c r="O426" s="83"/>
      <c r="P426" s="31"/>
      <c r="Q426" s="31"/>
      <c r="R426" s="31"/>
      <c r="S426" s="31"/>
      <c r="T426" s="31"/>
      <c r="U426" s="35"/>
      <c r="V426" s="134"/>
      <c r="W426" s="85">
        <v>0</v>
      </c>
      <c r="X426" s="83">
        <v>0</v>
      </c>
      <c r="Y426" s="83">
        <v>0</v>
      </c>
      <c r="Z426" s="83"/>
      <c r="AA426" s="31"/>
      <c r="AB426" s="132"/>
      <c r="AC426" s="83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/>
      <c r="AY426"/>
      <c r="AZ426" s="83"/>
      <c r="BB426" s="31" t="str">
        <f>BBDD_TERRENO[[#This Row],[Comuna]]&amp;BBDD_TERRENO[[#This Row],[Identificacion Propiedad]]</f>
        <v>HualquiLote Z</v>
      </c>
    </row>
    <row r="427" spans="1:54" x14ac:dyDescent="0.3">
      <c r="A427" s="31" t="s">
        <v>168</v>
      </c>
      <c r="B427" s="31" t="s">
        <v>80</v>
      </c>
      <c r="C427" s="31" t="s">
        <v>1183</v>
      </c>
      <c r="E427" s="42">
        <v>1930.03</v>
      </c>
      <c r="F427" s="31" t="s">
        <v>1179</v>
      </c>
      <c r="G427" s="32"/>
      <c r="H427" s="31"/>
      <c r="I427" s="83"/>
      <c r="J427" s="83"/>
      <c r="K427" s="83"/>
      <c r="L427" s="83"/>
      <c r="M427" s="83"/>
      <c r="N427" s="83"/>
      <c r="O427" s="83"/>
      <c r="P427" s="31"/>
      <c r="Q427" s="31"/>
      <c r="R427" s="31"/>
      <c r="S427" s="31"/>
      <c r="T427" s="31"/>
      <c r="U427" s="35"/>
      <c r="V427" s="134"/>
      <c r="W427" s="85">
        <v>0</v>
      </c>
      <c r="X427" s="83">
        <v>0</v>
      </c>
      <c r="Y427" s="83">
        <v>0</v>
      </c>
      <c r="Z427" s="83"/>
      <c r="AA427" s="31"/>
      <c r="AB427" s="132"/>
      <c r="AC427" s="83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41"/>
      <c r="AO427" s="41"/>
      <c r="AP427" s="41"/>
      <c r="AQ427" s="41"/>
      <c r="AR427" s="41"/>
      <c r="AS427" s="32"/>
      <c r="AT427" s="31"/>
      <c r="AU427" s="41"/>
      <c r="AV427" s="33"/>
      <c r="AZ427" s="161"/>
      <c r="BB427" s="31" t="str">
        <f>BBDD_TERRENO[[#This Row],[Comuna]]&amp;BBDD_TERRENO[[#This Row],[Identificacion Propiedad]]</f>
        <v>San Pedro de la PazLote F-9-A6</v>
      </c>
    </row>
    <row r="428" spans="1:54" x14ac:dyDescent="0.3">
      <c r="A428" s="31" t="s">
        <v>168</v>
      </c>
      <c r="B428" s="31" t="s">
        <v>80</v>
      </c>
      <c r="C428" s="31" t="s">
        <v>1184</v>
      </c>
      <c r="E428" s="42">
        <v>1930.3</v>
      </c>
      <c r="F428" s="31" t="s">
        <v>1179</v>
      </c>
      <c r="G428" s="32"/>
      <c r="H428" s="31"/>
      <c r="I428" s="83"/>
      <c r="J428" s="83"/>
      <c r="K428" s="83"/>
      <c r="L428" s="83"/>
      <c r="M428" s="83"/>
      <c r="N428" s="83"/>
      <c r="O428" s="83"/>
      <c r="P428" s="31"/>
      <c r="Q428" s="31"/>
      <c r="R428" s="31"/>
      <c r="S428" s="31"/>
      <c r="T428" s="31"/>
      <c r="U428" s="35"/>
      <c r="V428" s="134"/>
      <c r="W428" s="85">
        <v>0</v>
      </c>
      <c r="X428" s="83">
        <v>0</v>
      </c>
      <c r="Y428" s="83">
        <v>0</v>
      </c>
      <c r="Z428" s="83"/>
      <c r="AA428" s="31"/>
      <c r="AB428" s="132"/>
      <c r="AC428" s="83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41"/>
      <c r="AO428" s="41"/>
      <c r="AP428" s="41"/>
      <c r="AQ428" s="41"/>
      <c r="AR428" s="41"/>
      <c r="AS428" s="32"/>
      <c r="AT428" s="31"/>
      <c r="AU428" s="41"/>
      <c r="AV428" s="33"/>
      <c r="AZ428" s="161"/>
      <c r="BB428" s="31" t="str">
        <f>BBDD_TERRENO[[#This Row],[Comuna]]&amp;BBDD_TERRENO[[#This Row],[Identificacion Propiedad]]</f>
        <v>San Pedro de la PazLote F-9-A5</v>
      </c>
    </row>
    <row r="429" spans="1:54" x14ac:dyDescent="0.3">
      <c r="A429" s="31" t="s">
        <v>79</v>
      </c>
      <c r="B429" s="31" t="s">
        <v>80</v>
      </c>
      <c r="C429" s="31" t="s">
        <v>1185</v>
      </c>
      <c r="E429" s="42"/>
      <c r="F429" s="31" t="s">
        <v>1179</v>
      </c>
      <c r="G429" s="32"/>
      <c r="H429" s="31"/>
      <c r="I429" s="83"/>
      <c r="J429" s="83"/>
      <c r="K429" s="83"/>
      <c r="L429" s="83"/>
      <c r="M429" s="83"/>
      <c r="N429" s="83"/>
      <c r="O429" s="83"/>
      <c r="P429" s="31" t="s">
        <v>931</v>
      </c>
      <c r="Q429" s="31" t="s">
        <v>931</v>
      </c>
      <c r="R429" s="31"/>
      <c r="S429" s="31"/>
      <c r="T429" s="31"/>
      <c r="U429" s="35"/>
      <c r="V429" s="134"/>
      <c r="W429" s="85">
        <v>0</v>
      </c>
      <c r="X429" s="83">
        <v>0</v>
      </c>
      <c r="Y429" s="83">
        <v>0</v>
      </c>
      <c r="Z429" s="83"/>
      <c r="AA429" s="31"/>
      <c r="AB429" s="132"/>
      <c r="AC429" s="83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41"/>
      <c r="AO429" s="41"/>
      <c r="AP429" s="41"/>
      <c r="AQ429" s="41"/>
      <c r="AR429" s="41"/>
      <c r="AS429" s="32"/>
      <c r="AT429" s="31"/>
      <c r="AU429" s="41"/>
      <c r="AV429" s="33"/>
      <c r="AZ429" s="161"/>
      <c r="BB429" s="31" t="str">
        <f>BBDD_TERRENO[[#This Row],[Comuna]]&amp;BBDD_TERRENO[[#This Row],[Identificacion Propiedad]]</f>
        <v>San Pedro de la PazArea verde Olas A2</v>
      </c>
    </row>
    <row r="430" spans="1:54" x14ac:dyDescent="0.3">
      <c r="A430" s="31" t="s">
        <v>79</v>
      </c>
      <c r="B430" s="31" t="s">
        <v>80</v>
      </c>
      <c r="C430" s="31" t="s">
        <v>1186</v>
      </c>
      <c r="E430" s="42"/>
      <c r="F430" s="31" t="s">
        <v>1179</v>
      </c>
      <c r="G430" s="32"/>
      <c r="H430" s="31"/>
      <c r="I430" s="83"/>
      <c r="J430" s="83"/>
      <c r="K430" s="83"/>
      <c r="L430" s="83"/>
      <c r="M430" s="83"/>
      <c r="N430" s="83"/>
      <c r="O430" s="83"/>
      <c r="P430" s="31" t="s">
        <v>1187</v>
      </c>
      <c r="Q430" s="31" t="s">
        <v>1187</v>
      </c>
      <c r="R430" s="31"/>
      <c r="S430" s="31"/>
      <c r="T430" s="31"/>
      <c r="U430" s="35"/>
      <c r="V430" s="134"/>
      <c r="W430" s="85">
        <v>0</v>
      </c>
      <c r="X430" s="83">
        <v>0</v>
      </c>
      <c r="Y430" s="83">
        <v>0</v>
      </c>
      <c r="Z430" s="83"/>
      <c r="AA430" s="31"/>
      <c r="AB430" s="132"/>
      <c r="AC430" s="83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41"/>
      <c r="AO430" s="41"/>
      <c r="AP430" s="41"/>
      <c r="AQ430" s="41"/>
      <c r="AR430" s="41"/>
      <c r="AS430" s="32"/>
      <c r="AT430" s="31"/>
      <c r="AU430" s="41"/>
      <c r="AV430" s="33"/>
      <c r="AZ430" s="161"/>
      <c r="BB430" s="31" t="str">
        <f>BBDD_TERRENO[[#This Row],[Comuna]]&amp;BBDD_TERRENO[[#This Row],[Identificacion Propiedad]]</f>
        <v>San Pedro de la PazArea verde Olas B1A</v>
      </c>
    </row>
    <row r="431" spans="1:54" x14ac:dyDescent="0.3">
      <c r="A431" s="31" t="s">
        <v>79</v>
      </c>
      <c r="B431" s="31" t="s">
        <v>512</v>
      </c>
      <c r="C431" s="31" t="s">
        <v>1188</v>
      </c>
      <c r="E431" s="42">
        <v>91338.55</v>
      </c>
      <c r="F431" s="31" t="s">
        <v>1189</v>
      </c>
      <c r="G431" s="32"/>
      <c r="H431" s="31"/>
      <c r="I431" s="83"/>
      <c r="J431" s="83"/>
      <c r="K431" s="83"/>
      <c r="L431" s="83"/>
      <c r="M431" s="83"/>
      <c r="N431" s="83"/>
      <c r="O431" s="83"/>
      <c r="P431" s="31" t="s">
        <v>719</v>
      </c>
      <c r="Q431" s="31"/>
      <c r="R431" s="31"/>
      <c r="S431" s="31"/>
      <c r="T431" s="31"/>
      <c r="U431" s="35"/>
      <c r="V431" s="134"/>
      <c r="W431" s="85">
        <v>0</v>
      </c>
      <c r="X431" s="83">
        <v>0</v>
      </c>
      <c r="Y431" s="83">
        <v>0</v>
      </c>
      <c r="Z431" s="83"/>
      <c r="AA431" s="31"/>
      <c r="AB431" s="132"/>
      <c r="AC431" s="83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41"/>
      <c r="AO431" s="41"/>
      <c r="AP431" s="41"/>
      <c r="AQ431" s="41"/>
      <c r="AR431" s="41"/>
      <c r="AS431" s="32"/>
      <c r="AT431" s="31"/>
      <c r="AU431" s="41"/>
      <c r="AV431" s="33"/>
      <c r="AZ431" s="161"/>
      <c r="BB431" s="31" t="str">
        <f>BBDD_TERRENO[[#This Row],[Comuna]]&amp;BBDD_TERRENO[[#This Row],[Identificacion Propiedad]]</f>
        <v>SAN PEDRO DE LA PAZC3-1C-D</v>
      </c>
    </row>
    <row r="432" spans="1:54" x14ac:dyDescent="0.3">
      <c r="A432" s="31" t="s">
        <v>79</v>
      </c>
      <c r="B432" s="31" t="s">
        <v>512</v>
      </c>
      <c r="C432" s="31" t="s">
        <v>1190</v>
      </c>
      <c r="E432" s="42">
        <v>17999.099999999999</v>
      </c>
      <c r="F432" s="31" t="s">
        <v>1189</v>
      </c>
      <c r="G432" s="32"/>
      <c r="H432" s="31"/>
      <c r="I432" s="83"/>
      <c r="J432" s="83"/>
      <c r="K432" s="83"/>
      <c r="L432" s="83"/>
      <c r="M432" s="83"/>
      <c r="N432" s="83"/>
      <c r="O432" s="83"/>
      <c r="P432" s="31" t="s">
        <v>149</v>
      </c>
      <c r="Q432" s="31"/>
      <c r="R432" s="31"/>
      <c r="S432" s="31"/>
      <c r="T432" s="31"/>
      <c r="U432" s="35"/>
      <c r="V432" s="134"/>
      <c r="W432" s="85">
        <v>0</v>
      </c>
      <c r="X432" s="83">
        <v>0</v>
      </c>
      <c r="Y432" s="83">
        <v>0</v>
      </c>
      <c r="Z432" s="83"/>
      <c r="AA432" s="31"/>
      <c r="AB432" s="132"/>
      <c r="AC432" s="83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41"/>
      <c r="AO432" s="41"/>
      <c r="AP432" s="41"/>
      <c r="AQ432" s="41"/>
      <c r="AR432" s="41"/>
      <c r="AS432" s="32"/>
      <c r="AT432" s="31"/>
      <c r="AU432" s="41"/>
      <c r="AV432" s="33"/>
      <c r="AZ432" s="161"/>
      <c r="BB432" s="31" t="str">
        <f>BBDD_TERRENO[[#This Row],[Comuna]]&amp;BBDD_TERRENO[[#This Row],[Identificacion Propiedad]]</f>
        <v>SAN PEDRO DE LA PAZC3-C1-C-1</v>
      </c>
    </row>
    <row r="433" spans="1:54" x14ac:dyDescent="0.3">
      <c r="A433" s="31" t="s">
        <v>89</v>
      </c>
      <c r="B433" s="31" t="s">
        <v>380</v>
      </c>
      <c r="C433" s="31" t="s">
        <v>1191</v>
      </c>
      <c r="E433" s="42">
        <v>154800</v>
      </c>
      <c r="F433" s="31" t="s">
        <v>1162</v>
      </c>
      <c r="G433" s="32"/>
      <c r="H433" s="31"/>
      <c r="I433" s="83"/>
      <c r="J433" s="83"/>
      <c r="K433" s="83"/>
      <c r="L433" s="83"/>
      <c r="M433" s="83"/>
      <c r="N433" s="83"/>
      <c r="O433" s="83"/>
      <c r="P433" s="31"/>
      <c r="Q433" s="31"/>
      <c r="R433" s="31"/>
      <c r="S433" s="31"/>
      <c r="T433" s="31"/>
      <c r="U433" s="35"/>
      <c r="V433" s="134"/>
      <c r="W433" s="85">
        <v>0</v>
      </c>
      <c r="X433" s="83">
        <v>0</v>
      </c>
      <c r="Y433" s="83">
        <v>0</v>
      </c>
      <c r="Z433" s="83"/>
      <c r="AA433" s="31"/>
      <c r="AB433" s="132"/>
      <c r="AC433" s="83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/>
      <c r="AY433"/>
      <c r="AZ433" s="83"/>
      <c r="BB433" s="31" t="str">
        <f>BBDD_TERRENO[[#This Row],[Comuna]]&amp;BBDD_TERRENO[[#This Row],[Identificacion Propiedad]]</f>
        <v>CoronelEl Carmen Parcela 1</v>
      </c>
    </row>
    <row r="434" spans="1:54" x14ac:dyDescent="0.3">
      <c r="A434" s="31" t="s">
        <v>1192</v>
      </c>
      <c r="B434" s="31" t="s">
        <v>80</v>
      </c>
      <c r="C434" s="31" t="s">
        <v>1193</v>
      </c>
      <c r="E434" s="42">
        <v>20266</v>
      </c>
      <c r="F434" s="31" t="s">
        <v>1194</v>
      </c>
      <c r="G434" s="32"/>
      <c r="H434" s="31"/>
      <c r="I434" s="83"/>
      <c r="J434" s="83"/>
      <c r="K434" s="83"/>
      <c r="L434" s="83"/>
      <c r="M434" s="83"/>
      <c r="N434" s="83"/>
      <c r="O434" s="83"/>
      <c r="P434" s="31" t="s">
        <v>1195</v>
      </c>
      <c r="Q434" s="31" t="s">
        <v>1195</v>
      </c>
      <c r="R434" s="31"/>
      <c r="S434" s="31"/>
      <c r="T434" s="31"/>
      <c r="U434" s="35"/>
      <c r="V434" s="134"/>
      <c r="W434" s="85">
        <v>0</v>
      </c>
      <c r="X434" s="83">
        <v>0</v>
      </c>
      <c r="Y434" s="83">
        <v>0</v>
      </c>
      <c r="Z434" s="83"/>
      <c r="AA434" s="31"/>
      <c r="AB434" s="132"/>
      <c r="AC434" s="83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41"/>
      <c r="AO434" s="41"/>
      <c r="AP434" s="41">
        <v>3.4</v>
      </c>
      <c r="AQ434" s="41">
        <v>68904</v>
      </c>
      <c r="AR434" s="41"/>
      <c r="AS434" s="32">
        <v>45610</v>
      </c>
      <c r="AT434" s="31" t="s">
        <v>108</v>
      </c>
      <c r="AU434" s="41"/>
      <c r="AV434" s="33" t="s">
        <v>108</v>
      </c>
      <c r="AX434" s="31" t="s">
        <v>1196</v>
      </c>
      <c r="AZ434" s="161"/>
      <c r="BB434" s="31" t="str">
        <f>BBDD_TERRENO[[#This Row],[Comuna]]&amp;BBDD_TERRENO[[#This Row],[Identificacion Propiedad]]</f>
        <v>San Pedro de la PazLote 5-6</v>
      </c>
    </row>
    <row r="435" spans="1:54" x14ac:dyDescent="0.3">
      <c r="A435" s="31" t="s">
        <v>168</v>
      </c>
      <c r="B435" s="31" t="s">
        <v>169</v>
      </c>
      <c r="C435" s="31" t="s">
        <v>1197</v>
      </c>
      <c r="E435" s="42">
        <v>18177.7</v>
      </c>
      <c r="F435" s="31" t="s">
        <v>1194</v>
      </c>
      <c r="G435" s="32"/>
      <c r="H435" s="31"/>
      <c r="I435" s="83"/>
      <c r="J435" s="83"/>
      <c r="K435" s="83"/>
      <c r="L435" s="83"/>
      <c r="M435" s="83"/>
      <c r="N435" s="83"/>
      <c r="O435" s="83"/>
      <c r="P435" s="31"/>
      <c r="Q435" s="31"/>
      <c r="R435" s="31"/>
      <c r="S435" s="31"/>
      <c r="T435" s="31"/>
      <c r="U435" s="35"/>
      <c r="V435" s="134"/>
      <c r="W435" s="85">
        <v>0</v>
      </c>
      <c r="X435" s="83">
        <v>0</v>
      </c>
      <c r="Y435" s="83">
        <v>0</v>
      </c>
      <c r="Z435" s="83"/>
      <c r="AA435" s="31"/>
      <c r="AB435" s="132"/>
      <c r="AC435" s="83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 t="s">
        <v>88</v>
      </c>
      <c r="AW435"/>
      <c r="AY435"/>
      <c r="AZ435" s="83"/>
      <c r="BB435" s="31" t="str">
        <f>BBDD_TERRENO[[#This Row],[Comuna]]&amp;BBDD_TERRENO[[#This Row],[Identificacion Propiedad]]</f>
        <v>HualquiLote 34  (CH1)</v>
      </c>
    </row>
    <row r="436" spans="1:54" x14ac:dyDescent="0.3">
      <c r="A436" s="31" t="s">
        <v>168</v>
      </c>
      <c r="B436" s="31" t="s">
        <v>169</v>
      </c>
      <c r="C436" s="31" t="s">
        <v>1198</v>
      </c>
      <c r="E436" s="42">
        <v>840</v>
      </c>
      <c r="F436" s="31" t="s">
        <v>1194</v>
      </c>
      <c r="G436" s="32"/>
      <c r="H436" s="31"/>
      <c r="I436" s="83"/>
      <c r="J436" s="83"/>
      <c r="K436" s="83"/>
      <c r="L436" s="83"/>
      <c r="M436" s="83"/>
      <c r="N436" s="83"/>
      <c r="O436" s="83"/>
      <c r="P436" s="31"/>
      <c r="Q436" s="31"/>
      <c r="R436" s="31"/>
      <c r="S436" s="31"/>
      <c r="T436" s="31"/>
      <c r="U436" s="35"/>
      <c r="V436" s="134"/>
      <c r="W436" s="85">
        <v>0</v>
      </c>
      <c r="X436" s="83">
        <v>0</v>
      </c>
      <c r="Y436" s="83">
        <v>0</v>
      </c>
      <c r="Z436" s="83"/>
      <c r="AA436" s="31"/>
      <c r="AB436" s="132"/>
      <c r="AC436" s="83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>
        <v>2.5</v>
      </c>
      <c r="AO436" s="31">
        <v>2100</v>
      </c>
      <c r="AP436" s="31">
        <v>0.3</v>
      </c>
      <c r="AQ436" s="31">
        <v>252</v>
      </c>
      <c r="AR436" s="31"/>
      <c r="AS436" s="31">
        <v>43525</v>
      </c>
      <c r="AT436" s="31" t="s">
        <v>101</v>
      </c>
      <c r="AU436" s="31">
        <v>252</v>
      </c>
      <c r="AV436" s="31" t="s">
        <v>101</v>
      </c>
      <c r="AW436"/>
      <c r="AY436"/>
      <c r="AZ436" s="83"/>
      <c r="BB436" s="31" t="str">
        <f>BBDD_TERRENO[[#This Row],[Comuna]]&amp;BBDD_TERRENO[[#This Row],[Identificacion Propiedad]]</f>
        <v>HualquiLote 10  (CH1)</v>
      </c>
    </row>
    <row r="437" spans="1:54" x14ac:dyDescent="0.3">
      <c r="A437" s="31" t="s">
        <v>793</v>
      </c>
      <c r="B437" s="31" t="s">
        <v>1199</v>
      </c>
      <c r="C437" s="31" t="s">
        <v>1200</v>
      </c>
      <c r="E437" s="42">
        <v>114</v>
      </c>
      <c r="F437" s="31" t="s">
        <v>1162</v>
      </c>
      <c r="G437" s="32"/>
      <c r="H437" s="31"/>
      <c r="I437" s="83"/>
      <c r="J437" s="83"/>
      <c r="K437" s="83"/>
      <c r="L437" s="83"/>
      <c r="M437" s="83"/>
      <c r="N437" s="83"/>
      <c r="O437" s="83"/>
      <c r="P437" s="31"/>
      <c r="Q437" s="31"/>
      <c r="R437" s="31"/>
      <c r="S437" s="31"/>
      <c r="T437" s="31"/>
      <c r="U437" s="35"/>
      <c r="V437" s="134"/>
      <c r="W437" s="85">
        <v>0</v>
      </c>
      <c r="X437" s="83">
        <v>0</v>
      </c>
      <c r="Y437" s="83">
        <v>0</v>
      </c>
      <c r="Z437" s="83"/>
      <c r="AA437" s="31"/>
      <c r="AB437" s="132"/>
      <c r="AC437" s="83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/>
      <c r="AY437"/>
      <c r="AZ437" s="83"/>
      <c r="BB437" s="31" t="str">
        <f>BBDD_TERRENO[[#This Row],[Comuna]]&amp;BBDD_TERRENO[[#This Row],[Identificacion Propiedad]]</f>
        <v>NATALESYAGANES 2165</v>
      </c>
    </row>
    <row r="438" spans="1:54" x14ac:dyDescent="0.3">
      <c r="A438" s="31" t="s">
        <v>793</v>
      </c>
      <c r="B438" s="31" t="s">
        <v>1199</v>
      </c>
      <c r="C438" s="31" t="s">
        <v>1201</v>
      </c>
      <c r="E438" s="42">
        <v>123</v>
      </c>
      <c r="F438" s="31" t="s">
        <v>1162</v>
      </c>
      <c r="G438" s="32"/>
      <c r="H438" s="31"/>
      <c r="I438" s="83"/>
      <c r="J438" s="83"/>
      <c r="K438" s="83"/>
      <c r="L438" s="83"/>
      <c r="M438" s="83"/>
      <c r="N438" s="83"/>
      <c r="O438" s="83"/>
      <c r="P438" s="31"/>
      <c r="Q438" s="31"/>
      <c r="R438" s="31"/>
      <c r="S438" s="31"/>
      <c r="T438" s="31"/>
      <c r="U438" s="35"/>
      <c r="V438" s="134"/>
      <c r="W438" s="85">
        <v>0</v>
      </c>
      <c r="X438" s="83">
        <v>0</v>
      </c>
      <c r="Y438" s="83">
        <v>0</v>
      </c>
      <c r="Z438" s="83"/>
      <c r="AA438" s="31"/>
      <c r="AB438" s="132"/>
      <c r="AC438" s="83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/>
      <c r="AY438"/>
      <c r="AZ438" s="83"/>
      <c r="BB438" s="31" t="str">
        <f>BBDD_TERRENO[[#This Row],[Comuna]]&amp;BBDD_TERRENO[[#This Row],[Identificacion Propiedad]]</f>
        <v>NATALESPJE HUILLICHES 1607</v>
      </c>
    </row>
    <row r="439" spans="1:54" x14ac:dyDescent="0.3">
      <c r="A439" s="31" t="s">
        <v>793</v>
      </c>
      <c r="B439" s="31" t="s">
        <v>71</v>
      </c>
      <c r="C439" s="31" t="s">
        <v>1202</v>
      </c>
      <c r="E439" s="42">
        <v>142</v>
      </c>
      <c r="F439" s="31" t="s">
        <v>1162</v>
      </c>
      <c r="G439" s="32"/>
      <c r="H439" s="31"/>
      <c r="I439" s="83"/>
      <c r="J439" s="83"/>
      <c r="K439" s="83"/>
      <c r="L439" s="83"/>
      <c r="M439" s="83"/>
      <c r="N439" s="83"/>
      <c r="O439" s="83"/>
      <c r="P439" s="31"/>
      <c r="Q439" s="31"/>
      <c r="R439" s="31"/>
      <c r="S439" s="31"/>
      <c r="T439" s="31"/>
      <c r="U439" s="35"/>
      <c r="V439" s="134"/>
      <c r="W439" s="85">
        <v>0</v>
      </c>
      <c r="X439" s="83">
        <v>0</v>
      </c>
      <c r="Y439" s="83">
        <v>0</v>
      </c>
      <c r="Z439" s="83"/>
      <c r="AA439" s="31"/>
      <c r="AB439" s="132"/>
      <c r="AC439" s="83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/>
      <c r="AY439"/>
      <c r="AZ439" s="83"/>
      <c r="BB439" s="31" t="str">
        <f>BBDD_TERRENO[[#This Row],[Comuna]]&amp;BBDD_TERRENO[[#This Row],[Identificacion Propiedad]]</f>
        <v>Puerto MonttCANAL APIAO 6031 PUERTA SUR</v>
      </c>
    </row>
    <row r="440" spans="1:54" x14ac:dyDescent="0.3">
      <c r="A440" s="31" t="s">
        <v>793</v>
      </c>
      <c r="B440" s="31" t="s">
        <v>71</v>
      </c>
      <c r="C440" s="31" t="s">
        <v>1203</v>
      </c>
      <c r="E440" s="42">
        <v>130</v>
      </c>
      <c r="F440" s="31" t="s">
        <v>1162</v>
      </c>
      <c r="G440" s="32"/>
      <c r="H440" s="31"/>
      <c r="I440" s="83"/>
      <c r="J440" s="83"/>
      <c r="K440" s="83"/>
      <c r="L440" s="83"/>
      <c r="M440" s="83"/>
      <c r="N440" s="83"/>
      <c r="O440" s="83"/>
      <c r="P440" s="31"/>
      <c r="Q440" s="31"/>
      <c r="R440" s="31"/>
      <c r="S440" s="31"/>
      <c r="T440" s="31"/>
      <c r="U440" s="35"/>
      <c r="V440" s="134"/>
      <c r="W440" s="85">
        <v>0</v>
      </c>
      <c r="X440" s="83">
        <v>0</v>
      </c>
      <c r="Y440" s="83">
        <v>0</v>
      </c>
      <c r="Z440" s="83"/>
      <c r="AA440" s="31"/>
      <c r="AB440" s="132"/>
      <c r="AC440" s="83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/>
      <c r="AY440"/>
      <c r="AZ440" s="83"/>
      <c r="BB440" s="31" t="str">
        <f>BBDD_TERRENO[[#This Row],[Comuna]]&amp;BBDD_TERRENO[[#This Row],[Identificacion Propiedad]]</f>
        <v>Puerto MonttCANAL APIAO 6020 PUERTA SUR</v>
      </c>
    </row>
    <row r="441" spans="1:54" x14ac:dyDescent="0.3">
      <c r="A441" s="31" t="s">
        <v>793</v>
      </c>
      <c r="B441" s="31" t="s">
        <v>71</v>
      </c>
      <c r="C441" s="31" t="s">
        <v>1204</v>
      </c>
      <c r="E441" s="42">
        <v>137</v>
      </c>
      <c r="F441" s="31" t="s">
        <v>1162</v>
      </c>
      <c r="G441" s="32"/>
      <c r="H441" s="31"/>
      <c r="I441" s="83"/>
      <c r="J441" s="83"/>
      <c r="K441" s="83"/>
      <c r="L441" s="83"/>
      <c r="M441" s="83"/>
      <c r="N441" s="83"/>
      <c r="O441" s="83"/>
      <c r="P441" s="31"/>
      <c r="Q441" s="31"/>
      <c r="R441" s="31"/>
      <c r="S441" s="31"/>
      <c r="T441" s="31"/>
      <c r="U441" s="35"/>
      <c r="V441" s="134"/>
      <c r="W441" s="85">
        <v>0</v>
      </c>
      <c r="X441" s="83">
        <v>0</v>
      </c>
      <c r="Y441" s="83">
        <v>0</v>
      </c>
      <c r="Z441" s="83"/>
      <c r="AA441" s="31"/>
      <c r="AB441" s="132"/>
      <c r="AC441" s="83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/>
      <c r="AY441"/>
      <c r="AZ441" s="83"/>
      <c r="BB441" s="31" t="str">
        <f>BBDD_TERRENO[[#This Row],[Comuna]]&amp;BBDD_TERRENO[[#This Row],[Identificacion Propiedad]]</f>
        <v>Puerto MonttCANAL APIAO 6058 PUERTA SUR</v>
      </c>
    </row>
    <row r="442" spans="1:54" x14ac:dyDescent="0.3">
      <c r="A442" s="31" t="s">
        <v>89</v>
      </c>
      <c r="B442" s="31" t="s">
        <v>80</v>
      </c>
      <c r="C442" s="31" t="s">
        <v>1205</v>
      </c>
      <c r="E442" s="42">
        <v>59459.28</v>
      </c>
      <c r="F442" s="31" t="s">
        <v>1182</v>
      </c>
      <c r="G442" s="32"/>
      <c r="H442" s="31"/>
      <c r="I442" s="83"/>
      <c r="J442" s="83"/>
      <c r="K442" s="83"/>
      <c r="L442" s="83"/>
      <c r="M442" s="83"/>
      <c r="N442" s="83"/>
      <c r="O442" s="83"/>
      <c r="P442" s="31"/>
      <c r="Q442" s="31"/>
      <c r="R442" s="31"/>
      <c r="S442" s="31"/>
      <c r="T442" s="31"/>
      <c r="U442" s="35"/>
      <c r="V442" s="134"/>
      <c r="W442" s="85">
        <v>0</v>
      </c>
      <c r="X442" s="83">
        <v>0</v>
      </c>
      <c r="Y442" s="83">
        <v>0</v>
      </c>
      <c r="Z442" s="83"/>
      <c r="AA442" s="31"/>
      <c r="AB442" s="132"/>
      <c r="AC442" s="83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41"/>
      <c r="AO442" s="41"/>
      <c r="AP442" s="41"/>
      <c r="AQ442" s="41"/>
      <c r="AR442" s="41"/>
      <c r="AS442" s="32"/>
      <c r="AT442" s="31"/>
      <c r="AU442" s="41"/>
      <c r="AV442" s="33"/>
      <c r="AZ442" s="161"/>
      <c r="BB442" s="31" t="str">
        <f>BBDD_TERRENO[[#This Row],[Comuna]]&amp;BBDD_TERRENO[[#This Row],[Identificacion Propiedad]]</f>
        <v>San Pedro de la PazLote C8-A</v>
      </c>
    </row>
    <row r="443" spans="1:54" x14ac:dyDescent="0.3">
      <c r="A443" s="31" t="s">
        <v>89</v>
      </c>
      <c r="B443" s="31" t="s">
        <v>80</v>
      </c>
      <c r="C443" s="31" t="s">
        <v>1206</v>
      </c>
      <c r="E443" s="42">
        <v>9649</v>
      </c>
      <c r="F443" s="31" t="s">
        <v>1189</v>
      </c>
      <c r="G443" s="32"/>
      <c r="H443" s="31"/>
      <c r="I443" s="83"/>
      <c r="J443" s="83"/>
      <c r="K443" s="83"/>
      <c r="L443" s="83"/>
      <c r="M443" s="83"/>
      <c r="N443" s="83"/>
      <c r="O443" s="83"/>
      <c r="P443" s="31"/>
      <c r="Q443" s="31"/>
      <c r="R443" s="31"/>
      <c r="S443" s="31"/>
      <c r="T443" s="31"/>
      <c r="U443" s="35"/>
      <c r="V443" s="134"/>
      <c r="W443" s="85">
        <v>0</v>
      </c>
      <c r="X443" s="83">
        <v>0</v>
      </c>
      <c r="Y443" s="83">
        <v>0</v>
      </c>
      <c r="Z443" s="83"/>
      <c r="AA443" s="31"/>
      <c r="AB443" s="132"/>
      <c r="AC443" s="83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41"/>
      <c r="AO443" s="41"/>
      <c r="AP443" s="41"/>
      <c r="AQ443" s="41"/>
      <c r="AR443" s="41"/>
      <c r="AS443" s="32"/>
      <c r="AT443" s="31"/>
      <c r="AU443" s="41"/>
      <c r="AV443" s="33"/>
      <c r="AZ443" s="161"/>
      <c r="BB443" s="31" t="str">
        <f>BBDD_TERRENO[[#This Row],[Comuna]]&amp;BBDD_TERRENO[[#This Row],[Identificacion Propiedad]]</f>
        <v>San Pedro de la PazLote C8-A-8</v>
      </c>
    </row>
    <row r="444" spans="1:54" x14ac:dyDescent="0.3">
      <c r="A444" s="31" t="s">
        <v>89</v>
      </c>
      <c r="B444" s="31" t="s">
        <v>80</v>
      </c>
      <c r="C444" s="31" t="s">
        <v>1207</v>
      </c>
      <c r="E444" s="42">
        <v>9661</v>
      </c>
      <c r="F444" s="31" t="s">
        <v>1189</v>
      </c>
      <c r="G444" s="32"/>
      <c r="H444" s="31"/>
      <c r="I444" s="83"/>
      <c r="J444" s="83"/>
      <c r="K444" s="83"/>
      <c r="L444" s="83"/>
      <c r="M444" s="83"/>
      <c r="N444" s="83"/>
      <c r="O444" s="83"/>
      <c r="P444" s="31"/>
      <c r="Q444" s="31"/>
      <c r="R444" s="31"/>
      <c r="S444" s="31"/>
      <c r="T444" s="31"/>
      <c r="U444" s="35"/>
      <c r="V444" s="134"/>
      <c r="W444" s="85">
        <v>0</v>
      </c>
      <c r="X444" s="83">
        <v>0</v>
      </c>
      <c r="Y444" s="83">
        <v>0</v>
      </c>
      <c r="Z444" s="83"/>
      <c r="AA444" s="31"/>
      <c r="AB444" s="132"/>
      <c r="AC444" s="83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41"/>
      <c r="AO444" s="41"/>
      <c r="AP444" s="41"/>
      <c r="AQ444" s="41"/>
      <c r="AR444" s="41"/>
      <c r="AS444" s="32"/>
      <c r="AT444" s="31"/>
      <c r="AU444" s="41"/>
      <c r="AV444" s="33"/>
      <c r="AZ444" s="161"/>
      <c r="BB444" s="31" t="str">
        <f>BBDD_TERRENO[[#This Row],[Comuna]]&amp;BBDD_TERRENO[[#This Row],[Identificacion Propiedad]]</f>
        <v>San Pedro de la PazLote C8-A-9</v>
      </c>
    </row>
    <row r="445" spans="1:54" x14ac:dyDescent="0.3">
      <c r="A445" s="31" t="s">
        <v>70</v>
      </c>
      <c r="B445" s="31" t="s">
        <v>71</v>
      </c>
      <c r="C445" s="31" t="s">
        <v>1208</v>
      </c>
      <c r="E445" s="42">
        <v>5900</v>
      </c>
      <c r="F445" s="31" t="s">
        <v>1189</v>
      </c>
      <c r="G445" s="32"/>
      <c r="H445" s="31"/>
      <c r="I445" s="83"/>
      <c r="J445" s="83"/>
      <c r="K445" s="83"/>
      <c r="L445" s="83"/>
      <c r="M445" s="83"/>
      <c r="N445" s="83"/>
      <c r="O445" s="83"/>
      <c r="P445" s="31"/>
      <c r="Q445" s="31"/>
      <c r="R445" s="31"/>
      <c r="S445" s="31"/>
      <c r="T445" s="31"/>
      <c r="U445" s="35"/>
      <c r="V445" s="134"/>
      <c r="W445" s="85">
        <v>0</v>
      </c>
      <c r="X445" s="83">
        <v>0</v>
      </c>
      <c r="Y445" s="83">
        <v>0</v>
      </c>
      <c r="Z445" s="83"/>
      <c r="AA445" s="31"/>
      <c r="AB445" s="132"/>
      <c r="AC445" s="83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/>
      <c r="AY445"/>
      <c r="AZ445" s="83"/>
      <c r="BB445" s="31" t="str">
        <f>BBDD_TERRENO[[#This Row],[Comuna]]&amp;BBDD_TERRENO[[#This Row],[Identificacion Propiedad]]</f>
        <v>Puerto MonttLote B09 (Numero 9 Mz B)</v>
      </c>
    </row>
    <row r="446" spans="1:54" x14ac:dyDescent="0.3">
      <c r="A446" s="31" t="s">
        <v>70</v>
      </c>
      <c r="B446" s="31" t="s">
        <v>71</v>
      </c>
      <c r="C446" s="31" t="s">
        <v>1209</v>
      </c>
      <c r="E446" s="42">
        <v>4956.5</v>
      </c>
      <c r="F446" s="31" t="s">
        <v>1189</v>
      </c>
      <c r="G446" s="32"/>
      <c r="H446" s="31"/>
      <c r="I446" s="83"/>
      <c r="J446" s="83"/>
      <c r="K446" s="83"/>
      <c r="L446" s="83"/>
      <c r="M446" s="83"/>
      <c r="N446" s="83"/>
      <c r="O446" s="83"/>
      <c r="P446" s="31"/>
      <c r="Q446" s="31"/>
      <c r="R446" s="31"/>
      <c r="S446" s="31"/>
      <c r="T446" s="31"/>
      <c r="U446" s="35"/>
      <c r="V446" s="134"/>
      <c r="W446" s="85">
        <v>0</v>
      </c>
      <c r="X446" s="83">
        <v>0</v>
      </c>
      <c r="Y446" s="83">
        <v>0</v>
      </c>
      <c r="Z446" s="83"/>
      <c r="AA446" s="31"/>
      <c r="AB446" s="132"/>
      <c r="AC446" s="83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/>
      <c r="AY446"/>
      <c r="AZ446" s="83"/>
      <c r="BB446" s="31" t="str">
        <f>BBDD_TERRENO[[#This Row],[Comuna]]&amp;BBDD_TERRENO[[#This Row],[Identificacion Propiedad]]</f>
        <v>Puerto MonttLote 7-A (No existe)</v>
      </c>
    </row>
    <row r="447" spans="1:54" x14ac:dyDescent="0.3">
      <c r="A447" s="31" t="s">
        <v>70</v>
      </c>
      <c r="B447" s="31" t="s">
        <v>71</v>
      </c>
      <c r="C447" s="31" t="s">
        <v>1210</v>
      </c>
      <c r="E447" s="42">
        <v>5000</v>
      </c>
      <c r="F447" s="31" t="s">
        <v>1189</v>
      </c>
      <c r="G447" s="32"/>
      <c r="H447" s="31"/>
      <c r="I447" s="83"/>
      <c r="J447" s="83"/>
      <c r="K447" s="83"/>
      <c r="L447" s="83"/>
      <c r="M447" s="83"/>
      <c r="N447" s="83"/>
      <c r="O447" s="83"/>
      <c r="P447" s="31"/>
      <c r="Q447" s="31"/>
      <c r="R447" s="31"/>
      <c r="S447" s="31"/>
      <c r="T447" s="31"/>
      <c r="U447" s="35"/>
      <c r="V447" s="134"/>
      <c r="W447" s="85">
        <v>0</v>
      </c>
      <c r="X447" s="83">
        <v>0</v>
      </c>
      <c r="Y447" s="83">
        <v>0</v>
      </c>
      <c r="Z447" s="83"/>
      <c r="AA447" s="31"/>
      <c r="AB447" s="132"/>
      <c r="AC447" s="83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/>
      <c r="AY447"/>
      <c r="AZ447" s="83"/>
      <c r="BB447" s="31" t="str">
        <f>BBDD_TERRENO[[#This Row],[Comuna]]&amp;BBDD_TERRENO[[#This Row],[Identificacion Propiedad]]</f>
        <v>Puerto MonttLote I11 (Numero 11 Mz I)</v>
      </c>
    </row>
    <row r="448" spans="1:54" x14ac:dyDescent="0.3">
      <c r="A448" s="31" t="s">
        <v>168</v>
      </c>
      <c r="B448" s="31" t="s">
        <v>169</v>
      </c>
      <c r="C448" s="31" t="s">
        <v>1211</v>
      </c>
      <c r="E448" s="42">
        <v>59351.93</v>
      </c>
      <c r="F448" s="31" t="s">
        <v>1182</v>
      </c>
      <c r="G448" s="32"/>
      <c r="H448" s="31"/>
      <c r="I448" s="83"/>
      <c r="J448" s="83"/>
      <c r="K448" s="83"/>
      <c r="L448" s="83"/>
      <c r="M448" s="83"/>
      <c r="N448" s="83"/>
      <c r="O448" s="83"/>
      <c r="P448" s="31"/>
      <c r="Q448" s="31"/>
      <c r="R448" s="31"/>
      <c r="S448" s="31"/>
      <c r="T448" s="31"/>
      <c r="U448" s="35"/>
      <c r="V448" s="134"/>
      <c r="W448" s="85">
        <v>0</v>
      </c>
      <c r="X448" s="83">
        <v>0</v>
      </c>
      <c r="Y448" s="83">
        <v>0</v>
      </c>
      <c r="Z448" s="83"/>
      <c r="AA448" s="31"/>
      <c r="AB448" s="132"/>
      <c r="AC448" s="83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/>
      <c r="AY448"/>
      <c r="AZ448" s="83"/>
      <c r="BB448" s="31" t="str">
        <f>BBDD_TERRENO[[#This Row],[Comuna]]&amp;BBDD_TERRENO[[#This Row],[Identificacion Propiedad]]</f>
        <v>HualquiBelen Lote A2 (Country Huelén I)</v>
      </c>
    </row>
    <row r="449" spans="1:54" x14ac:dyDescent="0.3">
      <c r="A449" s="31" t="s">
        <v>89</v>
      </c>
      <c r="B449" s="31" t="s">
        <v>80</v>
      </c>
      <c r="C449" s="31" t="s">
        <v>1212</v>
      </c>
      <c r="E449" s="42">
        <v>2255.6869999999999</v>
      </c>
      <c r="F449" s="31" t="s">
        <v>1189</v>
      </c>
      <c r="G449" s="32"/>
      <c r="H449" s="31"/>
      <c r="I449" s="83"/>
      <c r="J449" s="83"/>
      <c r="K449" s="83"/>
      <c r="L449" s="83"/>
      <c r="M449" s="83"/>
      <c r="N449" s="83"/>
      <c r="O449" s="83"/>
      <c r="P449" s="31"/>
      <c r="Q449" s="31"/>
      <c r="R449" s="31"/>
      <c r="S449" s="31"/>
      <c r="T449" s="31"/>
      <c r="U449" s="35"/>
      <c r="V449" s="134"/>
      <c r="W449" s="85">
        <v>0</v>
      </c>
      <c r="X449" s="83">
        <v>0</v>
      </c>
      <c r="Y449" s="83">
        <v>0</v>
      </c>
      <c r="Z449" s="83"/>
      <c r="AA449" s="31"/>
      <c r="AB449" s="132"/>
      <c r="AC449" s="83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41"/>
      <c r="AO449" s="41"/>
      <c r="AP449" s="41"/>
      <c r="AQ449" s="41"/>
      <c r="AR449" s="41"/>
      <c r="AS449" s="32"/>
      <c r="AT449" s="31"/>
      <c r="AU449" s="41"/>
      <c r="AV449" s="33"/>
      <c r="AZ449" s="161"/>
      <c r="BB449" s="31" t="str">
        <f>BBDD_TERRENO[[#This Row],[Comuna]]&amp;BBDD_TERRENO[[#This Row],[Identificacion Propiedad]]</f>
        <v>San Pedro de la PazLote C-9-A3</v>
      </c>
    </row>
    <row r="450" spans="1:54" x14ac:dyDescent="0.3">
      <c r="A450" s="31" t="s">
        <v>89</v>
      </c>
      <c r="B450" s="31" t="s">
        <v>80</v>
      </c>
      <c r="C450" s="31" t="s">
        <v>1213</v>
      </c>
      <c r="E450" s="42">
        <v>5249.01</v>
      </c>
      <c r="F450" s="31" t="s">
        <v>1189</v>
      </c>
      <c r="G450" s="32"/>
      <c r="H450" s="31"/>
      <c r="I450" s="83"/>
      <c r="J450" s="83"/>
      <c r="K450" s="83"/>
      <c r="L450" s="83"/>
      <c r="M450" s="83"/>
      <c r="N450" s="83"/>
      <c r="O450" s="83"/>
      <c r="P450" s="31"/>
      <c r="Q450" s="31"/>
      <c r="R450" s="31"/>
      <c r="S450" s="31"/>
      <c r="T450" s="31"/>
      <c r="U450" s="35"/>
      <c r="V450" s="134"/>
      <c r="W450" s="85">
        <v>0</v>
      </c>
      <c r="X450" s="83">
        <v>0</v>
      </c>
      <c r="Y450" s="83">
        <v>0</v>
      </c>
      <c r="Z450" s="83"/>
      <c r="AA450" s="31"/>
      <c r="AB450" s="132"/>
      <c r="AC450" s="83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41"/>
      <c r="AO450" s="41"/>
      <c r="AP450" s="41"/>
      <c r="AQ450" s="41"/>
      <c r="AR450" s="41"/>
      <c r="AS450" s="32"/>
      <c r="AT450" s="31"/>
      <c r="AU450" s="41"/>
      <c r="AV450" s="33"/>
      <c r="AZ450" s="161"/>
      <c r="BB450" s="31" t="str">
        <f>BBDD_TERRENO[[#This Row],[Comuna]]&amp;BBDD_TERRENO[[#This Row],[Identificacion Propiedad]]</f>
        <v>San Pedro de la PazLote C-9-A4</v>
      </c>
    </row>
    <row r="451" spans="1:54" x14ac:dyDescent="0.3">
      <c r="A451" s="31" t="s">
        <v>89</v>
      </c>
      <c r="B451" s="31" t="s">
        <v>80</v>
      </c>
      <c r="C451" s="31" t="s">
        <v>1214</v>
      </c>
      <c r="E451" s="42">
        <v>2188.252</v>
      </c>
      <c r="F451" s="31" t="s">
        <v>1189</v>
      </c>
      <c r="G451" s="32"/>
      <c r="H451" s="31"/>
      <c r="I451" s="83"/>
      <c r="J451" s="83"/>
      <c r="K451" s="83"/>
      <c r="L451" s="83"/>
      <c r="M451" s="83"/>
      <c r="N451" s="83"/>
      <c r="O451" s="83"/>
      <c r="P451" s="31"/>
      <c r="Q451" s="31"/>
      <c r="R451" s="31"/>
      <c r="S451" s="31"/>
      <c r="T451" s="31"/>
      <c r="U451" s="35"/>
      <c r="V451" s="134"/>
      <c r="W451" s="85">
        <v>0</v>
      </c>
      <c r="X451" s="83">
        <v>0</v>
      </c>
      <c r="Y451" s="83">
        <v>0</v>
      </c>
      <c r="Z451" s="83"/>
      <c r="AA451" s="31"/>
      <c r="AB451" s="132"/>
      <c r="AC451" s="83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41"/>
      <c r="AO451" s="41"/>
      <c r="AP451" s="41"/>
      <c r="AQ451" s="41"/>
      <c r="AR451" s="41"/>
      <c r="AS451" s="32"/>
      <c r="AT451" s="31"/>
      <c r="AU451" s="41"/>
      <c r="AV451" s="33"/>
      <c r="AZ451" s="161"/>
      <c r="BB451" s="31" t="str">
        <f>BBDD_TERRENO[[#This Row],[Comuna]]&amp;BBDD_TERRENO[[#This Row],[Identificacion Propiedad]]</f>
        <v>San Pedro de la PazLote C-9-A5</v>
      </c>
    </row>
    <row r="452" spans="1:54" x14ac:dyDescent="0.3">
      <c r="A452" s="31" t="s">
        <v>89</v>
      </c>
      <c r="B452" s="31" t="s">
        <v>80</v>
      </c>
      <c r="C452" s="31" t="s">
        <v>1215</v>
      </c>
      <c r="E452" s="42">
        <v>121044.88</v>
      </c>
      <c r="F452" s="31" t="s">
        <v>1182</v>
      </c>
      <c r="G452" s="32"/>
      <c r="H452" s="31"/>
      <c r="I452" s="83"/>
      <c r="J452" s="83"/>
      <c r="K452" s="83"/>
      <c r="L452" s="83"/>
      <c r="M452" s="83"/>
      <c r="N452" s="83"/>
      <c r="O452" s="83"/>
      <c r="P452" s="31"/>
      <c r="Q452" s="31"/>
      <c r="R452" s="31"/>
      <c r="S452" s="31"/>
      <c r="T452" s="31"/>
      <c r="U452" s="35"/>
      <c r="V452" s="134"/>
      <c r="W452" s="85">
        <v>0</v>
      </c>
      <c r="X452" s="83">
        <v>0</v>
      </c>
      <c r="Y452" s="83">
        <v>0</v>
      </c>
      <c r="Z452" s="83"/>
      <c r="AA452" s="31"/>
      <c r="AB452" s="132"/>
      <c r="AC452" s="83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41"/>
      <c r="AO452" s="41"/>
      <c r="AP452" s="41"/>
      <c r="AQ452" s="41"/>
      <c r="AR452" s="41"/>
      <c r="AS452" s="32"/>
      <c r="AT452" s="31"/>
      <c r="AU452" s="41"/>
      <c r="AV452" s="33"/>
      <c r="AZ452" s="161"/>
      <c r="BB452" s="31" t="str">
        <f>BBDD_TERRENO[[#This Row],[Comuna]]&amp;BBDD_TERRENO[[#This Row],[Identificacion Propiedad]]</f>
        <v>San Pedro de la PazLote D1-1D</v>
      </c>
    </row>
    <row r="453" spans="1:54" x14ac:dyDescent="0.3">
      <c r="A453" s="31" t="s">
        <v>382</v>
      </c>
      <c r="B453" s="31" t="s">
        <v>80</v>
      </c>
      <c r="C453" s="31" t="s">
        <v>374</v>
      </c>
      <c r="E453" s="42">
        <v>154938.49</v>
      </c>
      <c r="F453" s="31" t="s">
        <v>1216</v>
      </c>
      <c r="G453" s="32"/>
      <c r="H453" s="31"/>
      <c r="I453" s="83"/>
      <c r="J453" s="83"/>
      <c r="K453" s="83"/>
      <c r="L453" s="83"/>
      <c r="M453" s="83"/>
      <c r="N453" s="83"/>
      <c r="O453" s="83"/>
      <c r="P453" s="31"/>
      <c r="Q453" s="31"/>
      <c r="R453" s="31"/>
      <c r="S453" s="31"/>
      <c r="T453" s="31"/>
      <c r="U453" s="35"/>
      <c r="V453" s="134"/>
      <c r="W453" s="85">
        <v>0</v>
      </c>
      <c r="X453" s="83">
        <v>0</v>
      </c>
      <c r="Y453" s="83">
        <v>0</v>
      </c>
      <c r="Z453" s="83"/>
      <c r="AA453" s="31"/>
      <c r="AB453" s="132"/>
      <c r="AC453" s="83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41"/>
      <c r="AO453" s="41"/>
      <c r="AP453" s="41"/>
      <c r="AQ453" s="41"/>
      <c r="AR453" s="41"/>
      <c r="AS453" s="32"/>
      <c r="AT453" s="31"/>
      <c r="AU453" s="41"/>
      <c r="AV453" s="33"/>
      <c r="AZ453" s="161"/>
      <c r="BB453" s="31" t="str">
        <f>BBDD_TERRENO[[#This Row],[Comuna]]&amp;BBDD_TERRENO[[#This Row],[Identificacion Propiedad]]</f>
        <v>San Pedro de la PazLote 2D-3-1</v>
      </c>
    </row>
    <row r="454" spans="1:54" x14ac:dyDescent="0.3">
      <c r="A454" s="31" t="s">
        <v>1160</v>
      </c>
      <c r="B454" s="31" t="s">
        <v>383</v>
      </c>
      <c r="C454" s="31" t="s">
        <v>1161</v>
      </c>
      <c r="E454" s="42">
        <v>64474.400000000001</v>
      </c>
      <c r="F454" s="31" t="s">
        <v>1189</v>
      </c>
      <c r="G454" s="32"/>
      <c r="H454" s="31"/>
      <c r="I454" s="83"/>
      <c r="J454" s="83"/>
      <c r="K454" s="83"/>
      <c r="L454" s="83"/>
      <c r="M454" s="83"/>
      <c r="N454" s="83"/>
      <c r="O454" s="83"/>
      <c r="P454" s="31"/>
      <c r="Q454" s="31"/>
      <c r="R454" s="31"/>
      <c r="S454" s="31"/>
      <c r="T454" s="31"/>
      <c r="U454" s="35"/>
      <c r="V454" s="134"/>
      <c r="W454" s="85">
        <v>-2172994797</v>
      </c>
      <c r="X454" s="83">
        <v>-2186711013</v>
      </c>
      <c r="Y454" s="83">
        <v>13716216</v>
      </c>
      <c r="Z454" s="83"/>
      <c r="AA454" s="31"/>
      <c r="AB454" s="132"/>
      <c r="AC454" s="83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/>
      <c r="AY454"/>
      <c r="AZ454" s="83"/>
      <c r="BB454" s="31" t="str">
        <f>BBDD_TERRENO[[#This Row],[Comuna]]&amp;BBDD_TERRENO[[#This Row],[Identificacion Propiedad]]</f>
        <v>ConcepcionA-01</v>
      </c>
    </row>
    <row r="455" spans="1:54" x14ac:dyDescent="0.3">
      <c r="A455" s="31" t="s">
        <v>906</v>
      </c>
      <c r="B455" s="31" t="s">
        <v>383</v>
      </c>
      <c r="C455" s="31" t="s">
        <v>1217</v>
      </c>
      <c r="E455" s="42">
        <v>16695.8</v>
      </c>
      <c r="F455" s="31" t="s">
        <v>1189</v>
      </c>
      <c r="G455" s="32"/>
      <c r="H455" s="31"/>
      <c r="I455" s="83"/>
      <c r="J455" s="83"/>
      <c r="K455" s="83"/>
      <c r="L455" s="83"/>
      <c r="M455" s="83"/>
      <c r="N455" s="83"/>
      <c r="O455" s="83"/>
      <c r="P455" s="31"/>
      <c r="Q455" s="31"/>
      <c r="R455" s="31"/>
      <c r="S455" s="31"/>
      <c r="T455" s="31"/>
      <c r="U455" s="35"/>
      <c r="V455" s="134"/>
      <c r="W455" s="85">
        <v>7962284</v>
      </c>
      <c r="X455" s="83">
        <v>7962284</v>
      </c>
      <c r="Y455" s="83">
        <v>0</v>
      </c>
      <c r="Z455" s="83"/>
      <c r="AA455" s="31"/>
      <c r="AB455" s="132"/>
      <c r="AC455" s="83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/>
      <c r="AY455"/>
      <c r="AZ455" s="83"/>
      <c r="BB455" s="31" t="str">
        <f>BBDD_TERRENO[[#This Row],[Comuna]]&amp;BBDD_TERRENO[[#This Row],[Identificacion Propiedad]]</f>
        <v>ConcepcionA-02</v>
      </c>
    </row>
    <row r="456" spans="1:54" x14ac:dyDescent="0.3">
      <c r="A456" s="31" t="s">
        <v>906</v>
      </c>
      <c r="B456" s="31" t="s">
        <v>383</v>
      </c>
      <c r="C456" s="31" t="s">
        <v>1218</v>
      </c>
      <c r="E456" s="42">
        <v>17855.900000000001</v>
      </c>
      <c r="F456" s="31" t="s">
        <v>1189</v>
      </c>
      <c r="G456" s="32"/>
      <c r="H456" s="31"/>
      <c r="I456" s="83"/>
      <c r="J456" s="83"/>
      <c r="K456" s="83"/>
      <c r="L456" s="83"/>
      <c r="M456" s="83"/>
      <c r="N456" s="83"/>
      <c r="O456" s="83"/>
      <c r="P456" s="31"/>
      <c r="Q456" s="31"/>
      <c r="R456" s="31"/>
      <c r="S456" s="31"/>
      <c r="T456" s="31"/>
      <c r="U456" s="35"/>
      <c r="V456" s="134"/>
      <c r="W456" s="85">
        <v>6665683</v>
      </c>
      <c r="X456" s="83">
        <v>5422989</v>
      </c>
      <c r="Y456" s="83">
        <v>1242694</v>
      </c>
      <c r="Z456" s="83"/>
      <c r="AA456" s="31"/>
      <c r="AB456" s="132"/>
      <c r="AC456" s="83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/>
      <c r="AY456"/>
      <c r="AZ456" s="83"/>
      <c r="BB456" s="31" t="str">
        <f>BBDD_TERRENO[[#This Row],[Comuna]]&amp;BBDD_TERRENO[[#This Row],[Identificacion Propiedad]]</f>
        <v>ConcepcionA-03</v>
      </c>
    </row>
    <row r="457" spans="1:54" x14ac:dyDescent="0.3">
      <c r="A457" s="31" t="s">
        <v>906</v>
      </c>
      <c r="B457" s="31" t="s">
        <v>383</v>
      </c>
      <c r="C457" s="31" t="s">
        <v>1219</v>
      </c>
      <c r="E457" s="42">
        <v>17260.61</v>
      </c>
      <c r="F457" s="31" t="s">
        <v>1189</v>
      </c>
      <c r="G457" s="32"/>
      <c r="H457" s="31"/>
      <c r="I457" s="83"/>
      <c r="J457" s="83"/>
      <c r="K457" s="83"/>
      <c r="L457" s="83"/>
      <c r="M457" s="83"/>
      <c r="N457" s="83"/>
      <c r="O457" s="83"/>
      <c r="P457" s="31"/>
      <c r="Q457" s="31"/>
      <c r="R457" s="31"/>
      <c r="S457" s="31"/>
      <c r="T457" s="31"/>
      <c r="U457" s="35"/>
      <c r="V457" s="134"/>
      <c r="W457" s="85">
        <v>160397782</v>
      </c>
      <c r="X457" s="83">
        <v>160397782</v>
      </c>
      <c r="Y457" s="83">
        <v>0</v>
      </c>
      <c r="Z457" s="83"/>
      <c r="AA457" s="31"/>
      <c r="AB457" s="132"/>
      <c r="AC457" s="83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/>
      <c r="AY457"/>
      <c r="AZ457" s="83"/>
      <c r="BB457" s="31" t="str">
        <f>BBDD_TERRENO[[#This Row],[Comuna]]&amp;BBDD_TERRENO[[#This Row],[Identificacion Propiedad]]</f>
        <v>ConcepcionA-04</v>
      </c>
    </row>
    <row r="458" spans="1:54" x14ac:dyDescent="0.3">
      <c r="A458" s="31" t="s">
        <v>906</v>
      </c>
      <c r="B458" s="31" t="s">
        <v>383</v>
      </c>
      <c r="C458" s="31" t="s">
        <v>1220</v>
      </c>
      <c r="E458" s="42">
        <v>14955.29</v>
      </c>
      <c r="F458" s="31" t="s">
        <v>1189</v>
      </c>
      <c r="G458" s="32"/>
      <c r="H458" s="31"/>
      <c r="I458" s="83"/>
      <c r="J458" s="83"/>
      <c r="K458" s="83"/>
      <c r="L458" s="83"/>
      <c r="M458" s="83"/>
      <c r="N458" s="83"/>
      <c r="O458" s="83"/>
      <c r="P458" s="31"/>
      <c r="Q458" s="31"/>
      <c r="R458" s="31"/>
      <c r="S458" s="31"/>
      <c r="T458" s="31"/>
      <c r="U458" s="35"/>
      <c r="V458" s="134"/>
      <c r="W458" s="85">
        <v>66428218</v>
      </c>
      <c r="X458" s="83">
        <v>-113549014</v>
      </c>
      <c r="Y458" s="83">
        <v>179977232</v>
      </c>
      <c r="Z458" s="83"/>
      <c r="AA458" s="31"/>
      <c r="AB458" s="132"/>
      <c r="AC458" s="83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/>
      <c r="AY458"/>
      <c r="AZ458" s="83"/>
      <c r="BB458" s="31" t="str">
        <f>BBDD_TERRENO[[#This Row],[Comuna]]&amp;BBDD_TERRENO[[#This Row],[Identificacion Propiedad]]</f>
        <v>ConcepcionA-05</v>
      </c>
    </row>
    <row r="459" spans="1:54" x14ac:dyDescent="0.3">
      <c r="A459" s="31" t="s">
        <v>906</v>
      </c>
      <c r="B459" s="31" t="s">
        <v>383</v>
      </c>
      <c r="C459" s="31" t="s">
        <v>1221</v>
      </c>
      <c r="E459" s="42">
        <v>13977.95</v>
      </c>
      <c r="F459" s="31" t="s">
        <v>1189</v>
      </c>
      <c r="G459" s="32"/>
      <c r="H459" s="31"/>
      <c r="I459" s="83"/>
      <c r="J459" s="83"/>
      <c r="K459" s="83"/>
      <c r="L459" s="83"/>
      <c r="M459" s="83"/>
      <c r="N459" s="83"/>
      <c r="O459" s="83"/>
      <c r="P459" s="31"/>
      <c r="Q459" s="31"/>
      <c r="R459" s="31"/>
      <c r="S459" s="31"/>
      <c r="T459" s="31"/>
      <c r="U459" s="35"/>
      <c r="V459" s="134"/>
      <c r="W459" s="85">
        <v>-1858584810</v>
      </c>
      <c r="X459" s="83">
        <v>-1493150672</v>
      </c>
      <c r="Y459" s="83">
        <v>-365434138</v>
      </c>
      <c r="Z459" s="83"/>
      <c r="AA459" s="31"/>
      <c r="AB459" s="132"/>
      <c r="AC459" s="83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/>
      <c r="AY459"/>
      <c r="AZ459" s="83"/>
      <c r="BB459" s="31" t="str">
        <f>BBDD_TERRENO[[#This Row],[Comuna]]&amp;BBDD_TERRENO[[#This Row],[Identificacion Propiedad]]</f>
        <v>ConcepcionA-06</v>
      </c>
    </row>
    <row r="460" spans="1:54" x14ac:dyDescent="0.3">
      <c r="A460" s="31" t="s">
        <v>906</v>
      </c>
      <c r="B460" s="31" t="s">
        <v>383</v>
      </c>
      <c r="C460" s="31" t="s">
        <v>1222</v>
      </c>
      <c r="E460" s="42">
        <v>14504.81</v>
      </c>
      <c r="F460" s="31" t="s">
        <v>1189</v>
      </c>
      <c r="G460" s="32"/>
      <c r="H460" s="31"/>
      <c r="I460" s="83"/>
      <c r="J460" s="83"/>
      <c r="K460" s="83"/>
      <c r="L460" s="83"/>
      <c r="M460" s="83"/>
      <c r="N460" s="83"/>
      <c r="O460" s="83"/>
      <c r="P460" s="31"/>
      <c r="Q460" s="31"/>
      <c r="R460" s="31"/>
      <c r="S460" s="31"/>
      <c r="T460" s="31"/>
      <c r="U460" s="35"/>
      <c r="V460" s="134"/>
      <c r="W460" s="85">
        <v>33366555</v>
      </c>
      <c r="X460" s="83">
        <v>33366555</v>
      </c>
      <c r="Y460" s="83">
        <v>0</v>
      </c>
      <c r="Z460" s="83"/>
      <c r="AA460" s="31"/>
      <c r="AB460" s="132"/>
      <c r="AC460" s="83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/>
      <c r="AY460"/>
      <c r="AZ460" s="83"/>
      <c r="BB460" s="31" t="str">
        <f>BBDD_TERRENO[[#This Row],[Comuna]]&amp;BBDD_TERRENO[[#This Row],[Identificacion Propiedad]]</f>
        <v>ConcepcionA-07</v>
      </c>
    </row>
    <row r="461" spans="1:54" x14ac:dyDescent="0.3">
      <c r="A461" s="31" t="s">
        <v>906</v>
      </c>
      <c r="B461" s="31" t="s">
        <v>383</v>
      </c>
      <c r="C461" s="31" t="s">
        <v>1223</v>
      </c>
      <c r="E461" s="42">
        <v>51704.22</v>
      </c>
      <c r="F461" s="31" t="s">
        <v>1189</v>
      </c>
      <c r="G461" s="32"/>
      <c r="H461" s="31"/>
      <c r="I461" s="83"/>
      <c r="J461" s="83"/>
      <c r="K461" s="83"/>
      <c r="L461" s="83"/>
      <c r="M461" s="83"/>
      <c r="N461" s="83"/>
      <c r="O461" s="83"/>
      <c r="P461" s="31"/>
      <c r="Q461" s="31"/>
      <c r="R461" s="31"/>
      <c r="S461" s="31"/>
      <c r="T461" s="31"/>
      <c r="U461" s="35"/>
      <c r="V461" s="134"/>
      <c r="W461" s="85">
        <v>7357276</v>
      </c>
      <c r="X461" s="83">
        <v>7357276</v>
      </c>
      <c r="Y461" s="83">
        <v>0</v>
      </c>
      <c r="Z461" s="83"/>
      <c r="AA461" s="31"/>
      <c r="AB461" s="132"/>
      <c r="AC461" s="83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/>
      <c r="AY461"/>
      <c r="AZ461" s="83"/>
      <c r="BB461" s="31" t="str">
        <f>BBDD_TERRENO[[#This Row],[Comuna]]&amp;BBDD_TERRENO[[#This Row],[Identificacion Propiedad]]</f>
        <v>ConcepcionA-08</v>
      </c>
    </row>
    <row r="462" spans="1:54" x14ac:dyDescent="0.3">
      <c r="A462" s="31" t="s">
        <v>906</v>
      </c>
      <c r="B462" s="31" t="s">
        <v>383</v>
      </c>
      <c r="C462" s="31" t="s">
        <v>1224</v>
      </c>
      <c r="E462" s="42">
        <v>22346.32</v>
      </c>
      <c r="F462" s="31" t="s">
        <v>1189</v>
      </c>
      <c r="G462" s="32"/>
      <c r="H462" s="31"/>
      <c r="I462" s="83"/>
      <c r="J462" s="83"/>
      <c r="K462" s="83"/>
      <c r="L462" s="83"/>
      <c r="M462" s="83"/>
      <c r="N462" s="83"/>
      <c r="O462" s="83"/>
      <c r="P462" s="31"/>
      <c r="Q462" s="31"/>
      <c r="R462" s="31"/>
      <c r="S462" s="31"/>
      <c r="T462" s="31"/>
      <c r="U462" s="35"/>
      <c r="V462" s="134"/>
      <c r="W462" s="85">
        <v>2560246</v>
      </c>
      <c r="X462" s="83">
        <v>2348956</v>
      </c>
      <c r="Y462" s="83">
        <v>211290</v>
      </c>
      <c r="Z462" s="83"/>
      <c r="AA462" s="31"/>
      <c r="AB462" s="132"/>
      <c r="AC462" s="83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/>
      <c r="AY462"/>
      <c r="AZ462" s="83"/>
      <c r="BB462" s="31" t="str">
        <f>BBDD_TERRENO[[#This Row],[Comuna]]&amp;BBDD_TERRENO[[#This Row],[Identificacion Propiedad]]</f>
        <v>ConcepcionA-09</v>
      </c>
    </row>
    <row r="463" spans="1:54" x14ac:dyDescent="0.3">
      <c r="A463" s="31" t="s">
        <v>906</v>
      </c>
      <c r="B463" s="31" t="s">
        <v>383</v>
      </c>
      <c r="C463" s="31" t="s">
        <v>1225</v>
      </c>
      <c r="E463" s="42">
        <v>21178.02</v>
      </c>
      <c r="F463" s="31" t="s">
        <v>1189</v>
      </c>
      <c r="G463" s="32"/>
      <c r="H463" s="31"/>
      <c r="I463" s="83"/>
      <c r="J463" s="83"/>
      <c r="K463" s="83"/>
      <c r="L463" s="83"/>
      <c r="M463" s="83"/>
      <c r="N463" s="83"/>
      <c r="O463" s="83"/>
      <c r="P463" s="31"/>
      <c r="Q463" s="31"/>
      <c r="R463" s="31"/>
      <c r="S463" s="31"/>
      <c r="T463" s="31"/>
      <c r="U463" s="35"/>
      <c r="V463" s="134"/>
      <c r="W463" s="85">
        <v>2641043</v>
      </c>
      <c r="X463" s="83">
        <v>2334456</v>
      </c>
      <c r="Y463" s="83">
        <v>306587</v>
      </c>
      <c r="Z463" s="83"/>
      <c r="AA463" s="31"/>
      <c r="AB463" s="132"/>
      <c r="AC463" s="83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/>
      <c r="AY463"/>
      <c r="AZ463" s="83"/>
      <c r="BB463" s="31" t="str">
        <f>BBDD_TERRENO[[#This Row],[Comuna]]&amp;BBDD_TERRENO[[#This Row],[Identificacion Propiedad]]</f>
        <v>ConcepcionA-10</v>
      </c>
    </row>
    <row r="464" spans="1:54" x14ac:dyDescent="0.3">
      <c r="A464" s="31" t="s">
        <v>906</v>
      </c>
      <c r="B464" s="31" t="s">
        <v>383</v>
      </c>
      <c r="C464" s="31" t="s">
        <v>1226</v>
      </c>
      <c r="E464" s="42">
        <v>19579.12</v>
      </c>
      <c r="F464" s="31" t="s">
        <v>1189</v>
      </c>
      <c r="G464" s="32"/>
      <c r="H464" s="31"/>
      <c r="I464" s="83"/>
      <c r="J464" s="83"/>
      <c r="K464" s="83"/>
      <c r="L464" s="83"/>
      <c r="M464" s="83"/>
      <c r="N464" s="83"/>
      <c r="O464" s="83"/>
      <c r="P464" s="31"/>
      <c r="Q464" s="31"/>
      <c r="R464" s="31"/>
      <c r="S464" s="31"/>
      <c r="T464" s="31"/>
      <c r="U464" s="35"/>
      <c r="V464" s="134"/>
      <c r="W464" s="85">
        <v>7224068</v>
      </c>
      <c r="X464" s="83">
        <v>7224068</v>
      </c>
      <c r="Y464" s="83">
        <v>0</v>
      </c>
      <c r="Z464" s="83"/>
      <c r="AA464" s="31"/>
      <c r="AB464" s="132"/>
      <c r="AC464" s="83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/>
      <c r="AY464"/>
      <c r="AZ464" s="83"/>
      <c r="BB464" s="31" t="str">
        <f>BBDD_TERRENO[[#This Row],[Comuna]]&amp;BBDD_TERRENO[[#This Row],[Identificacion Propiedad]]</f>
        <v>ConcepcionA-11</v>
      </c>
    </row>
    <row r="465" spans="1:54" x14ac:dyDescent="0.3">
      <c r="A465" s="31" t="s">
        <v>906</v>
      </c>
      <c r="B465" s="31" t="s">
        <v>383</v>
      </c>
      <c r="C465" s="31" t="s">
        <v>1227</v>
      </c>
      <c r="E465" s="42">
        <v>20352.68</v>
      </c>
      <c r="F465" s="31" t="s">
        <v>1189</v>
      </c>
      <c r="G465" s="32"/>
      <c r="H465" s="31"/>
      <c r="I465" s="83"/>
      <c r="J465" s="83"/>
      <c r="K465" s="83"/>
      <c r="L465" s="83"/>
      <c r="M465" s="83"/>
      <c r="N465" s="83"/>
      <c r="O465" s="83"/>
      <c r="P465" s="31"/>
      <c r="Q465" s="31"/>
      <c r="R465" s="31"/>
      <c r="S465" s="31"/>
      <c r="T465" s="31"/>
      <c r="U465" s="35"/>
      <c r="V465" s="134"/>
      <c r="W465" s="85">
        <v>27053599</v>
      </c>
      <c r="X465" s="83">
        <v>27053599</v>
      </c>
      <c r="Y465" s="83">
        <v>0</v>
      </c>
      <c r="Z465" s="83"/>
      <c r="AA465" s="31"/>
      <c r="AB465" s="132"/>
      <c r="AC465" s="83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/>
      <c r="AY465"/>
      <c r="AZ465" s="83"/>
      <c r="BB465" s="31" t="str">
        <f>BBDD_TERRENO[[#This Row],[Comuna]]&amp;BBDD_TERRENO[[#This Row],[Identificacion Propiedad]]</f>
        <v>ConcepcionA-12</v>
      </c>
    </row>
    <row r="466" spans="1:54" x14ac:dyDescent="0.3">
      <c r="A466" s="31" t="s">
        <v>906</v>
      </c>
      <c r="B466" s="31" t="s">
        <v>383</v>
      </c>
      <c r="C466" s="31" t="s">
        <v>1228</v>
      </c>
      <c r="E466" s="42">
        <v>14224.92</v>
      </c>
      <c r="F466" s="31" t="s">
        <v>1189</v>
      </c>
      <c r="G466" s="32"/>
      <c r="H466" s="31"/>
      <c r="I466" s="83"/>
      <c r="J466" s="83"/>
      <c r="K466" s="83"/>
      <c r="L466" s="83"/>
      <c r="M466" s="83"/>
      <c r="N466" s="83"/>
      <c r="O466" s="83"/>
      <c r="P466" s="31"/>
      <c r="Q466" s="31"/>
      <c r="R466" s="31"/>
      <c r="S466" s="31"/>
      <c r="T466" s="31"/>
      <c r="U466" s="35"/>
      <c r="V466" s="134"/>
      <c r="W466" s="85">
        <v>11516351</v>
      </c>
      <c r="X466" s="83">
        <v>11516351</v>
      </c>
      <c r="Y466" s="83">
        <v>0</v>
      </c>
      <c r="Z466" s="83"/>
      <c r="AA466" s="31"/>
      <c r="AB466" s="132"/>
      <c r="AC466" s="83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/>
      <c r="AY466"/>
      <c r="AZ466" s="83"/>
      <c r="BB466" s="31" t="str">
        <f>BBDD_TERRENO[[#This Row],[Comuna]]&amp;BBDD_TERRENO[[#This Row],[Identificacion Propiedad]]</f>
        <v>ConcepcionA-13</v>
      </c>
    </row>
    <row r="467" spans="1:54" x14ac:dyDescent="0.3">
      <c r="A467" s="31" t="s">
        <v>906</v>
      </c>
      <c r="B467" s="31" t="s">
        <v>383</v>
      </c>
      <c r="C467" s="31" t="s">
        <v>1229</v>
      </c>
      <c r="E467" s="42">
        <v>16713.89</v>
      </c>
      <c r="F467" s="31" t="s">
        <v>1189</v>
      </c>
      <c r="G467" s="32"/>
      <c r="H467" s="31"/>
      <c r="I467" s="83"/>
      <c r="J467" s="83"/>
      <c r="K467" s="83"/>
      <c r="L467" s="83"/>
      <c r="M467" s="83"/>
      <c r="N467" s="83"/>
      <c r="O467" s="83"/>
      <c r="P467" s="31"/>
      <c r="Q467" s="31"/>
      <c r="R467" s="31"/>
      <c r="S467" s="31"/>
      <c r="T467" s="31"/>
      <c r="U467" s="35"/>
      <c r="V467" s="134"/>
      <c r="W467" s="85">
        <v>0</v>
      </c>
      <c r="X467" s="83">
        <v>0</v>
      </c>
      <c r="Y467" s="83">
        <v>0</v>
      </c>
      <c r="Z467" s="83"/>
      <c r="AA467" s="31"/>
      <c r="AB467" s="132"/>
      <c r="AC467" s="83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/>
      <c r="AY467"/>
      <c r="AZ467" s="83"/>
      <c r="BB467" s="31" t="str">
        <f>BBDD_TERRENO[[#This Row],[Comuna]]&amp;BBDD_TERRENO[[#This Row],[Identificacion Propiedad]]</f>
        <v>ConcepcionA-14</v>
      </c>
    </row>
    <row r="468" spans="1:54" x14ac:dyDescent="0.3">
      <c r="A468" s="31" t="s">
        <v>906</v>
      </c>
      <c r="B468" s="31" t="s">
        <v>383</v>
      </c>
      <c r="C468" s="31" t="s">
        <v>1230</v>
      </c>
      <c r="E468" s="42">
        <v>15874.55</v>
      </c>
      <c r="F468" s="31" t="s">
        <v>1189</v>
      </c>
      <c r="G468" s="32"/>
      <c r="H468" s="31"/>
      <c r="I468" s="83"/>
      <c r="J468" s="83"/>
      <c r="K468" s="83"/>
      <c r="L468" s="83"/>
      <c r="M468" s="83"/>
      <c r="N468" s="83"/>
      <c r="O468" s="83"/>
      <c r="P468" s="31"/>
      <c r="Q468" s="31"/>
      <c r="R468" s="31"/>
      <c r="S468" s="31"/>
      <c r="T468" s="31"/>
      <c r="U468" s="35"/>
      <c r="V468" s="134"/>
      <c r="W468" s="85">
        <v>3122721</v>
      </c>
      <c r="X468" s="83">
        <v>3122721</v>
      </c>
      <c r="Y468" s="83">
        <v>0</v>
      </c>
      <c r="Z468" s="83"/>
      <c r="AA468" s="31"/>
      <c r="AB468" s="132"/>
      <c r="AC468" s="83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/>
      <c r="AY468"/>
      <c r="AZ468" s="83"/>
      <c r="BB468" s="31" t="str">
        <f>BBDD_TERRENO[[#This Row],[Comuna]]&amp;BBDD_TERRENO[[#This Row],[Identificacion Propiedad]]</f>
        <v>ConcepcionA-15</v>
      </c>
    </row>
    <row r="469" spans="1:54" x14ac:dyDescent="0.3">
      <c r="A469" s="31" t="s">
        <v>906</v>
      </c>
      <c r="B469" s="31" t="s">
        <v>383</v>
      </c>
      <c r="C469" s="31" t="s">
        <v>1231</v>
      </c>
      <c r="E469" s="42">
        <v>24987.59</v>
      </c>
      <c r="F469" s="31" t="s">
        <v>1189</v>
      </c>
      <c r="G469" s="32"/>
      <c r="H469" s="31"/>
      <c r="I469" s="83"/>
      <c r="J469" s="83"/>
      <c r="K469" s="83"/>
      <c r="L469" s="83"/>
      <c r="M469" s="83"/>
      <c r="N469" s="83"/>
      <c r="O469" s="83"/>
      <c r="P469" s="31"/>
      <c r="Q469" s="31"/>
      <c r="R469" s="31"/>
      <c r="S469" s="31"/>
      <c r="T469" s="31"/>
      <c r="U469" s="35"/>
      <c r="V469" s="134"/>
      <c r="W469" s="85">
        <v>873767118</v>
      </c>
      <c r="X469" s="83">
        <v>873767118</v>
      </c>
      <c r="Y469" s="83">
        <v>0</v>
      </c>
      <c r="Z469" s="83"/>
      <c r="AA469" s="31"/>
      <c r="AB469" s="132"/>
      <c r="AC469" s="83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/>
      <c r="AY469"/>
      <c r="AZ469" s="83"/>
      <c r="BB469" s="31" t="str">
        <f>BBDD_TERRENO[[#This Row],[Comuna]]&amp;BBDD_TERRENO[[#This Row],[Identificacion Propiedad]]</f>
        <v>ConcepcionA-16</v>
      </c>
    </row>
    <row r="470" spans="1:54" x14ac:dyDescent="0.3">
      <c r="A470" s="31" t="s">
        <v>906</v>
      </c>
      <c r="B470" s="31" t="s">
        <v>383</v>
      </c>
      <c r="C470" s="31" t="s">
        <v>1232</v>
      </c>
      <c r="E470" s="42">
        <v>20823.98</v>
      </c>
      <c r="F470" s="31" t="s">
        <v>1189</v>
      </c>
      <c r="G470" s="32"/>
      <c r="H470" s="31"/>
      <c r="I470" s="83"/>
      <c r="J470" s="83"/>
      <c r="K470" s="83"/>
      <c r="L470" s="83"/>
      <c r="M470" s="83"/>
      <c r="N470" s="83"/>
      <c r="O470" s="83"/>
      <c r="P470" s="31"/>
      <c r="Q470" s="31"/>
      <c r="R470" s="31"/>
      <c r="S470" s="31"/>
      <c r="T470" s="31"/>
      <c r="U470" s="35"/>
      <c r="V470" s="134"/>
      <c r="W470" s="85">
        <v>-169932667</v>
      </c>
      <c r="X470" s="83">
        <v>-169932667</v>
      </c>
      <c r="Y470" s="83">
        <v>0</v>
      </c>
      <c r="Z470" s="83"/>
      <c r="AA470" s="31"/>
      <c r="AB470" s="132"/>
      <c r="AC470" s="83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/>
      <c r="AY470"/>
      <c r="AZ470" s="83"/>
      <c r="BB470" s="31" t="str">
        <f>BBDD_TERRENO[[#This Row],[Comuna]]&amp;BBDD_TERRENO[[#This Row],[Identificacion Propiedad]]</f>
        <v>ConcepcionA-17</v>
      </c>
    </row>
    <row r="471" spans="1:54" x14ac:dyDescent="0.3">
      <c r="A471" s="31" t="s">
        <v>906</v>
      </c>
      <c r="B471" s="31" t="s">
        <v>383</v>
      </c>
      <c r="C471" s="31" t="s">
        <v>1233</v>
      </c>
      <c r="E471" s="42">
        <v>19459.61</v>
      </c>
      <c r="F471" s="31" t="s">
        <v>1189</v>
      </c>
      <c r="G471" s="32"/>
      <c r="H471" s="31"/>
      <c r="I471" s="83"/>
      <c r="J471" s="83"/>
      <c r="K471" s="83"/>
      <c r="L471" s="83"/>
      <c r="M471" s="83"/>
      <c r="N471" s="83"/>
      <c r="O471" s="83"/>
      <c r="P471" s="31"/>
      <c r="Q471" s="31"/>
      <c r="R471" s="31"/>
      <c r="S471" s="31"/>
      <c r="T471" s="31"/>
      <c r="U471" s="35"/>
      <c r="V471" s="134"/>
      <c r="W471" s="85">
        <v>44727300</v>
      </c>
      <c r="X471" s="83">
        <v>0</v>
      </c>
      <c r="Y471" s="83">
        <v>44727300</v>
      </c>
      <c r="Z471" s="83"/>
      <c r="AA471" s="31"/>
      <c r="AB471" s="132"/>
      <c r="AC471" s="83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/>
      <c r="AY471"/>
      <c r="AZ471" s="83"/>
      <c r="BB471" s="31" t="str">
        <f>BBDD_TERRENO[[#This Row],[Comuna]]&amp;BBDD_TERRENO[[#This Row],[Identificacion Propiedad]]</f>
        <v>ConcepcionA-18</v>
      </c>
    </row>
    <row r="472" spans="1:54" x14ac:dyDescent="0.3">
      <c r="A472" s="31" t="s">
        <v>906</v>
      </c>
      <c r="B472" s="31" t="s">
        <v>383</v>
      </c>
      <c r="C472" s="31" t="s">
        <v>1234</v>
      </c>
      <c r="E472" s="42">
        <v>30221.06</v>
      </c>
      <c r="F472" s="31" t="s">
        <v>1189</v>
      </c>
      <c r="G472" s="32"/>
      <c r="H472" s="31"/>
      <c r="I472" s="83"/>
      <c r="J472" s="83"/>
      <c r="K472" s="83"/>
      <c r="L472" s="83"/>
      <c r="M472" s="83"/>
      <c r="N472" s="83"/>
      <c r="O472" s="83"/>
      <c r="P472" s="31"/>
      <c r="Q472" s="31"/>
      <c r="R472" s="31"/>
      <c r="S472" s="31"/>
      <c r="T472" s="31"/>
      <c r="U472" s="35"/>
      <c r="V472" s="134"/>
      <c r="W472" s="85">
        <v>1044267</v>
      </c>
      <c r="X472" s="83">
        <v>1044267</v>
      </c>
      <c r="Y472" s="83">
        <v>0</v>
      </c>
      <c r="Z472" s="83"/>
      <c r="AA472" s="31"/>
      <c r="AB472" s="132"/>
      <c r="AC472" s="83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/>
      <c r="AY472"/>
      <c r="AZ472" s="83"/>
      <c r="BB472" s="31" t="str">
        <f>BBDD_TERRENO[[#This Row],[Comuna]]&amp;BBDD_TERRENO[[#This Row],[Identificacion Propiedad]]</f>
        <v>ConcepcionA-19</v>
      </c>
    </row>
    <row r="473" spans="1:54" x14ac:dyDescent="0.3">
      <c r="A473" s="31" t="s">
        <v>906</v>
      </c>
      <c r="B473" s="31" t="s">
        <v>383</v>
      </c>
      <c r="C473" s="31" t="s">
        <v>1235</v>
      </c>
      <c r="E473" s="42">
        <v>33701.25</v>
      </c>
      <c r="F473" s="31" t="s">
        <v>1189</v>
      </c>
      <c r="G473" s="32"/>
      <c r="H473" s="31"/>
      <c r="I473" s="83"/>
      <c r="J473" s="83"/>
      <c r="K473" s="83"/>
      <c r="L473" s="83"/>
      <c r="M473" s="83"/>
      <c r="N473" s="83"/>
      <c r="O473" s="83"/>
      <c r="P473" s="31"/>
      <c r="Q473" s="31"/>
      <c r="R473" s="31"/>
      <c r="S473" s="31"/>
      <c r="T473" s="31"/>
      <c r="U473" s="35"/>
      <c r="V473" s="134"/>
      <c r="W473" s="85">
        <v>1048279</v>
      </c>
      <c r="X473" s="83">
        <v>1048279</v>
      </c>
      <c r="Y473" s="83">
        <v>0</v>
      </c>
      <c r="Z473" s="83"/>
      <c r="AA473" s="31"/>
      <c r="AB473" s="132"/>
      <c r="AC473" s="83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/>
      <c r="AY473"/>
      <c r="AZ473" s="83"/>
      <c r="BB473" s="31" t="str">
        <f>BBDD_TERRENO[[#This Row],[Comuna]]&amp;BBDD_TERRENO[[#This Row],[Identificacion Propiedad]]</f>
        <v>ConcepcionA-20</v>
      </c>
    </row>
    <row r="474" spans="1:54" x14ac:dyDescent="0.3">
      <c r="A474" s="31" t="s">
        <v>906</v>
      </c>
      <c r="B474" s="31" t="s">
        <v>383</v>
      </c>
      <c r="C474" s="31" t="s">
        <v>1236</v>
      </c>
      <c r="E474" s="42">
        <v>34121.15</v>
      </c>
      <c r="F474" s="31" t="s">
        <v>1189</v>
      </c>
      <c r="G474" s="32"/>
      <c r="H474" s="31"/>
      <c r="I474" s="83"/>
      <c r="J474" s="83"/>
      <c r="K474" s="83"/>
      <c r="L474" s="83"/>
      <c r="M474" s="83"/>
      <c r="N474" s="83"/>
      <c r="O474" s="83"/>
      <c r="P474" s="31"/>
      <c r="Q474" s="31"/>
      <c r="R474" s="31"/>
      <c r="S474" s="31"/>
      <c r="T474" s="31"/>
      <c r="U474" s="35"/>
      <c r="V474" s="134"/>
      <c r="W474" s="85">
        <v>1053024</v>
      </c>
      <c r="X474" s="83">
        <v>1053024</v>
      </c>
      <c r="Y474" s="83">
        <v>0</v>
      </c>
      <c r="Z474" s="83"/>
      <c r="AA474" s="31"/>
      <c r="AB474" s="132"/>
      <c r="AC474" s="83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/>
      <c r="AY474"/>
      <c r="AZ474" s="83"/>
      <c r="BB474" s="31" t="str">
        <f>BBDD_TERRENO[[#This Row],[Comuna]]&amp;BBDD_TERRENO[[#This Row],[Identificacion Propiedad]]</f>
        <v>ConcepcionA-21</v>
      </c>
    </row>
    <row r="475" spans="1:54" x14ac:dyDescent="0.3">
      <c r="A475" s="31" t="s">
        <v>906</v>
      </c>
      <c r="B475" s="31" t="s">
        <v>383</v>
      </c>
      <c r="C475" s="31" t="s">
        <v>1237</v>
      </c>
      <c r="E475" s="42">
        <v>23972.31</v>
      </c>
      <c r="F475" s="31" t="s">
        <v>1189</v>
      </c>
      <c r="G475" s="32"/>
      <c r="H475" s="31"/>
      <c r="I475" s="83"/>
      <c r="J475" s="83"/>
      <c r="K475" s="83"/>
      <c r="L475" s="83"/>
      <c r="M475" s="83"/>
      <c r="N475" s="83"/>
      <c r="O475" s="83"/>
      <c r="P475" s="31"/>
      <c r="Q475" s="31"/>
      <c r="R475" s="31"/>
      <c r="S475" s="31"/>
      <c r="T475" s="31"/>
      <c r="U475" s="35"/>
      <c r="V475" s="134"/>
      <c r="W475" s="85">
        <v>1055762</v>
      </c>
      <c r="X475" s="83">
        <v>1055762</v>
      </c>
      <c r="Y475" s="83">
        <v>0</v>
      </c>
      <c r="Z475" s="83"/>
      <c r="AA475" s="31"/>
      <c r="AB475" s="132"/>
      <c r="AC475" s="83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/>
      <c r="AY475"/>
      <c r="AZ475" s="83"/>
      <c r="BB475" s="31" t="str">
        <f>BBDD_TERRENO[[#This Row],[Comuna]]&amp;BBDD_TERRENO[[#This Row],[Identificacion Propiedad]]</f>
        <v>ConcepcionA-22</v>
      </c>
    </row>
    <row r="476" spans="1:54" x14ac:dyDescent="0.3">
      <c r="A476" s="31" t="s">
        <v>906</v>
      </c>
      <c r="B476" s="31" t="s">
        <v>383</v>
      </c>
      <c r="C476" s="31" t="s">
        <v>1238</v>
      </c>
      <c r="E476" s="42">
        <v>14612.98</v>
      </c>
      <c r="F476" s="31" t="s">
        <v>1189</v>
      </c>
      <c r="G476" s="32"/>
      <c r="H476" s="31"/>
      <c r="I476" s="83"/>
      <c r="J476" s="83"/>
      <c r="K476" s="83"/>
      <c r="L476" s="83"/>
      <c r="M476" s="83"/>
      <c r="N476" s="83"/>
      <c r="O476" s="83"/>
      <c r="P476" s="31"/>
      <c r="Q476" s="31"/>
      <c r="R476" s="31"/>
      <c r="S476" s="31"/>
      <c r="T476" s="31"/>
      <c r="U476" s="35"/>
      <c r="V476" s="134"/>
      <c r="W476" s="85">
        <v>1055031</v>
      </c>
      <c r="X476" s="83">
        <v>1055031</v>
      </c>
      <c r="Y476" s="83">
        <v>0</v>
      </c>
      <c r="Z476" s="83"/>
      <c r="AA476" s="31"/>
      <c r="AB476" s="132"/>
      <c r="AC476" s="83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/>
      <c r="AY476"/>
      <c r="AZ476" s="83"/>
      <c r="BB476" s="31" t="str">
        <f>BBDD_TERRENO[[#This Row],[Comuna]]&amp;BBDD_TERRENO[[#This Row],[Identificacion Propiedad]]</f>
        <v>ConcepcionA-23</v>
      </c>
    </row>
    <row r="477" spans="1:54" x14ac:dyDescent="0.3">
      <c r="A477" s="31" t="s">
        <v>906</v>
      </c>
      <c r="B477" s="31" t="s">
        <v>383</v>
      </c>
      <c r="C477" s="31" t="s">
        <v>1239</v>
      </c>
      <c r="E477" s="42">
        <v>293333.76000000001</v>
      </c>
      <c r="F477" s="31" t="s">
        <v>1189</v>
      </c>
      <c r="G477" s="32"/>
      <c r="H477" s="31"/>
      <c r="I477" s="83"/>
      <c r="J477" s="83"/>
      <c r="K477" s="83"/>
      <c r="L477" s="83"/>
      <c r="M477" s="83"/>
      <c r="N477" s="83"/>
      <c r="O477" s="83"/>
      <c r="P477" s="31"/>
      <c r="Q477" s="31"/>
      <c r="R477" s="31"/>
      <c r="S477" s="31"/>
      <c r="T477" s="31"/>
      <c r="U477" s="35"/>
      <c r="V477" s="134"/>
      <c r="W477" s="85">
        <v>1057036</v>
      </c>
      <c r="X477" s="83">
        <v>1057036</v>
      </c>
      <c r="Y477" s="83">
        <v>0</v>
      </c>
      <c r="Z477" s="83"/>
      <c r="AA477" s="31"/>
      <c r="AB477" s="132"/>
      <c r="AC477" s="83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/>
      <c r="AY477"/>
      <c r="AZ477" s="83"/>
      <c r="BB477" s="31" t="str">
        <f>BBDD_TERRENO[[#This Row],[Comuna]]&amp;BBDD_TERRENO[[#This Row],[Identificacion Propiedad]]</f>
        <v>ConcepcionA-24</v>
      </c>
    </row>
    <row r="478" spans="1:54" x14ac:dyDescent="0.3">
      <c r="A478" s="31" t="s">
        <v>906</v>
      </c>
      <c r="B478" s="31" t="s">
        <v>383</v>
      </c>
      <c r="C478" s="31" t="s">
        <v>1240</v>
      </c>
      <c r="E478" s="42">
        <v>1673.05</v>
      </c>
      <c r="F478" s="31" t="s">
        <v>1189</v>
      </c>
      <c r="G478" s="32"/>
      <c r="H478" s="31"/>
      <c r="I478" s="83"/>
      <c r="J478" s="83"/>
      <c r="K478" s="83"/>
      <c r="L478" s="83"/>
      <c r="M478" s="83"/>
      <c r="N478" s="83"/>
      <c r="O478" s="83"/>
      <c r="P478" s="31"/>
      <c r="Q478" s="31"/>
      <c r="R478" s="31"/>
      <c r="S478" s="31"/>
      <c r="T478" s="31"/>
      <c r="U478" s="35"/>
      <c r="V478" s="134"/>
      <c r="W478" s="85">
        <v>1057673</v>
      </c>
      <c r="X478" s="83">
        <v>1057673</v>
      </c>
      <c r="Y478" s="83">
        <v>0</v>
      </c>
      <c r="Z478" s="83"/>
      <c r="AA478" s="31"/>
      <c r="AB478" s="132"/>
      <c r="AC478" s="83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/>
      <c r="AY478"/>
      <c r="AZ478" s="83"/>
      <c r="BB478" s="31" t="str">
        <f>BBDD_TERRENO[[#This Row],[Comuna]]&amp;BBDD_TERRENO[[#This Row],[Identificacion Propiedad]]</f>
        <v>ConcepcionB-01</v>
      </c>
    </row>
    <row r="479" spans="1:54" x14ac:dyDescent="0.3">
      <c r="A479" s="31" t="s">
        <v>906</v>
      </c>
      <c r="B479" s="31" t="s">
        <v>383</v>
      </c>
      <c r="C479" s="31" t="s">
        <v>1241</v>
      </c>
      <c r="E479" s="42">
        <v>14049.62</v>
      </c>
      <c r="F479" s="31" t="s">
        <v>1189</v>
      </c>
      <c r="G479" s="32"/>
      <c r="H479" s="31"/>
      <c r="I479" s="83"/>
      <c r="J479" s="83"/>
      <c r="K479" s="83"/>
      <c r="L479" s="83"/>
      <c r="M479" s="83"/>
      <c r="N479" s="83"/>
      <c r="O479" s="83"/>
      <c r="P479" s="31"/>
      <c r="Q479" s="31"/>
      <c r="R479" s="31"/>
      <c r="S479" s="31"/>
      <c r="T479" s="31"/>
      <c r="U479" s="35"/>
      <c r="V479" s="134"/>
      <c r="W479" s="85">
        <v>1059043</v>
      </c>
      <c r="X479" s="83">
        <v>1059043</v>
      </c>
      <c r="Y479" s="83">
        <v>0</v>
      </c>
      <c r="Z479" s="83"/>
      <c r="AA479" s="31"/>
      <c r="AB479" s="132"/>
      <c r="AC479" s="83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/>
      <c r="AY479"/>
      <c r="AZ479" s="83"/>
      <c r="BB479" s="31" t="str">
        <f>BBDD_TERRENO[[#This Row],[Comuna]]&amp;BBDD_TERRENO[[#This Row],[Identificacion Propiedad]]</f>
        <v>ConcepcionB-02</v>
      </c>
    </row>
    <row r="480" spans="1:54" x14ac:dyDescent="0.3">
      <c r="A480" s="31" t="s">
        <v>906</v>
      </c>
      <c r="B480" s="31" t="s">
        <v>383</v>
      </c>
      <c r="C480" s="31" t="s">
        <v>1242</v>
      </c>
      <c r="E480" s="42">
        <v>10609.73</v>
      </c>
      <c r="F480" s="31" t="s">
        <v>1189</v>
      </c>
      <c r="G480" s="32"/>
      <c r="H480" s="31"/>
      <c r="I480" s="83"/>
      <c r="J480" s="83"/>
      <c r="K480" s="83"/>
      <c r="L480" s="83"/>
      <c r="M480" s="83"/>
      <c r="N480" s="83"/>
      <c r="O480" s="83"/>
      <c r="P480" s="31"/>
      <c r="Q480" s="31"/>
      <c r="R480" s="31"/>
      <c r="S480" s="31"/>
      <c r="T480" s="31"/>
      <c r="U480" s="35"/>
      <c r="V480" s="134"/>
      <c r="W480" s="85">
        <v>1059680</v>
      </c>
      <c r="X480" s="83">
        <v>1059680</v>
      </c>
      <c r="Y480" s="83">
        <v>0</v>
      </c>
      <c r="Z480" s="83"/>
      <c r="AA480" s="31"/>
      <c r="AB480" s="132"/>
      <c r="AC480" s="83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/>
      <c r="AY480"/>
      <c r="AZ480" s="83"/>
      <c r="BB480" s="31" t="str">
        <f>BBDD_TERRENO[[#This Row],[Comuna]]&amp;BBDD_TERRENO[[#This Row],[Identificacion Propiedad]]</f>
        <v>ConcepcionB-03</v>
      </c>
    </row>
    <row r="481" spans="1:54" x14ac:dyDescent="0.3">
      <c r="A481" s="31" t="s">
        <v>906</v>
      </c>
      <c r="B481" s="31" t="s">
        <v>383</v>
      </c>
      <c r="C481" s="31" t="s">
        <v>1243</v>
      </c>
      <c r="E481" s="42">
        <v>13342.24</v>
      </c>
      <c r="F481" s="31" t="s">
        <v>1189</v>
      </c>
      <c r="G481" s="32"/>
      <c r="H481" s="31"/>
      <c r="I481" s="83"/>
      <c r="J481" s="83"/>
      <c r="K481" s="83"/>
      <c r="L481" s="83"/>
      <c r="M481" s="83"/>
      <c r="N481" s="83"/>
      <c r="O481" s="83"/>
      <c r="P481" s="31"/>
      <c r="Q481" s="31"/>
      <c r="R481" s="31"/>
      <c r="S481" s="31"/>
      <c r="T481" s="31"/>
      <c r="U481" s="35"/>
      <c r="V481" s="134"/>
      <c r="W481" s="85">
        <v>1062418</v>
      </c>
      <c r="X481" s="83">
        <v>1062418</v>
      </c>
      <c r="Y481" s="83">
        <v>0</v>
      </c>
      <c r="Z481" s="83"/>
      <c r="AA481" s="31"/>
      <c r="AB481" s="132"/>
      <c r="AC481" s="83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/>
      <c r="AY481"/>
      <c r="AZ481" s="83"/>
      <c r="BB481" s="31" t="str">
        <f>BBDD_TERRENO[[#This Row],[Comuna]]&amp;BBDD_TERRENO[[#This Row],[Identificacion Propiedad]]</f>
        <v>ConcepcionB-04</v>
      </c>
    </row>
    <row r="482" spans="1:54" x14ac:dyDescent="0.3">
      <c r="A482" s="31" t="s">
        <v>906</v>
      </c>
      <c r="B482" s="31" t="s">
        <v>383</v>
      </c>
      <c r="C482" s="31" t="s">
        <v>1244</v>
      </c>
      <c r="E482" s="42">
        <v>19501.38</v>
      </c>
      <c r="F482" s="31" t="s">
        <v>1189</v>
      </c>
      <c r="G482" s="32"/>
      <c r="H482" s="31"/>
      <c r="I482" s="83"/>
      <c r="J482" s="83"/>
      <c r="K482" s="83"/>
      <c r="L482" s="83"/>
      <c r="M482" s="83"/>
      <c r="N482" s="83"/>
      <c r="O482" s="83"/>
      <c r="P482" s="31"/>
      <c r="Q482" s="31"/>
      <c r="R482" s="31"/>
      <c r="S482" s="31"/>
      <c r="T482" s="31"/>
      <c r="U482" s="35"/>
      <c r="V482" s="134"/>
      <c r="W482" s="85">
        <v>1064425</v>
      </c>
      <c r="X482" s="83">
        <v>1064425</v>
      </c>
      <c r="Y482" s="83">
        <v>0</v>
      </c>
      <c r="Z482" s="83"/>
      <c r="AA482" s="31"/>
      <c r="AB482" s="132"/>
      <c r="AC482" s="83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/>
      <c r="AY482"/>
      <c r="AZ482" s="83"/>
      <c r="BB482" s="31" t="str">
        <f>BBDD_TERRENO[[#This Row],[Comuna]]&amp;BBDD_TERRENO[[#This Row],[Identificacion Propiedad]]</f>
        <v>ConcepcionB-05</v>
      </c>
    </row>
    <row r="483" spans="1:54" x14ac:dyDescent="0.3">
      <c r="A483" s="31" t="s">
        <v>906</v>
      </c>
      <c r="B483" s="31" t="s">
        <v>383</v>
      </c>
      <c r="C483" s="31" t="s">
        <v>1245</v>
      </c>
      <c r="E483" s="42">
        <v>17482.689999999999</v>
      </c>
      <c r="F483" s="31" t="s">
        <v>1189</v>
      </c>
      <c r="G483" s="32"/>
      <c r="H483" s="31"/>
      <c r="I483" s="83"/>
      <c r="J483" s="83"/>
      <c r="K483" s="83"/>
      <c r="L483" s="83"/>
      <c r="M483" s="83"/>
      <c r="N483" s="83"/>
      <c r="O483" s="83"/>
      <c r="P483" s="31"/>
      <c r="Q483" s="31"/>
      <c r="R483" s="31"/>
      <c r="S483" s="31"/>
      <c r="T483" s="31"/>
      <c r="U483" s="35"/>
      <c r="V483" s="134"/>
      <c r="W483" s="85">
        <v>1065062</v>
      </c>
      <c r="X483" s="83">
        <v>1065062</v>
      </c>
      <c r="Y483" s="83">
        <v>0</v>
      </c>
      <c r="Z483" s="83"/>
      <c r="AA483" s="31"/>
      <c r="AB483" s="132"/>
      <c r="AC483" s="83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/>
      <c r="AY483"/>
      <c r="AZ483" s="83"/>
      <c r="BB483" s="31" t="str">
        <f>BBDD_TERRENO[[#This Row],[Comuna]]&amp;BBDD_TERRENO[[#This Row],[Identificacion Propiedad]]</f>
        <v>ConcepcionB-06</v>
      </c>
    </row>
    <row r="484" spans="1:54" x14ac:dyDescent="0.3">
      <c r="A484" s="31" t="s">
        <v>906</v>
      </c>
      <c r="B484" s="31" t="s">
        <v>383</v>
      </c>
      <c r="C484" s="31" t="s">
        <v>1246</v>
      </c>
      <c r="E484" s="42">
        <v>62371.38</v>
      </c>
      <c r="F484" s="31" t="s">
        <v>1189</v>
      </c>
      <c r="G484" s="32"/>
      <c r="H484" s="31"/>
      <c r="I484" s="83"/>
      <c r="J484" s="83"/>
      <c r="K484" s="83"/>
      <c r="L484" s="83"/>
      <c r="M484" s="83"/>
      <c r="N484" s="83"/>
      <c r="O484" s="83"/>
      <c r="P484" s="31"/>
      <c r="Q484" s="31"/>
      <c r="R484" s="31"/>
      <c r="S484" s="31"/>
      <c r="T484" s="31"/>
      <c r="U484" s="35"/>
      <c r="V484" s="134"/>
      <c r="W484" s="85">
        <v>1066431</v>
      </c>
      <c r="X484" s="83">
        <v>1066431</v>
      </c>
      <c r="Y484" s="83">
        <v>0</v>
      </c>
      <c r="Z484" s="83"/>
      <c r="AA484" s="31"/>
      <c r="AB484" s="132"/>
      <c r="AC484" s="83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/>
      <c r="AY484"/>
      <c r="AZ484" s="83"/>
      <c r="BB484" s="31" t="str">
        <f>BBDD_TERRENO[[#This Row],[Comuna]]&amp;BBDD_TERRENO[[#This Row],[Identificacion Propiedad]]</f>
        <v>ConcepcionB-07</v>
      </c>
    </row>
    <row r="485" spans="1:54" x14ac:dyDescent="0.3">
      <c r="A485" s="31" t="s">
        <v>906</v>
      </c>
      <c r="B485" s="31" t="s">
        <v>383</v>
      </c>
      <c r="C485" s="31" t="s">
        <v>1247</v>
      </c>
      <c r="E485" s="42">
        <v>18759.27</v>
      </c>
      <c r="F485" s="31" t="s">
        <v>1189</v>
      </c>
      <c r="G485" s="32"/>
      <c r="H485" s="31"/>
      <c r="I485" s="83"/>
      <c r="J485" s="83"/>
      <c r="K485" s="83"/>
      <c r="L485" s="83"/>
      <c r="M485" s="83"/>
      <c r="N485" s="83"/>
      <c r="O485" s="83"/>
      <c r="P485" s="31"/>
      <c r="Q485" s="31"/>
      <c r="R485" s="31"/>
      <c r="S485" s="31"/>
      <c r="T485" s="31"/>
      <c r="U485" s="35"/>
      <c r="V485" s="134"/>
      <c r="W485" s="85">
        <v>1073181</v>
      </c>
      <c r="X485" s="83">
        <v>1073181</v>
      </c>
      <c r="Y485" s="83">
        <v>0</v>
      </c>
      <c r="Z485" s="83"/>
      <c r="AA485" s="31"/>
      <c r="AB485" s="132"/>
      <c r="AC485" s="83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/>
      <c r="AY485"/>
      <c r="AZ485" s="83"/>
      <c r="BB485" s="31" t="str">
        <f>BBDD_TERRENO[[#This Row],[Comuna]]&amp;BBDD_TERRENO[[#This Row],[Identificacion Propiedad]]</f>
        <v>ConcepcionB-08</v>
      </c>
    </row>
    <row r="486" spans="1:54" x14ac:dyDescent="0.3">
      <c r="A486" s="31" t="s">
        <v>906</v>
      </c>
      <c r="B486" s="31" t="s">
        <v>383</v>
      </c>
      <c r="C486" s="31" t="s">
        <v>1248</v>
      </c>
      <c r="E486" s="42">
        <v>5761.52</v>
      </c>
      <c r="F486" s="31" t="s">
        <v>1189</v>
      </c>
      <c r="G486" s="32"/>
      <c r="H486" s="31"/>
      <c r="I486" s="83"/>
      <c r="J486" s="83"/>
      <c r="K486" s="83"/>
      <c r="L486" s="83"/>
      <c r="M486" s="83"/>
      <c r="N486" s="83"/>
      <c r="O486" s="83"/>
      <c r="P486" s="31"/>
      <c r="Q486" s="31"/>
      <c r="R486" s="31"/>
      <c r="S486" s="31"/>
      <c r="T486" s="31"/>
      <c r="U486" s="35"/>
      <c r="V486" s="134"/>
      <c r="W486" s="85">
        <v>1072449</v>
      </c>
      <c r="X486" s="83">
        <v>1072449</v>
      </c>
      <c r="Y486" s="83">
        <v>0</v>
      </c>
      <c r="Z486" s="83"/>
      <c r="AA486" s="31"/>
      <c r="AB486" s="132"/>
      <c r="AC486" s="83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/>
      <c r="AY486"/>
      <c r="AZ486" s="83"/>
      <c r="BB486" s="31" t="str">
        <f>BBDD_TERRENO[[#This Row],[Comuna]]&amp;BBDD_TERRENO[[#This Row],[Identificacion Propiedad]]</f>
        <v>ConcepcionB-09</v>
      </c>
    </row>
    <row r="487" spans="1:54" x14ac:dyDescent="0.3">
      <c r="A487" s="31" t="s">
        <v>906</v>
      </c>
      <c r="B487" s="31" t="s">
        <v>383</v>
      </c>
      <c r="C487" s="31" t="s">
        <v>1249</v>
      </c>
      <c r="E487" s="42">
        <v>19057.509999999998</v>
      </c>
      <c r="F487" s="31" t="s">
        <v>1189</v>
      </c>
      <c r="G487" s="32"/>
      <c r="H487" s="31"/>
      <c r="I487" s="83"/>
      <c r="J487" s="83"/>
      <c r="K487" s="83"/>
      <c r="L487" s="83"/>
      <c r="M487" s="83"/>
      <c r="N487" s="83"/>
      <c r="O487" s="83"/>
      <c r="P487" s="31"/>
      <c r="Q487" s="31"/>
      <c r="R487" s="31"/>
      <c r="S487" s="31"/>
      <c r="T487" s="31"/>
      <c r="U487" s="35"/>
      <c r="V487" s="134"/>
      <c r="W487" s="85">
        <v>2421156</v>
      </c>
      <c r="X487" s="83">
        <v>553841</v>
      </c>
      <c r="Y487" s="83">
        <v>1867315</v>
      </c>
      <c r="Z487" s="83"/>
      <c r="AA487" s="31"/>
      <c r="AB487" s="132"/>
      <c r="AC487" s="83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/>
      <c r="AY487"/>
      <c r="AZ487" s="83"/>
      <c r="BB487" s="31" t="str">
        <f>BBDD_TERRENO[[#This Row],[Comuna]]&amp;BBDD_TERRENO[[#This Row],[Identificacion Propiedad]]</f>
        <v>ConcepcionB-10</v>
      </c>
    </row>
    <row r="488" spans="1:54" x14ac:dyDescent="0.3">
      <c r="A488" s="31" t="s">
        <v>906</v>
      </c>
      <c r="B488" s="31" t="s">
        <v>383</v>
      </c>
      <c r="C488" s="31" t="s">
        <v>1250</v>
      </c>
      <c r="E488" s="42">
        <v>31291.35</v>
      </c>
      <c r="F488" s="31" t="s">
        <v>1189</v>
      </c>
      <c r="G488" s="32"/>
      <c r="H488" s="31"/>
      <c r="I488" s="83"/>
      <c r="J488" s="83"/>
      <c r="K488" s="83"/>
      <c r="L488" s="83"/>
      <c r="M488" s="83"/>
      <c r="N488" s="83"/>
      <c r="O488" s="83"/>
      <c r="P488" s="31"/>
      <c r="Q488" s="31"/>
      <c r="R488" s="31"/>
      <c r="S488" s="31"/>
      <c r="T488" s="31"/>
      <c r="U488" s="35"/>
      <c r="V488" s="134"/>
      <c r="W488" s="85">
        <v>178486</v>
      </c>
      <c r="X488" s="83">
        <v>0</v>
      </c>
      <c r="Y488" s="83">
        <v>178486</v>
      </c>
      <c r="Z488" s="83"/>
      <c r="AA488" s="31"/>
      <c r="AB488" s="132"/>
      <c r="AC488" s="83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/>
      <c r="AY488"/>
      <c r="AZ488" s="83"/>
      <c r="BB488" s="31" t="str">
        <f>BBDD_TERRENO[[#This Row],[Comuna]]&amp;BBDD_TERRENO[[#This Row],[Identificacion Propiedad]]</f>
        <v>ConcepcionB-11</v>
      </c>
    </row>
    <row r="489" spans="1:54" x14ac:dyDescent="0.3">
      <c r="A489" s="31" t="s">
        <v>906</v>
      </c>
      <c r="B489" s="31" t="s">
        <v>383</v>
      </c>
      <c r="C489" s="31" t="s">
        <v>1251</v>
      </c>
      <c r="E489" s="42">
        <v>19104.09</v>
      </c>
      <c r="F489" s="31" t="s">
        <v>1189</v>
      </c>
      <c r="G489" s="32"/>
      <c r="H489" s="31"/>
      <c r="I489" s="83"/>
      <c r="J489" s="83"/>
      <c r="K489" s="83"/>
      <c r="L489" s="83"/>
      <c r="M489" s="83"/>
      <c r="N489" s="83"/>
      <c r="O489" s="83"/>
      <c r="P489" s="31"/>
      <c r="Q489" s="31"/>
      <c r="R489" s="31"/>
      <c r="S489" s="31"/>
      <c r="T489" s="31"/>
      <c r="U489" s="35"/>
      <c r="V489" s="134"/>
      <c r="W489" s="85">
        <v>546009</v>
      </c>
      <c r="X489" s="83">
        <v>546009</v>
      </c>
      <c r="Y489" s="83">
        <v>0</v>
      </c>
      <c r="Z489" s="83"/>
      <c r="AA489" s="31"/>
      <c r="AB489" s="132"/>
      <c r="AC489" s="83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/>
      <c r="AY489"/>
      <c r="AZ489" s="83"/>
      <c r="BB489" s="31" t="str">
        <f>BBDD_TERRENO[[#This Row],[Comuna]]&amp;BBDD_TERRENO[[#This Row],[Identificacion Propiedad]]</f>
        <v>ConcepcionB-12</v>
      </c>
    </row>
    <row r="490" spans="1:54" x14ac:dyDescent="0.3">
      <c r="A490" s="31" t="s">
        <v>906</v>
      </c>
      <c r="B490" s="31" t="s">
        <v>383</v>
      </c>
      <c r="C490" s="31" t="s">
        <v>1252</v>
      </c>
      <c r="E490" s="42">
        <v>14766.61</v>
      </c>
      <c r="F490" s="31" t="s">
        <v>1189</v>
      </c>
      <c r="G490" s="32"/>
      <c r="H490" s="31"/>
      <c r="I490" s="83"/>
      <c r="J490" s="83"/>
      <c r="K490" s="83"/>
      <c r="L490" s="83"/>
      <c r="M490" s="83"/>
      <c r="N490" s="83"/>
      <c r="O490" s="83"/>
      <c r="P490" s="31"/>
      <c r="Q490" s="31"/>
      <c r="R490" s="31"/>
      <c r="S490" s="31"/>
      <c r="T490" s="31"/>
      <c r="U490" s="35"/>
      <c r="V490" s="134"/>
      <c r="W490" s="85">
        <v>546009</v>
      </c>
      <c r="X490" s="83">
        <v>546009</v>
      </c>
      <c r="Y490" s="83">
        <v>0</v>
      </c>
      <c r="Z490" s="83"/>
      <c r="AA490" s="31"/>
      <c r="AB490" s="132"/>
      <c r="AC490" s="83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/>
      <c r="AY490"/>
      <c r="AZ490" s="83"/>
      <c r="BB490" s="31" t="str">
        <f>BBDD_TERRENO[[#This Row],[Comuna]]&amp;BBDD_TERRENO[[#This Row],[Identificacion Propiedad]]</f>
        <v>ConcepcionB-13</v>
      </c>
    </row>
    <row r="491" spans="1:54" x14ac:dyDescent="0.3">
      <c r="A491" s="31" t="s">
        <v>906</v>
      </c>
      <c r="B491" s="31" t="s">
        <v>383</v>
      </c>
      <c r="C491" s="31" t="s">
        <v>1253</v>
      </c>
      <c r="E491" s="42">
        <v>18665.810000000001</v>
      </c>
      <c r="F491" s="31" t="s">
        <v>1189</v>
      </c>
      <c r="G491" s="32"/>
      <c r="H491" s="31"/>
      <c r="I491" s="83"/>
      <c r="J491" s="83"/>
      <c r="K491" s="83"/>
      <c r="L491" s="83"/>
      <c r="M491" s="83"/>
      <c r="N491" s="83"/>
      <c r="O491" s="83"/>
      <c r="P491" s="31"/>
      <c r="Q491" s="31"/>
      <c r="R491" s="31"/>
      <c r="S491" s="31"/>
      <c r="T491" s="31"/>
      <c r="U491" s="35"/>
      <c r="V491" s="134"/>
      <c r="W491" s="85">
        <v>52045389</v>
      </c>
      <c r="X491" s="83">
        <v>52045389</v>
      </c>
      <c r="Y491" s="83">
        <v>0</v>
      </c>
      <c r="Z491" s="83"/>
      <c r="AA491" s="31"/>
      <c r="AB491" s="132"/>
      <c r="AC491" s="83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/>
      <c r="AY491"/>
      <c r="AZ491" s="83"/>
      <c r="BB491" s="31" t="str">
        <f>BBDD_TERRENO[[#This Row],[Comuna]]&amp;BBDD_TERRENO[[#This Row],[Identificacion Propiedad]]</f>
        <v>ConcepcionB-14</v>
      </c>
    </row>
    <row r="492" spans="1:54" x14ac:dyDescent="0.3">
      <c r="A492" s="31" t="s">
        <v>906</v>
      </c>
      <c r="B492" s="31" t="s">
        <v>383</v>
      </c>
      <c r="C492" s="31" t="s">
        <v>1254</v>
      </c>
      <c r="E492" s="42">
        <v>25553.08</v>
      </c>
      <c r="F492" s="31" t="s">
        <v>1189</v>
      </c>
      <c r="G492" s="32"/>
      <c r="H492" s="31"/>
      <c r="I492" s="83"/>
      <c r="J492" s="83"/>
      <c r="K492" s="83"/>
      <c r="L492" s="83"/>
      <c r="M492" s="83"/>
      <c r="N492" s="83"/>
      <c r="O492" s="83"/>
      <c r="P492" s="31"/>
      <c r="Q492" s="31"/>
      <c r="R492" s="31"/>
      <c r="S492" s="31"/>
      <c r="T492" s="31"/>
      <c r="U492" s="35"/>
      <c r="V492" s="134"/>
      <c r="W492" s="85">
        <v>70649626</v>
      </c>
      <c r="X492" s="83">
        <v>62188593</v>
      </c>
      <c r="Y492" s="83">
        <v>8461033</v>
      </c>
      <c r="Z492" s="83"/>
      <c r="AA492" s="31"/>
      <c r="AB492" s="132"/>
      <c r="AC492" s="83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/>
      <c r="AY492"/>
      <c r="AZ492" s="83"/>
      <c r="BB492" s="31" t="str">
        <f>BBDD_TERRENO[[#This Row],[Comuna]]&amp;BBDD_TERRENO[[#This Row],[Identificacion Propiedad]]</f>
        <v>ConcepcionB-15</v>
      </c>
    </row>
    <row r="493" spans="1:54" x14ac:dyDescent="0.3">
      <c r="A493" s="35" t="s">
        <v>906</v>
      </c>
      <c r="B493" s="35" t="s">
        <v>383</v>
      </c>
      <c r="C493" s="35" t="s">
        <v>1255</v>
      </c>
      <c r="D493" s="35"/>
      <c r="E493" s="42">
        <v>24891.7</v>
      </c>
      <c r="F493" s="35" t="s">
        <v>1189</v>
      </c>
      <c r="G493" s="36"/>
      <c r="H493" s="35"/>
      <c r="I493" s="85"/>
      <c r="J493" s="85"/>
      <c r="K493" s="85"/>
      <c r="L493" s="85"/>
      <c r="M493" s="85"/>
      <c r="N493" s="85"/>
      <c r="O493" s="85"/>
      <c r="P493" s="35"/>
      <c r="Q493" s="35"/>
      <c r="R493" s="35"/>
      <c r="S493" s="35"/>
      <c r="T493" s="35"/>
      <c r="U493" s="35"/>
      <c r="V493" s="134"/>
      <c r="W493" s="85">
        <v>1578535</v>
      </c>
      <c r="X493" s="85">
        <v>1375559</v>
      </c>
      <c r="Y493" s="85">
        <v>202976</v>
      </c>
      <c r="Z493" s="85"/>
      <c r="AA493" s="35"/>
      <c r="AB493" s="132"/>
      <c r="AC493" s="8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/>
      <c r="AX493" s="35"/>
      <c r="AY493"/>
      <c r="AZ493" s="85"/>
      <c r="BB493" s="35" t="str">
        <f>BBDD_TERRENO[[#This Row],[Comuna]]&amp;BBDD_TERRENO[[#This Row],[Identificacion Propiedad]]</f>
        <v>ConcepcionB-16</v>
      </c>
    </row>
    <row r="494" spans="1:54" x14ac:dyDescent="0.3">
      <c r="A494" s="31" t="s">
        <v>906</v>
      </c>
      <c r="B494" s="31" t="s">
        <v>383</v>
      </c>
      <c r="C494" s="31" t="s">
        <v>1256</v>
      </c>
      <c r="E494" s="42">
        <v>27870.54</v>
      </c>
      <c r="F494" s="31" t="s">
        <v>1189</v>
      </c>
      <c r="G494" s="32"/>
      <c r="H494" s="31"/>
      <c r="I494" s="83"/>
      <c r="J494" s="83"/>
      <c r="K494" s="83"/>
      <c r="L494" s="83"/>
      <c r="M494" s="83"/>
      <c r="N494" s="83"/>
      <c r="O494" s="83"/>
      <c r="P494" s="31"/>
      <c r="Q494" s="31"/>
      <c r="R494" s="31"/>
      <c r="S494" s="31"/>
      <c r="T494" s="31"/>
      <c r="U494" s="35"/>
      <c r="V494" s="134"/>
      <c r="W494" s="85">
        <v>5781235</v>
      </c>
      <c r="X494" s="83">
        <v>4298115</v>
      </c>
      <c r="Y494" s="83">
        <v>1483120</v>
      </c>
      <c r="Z494" s="83"/>
      <c r="AA494" s="31"/>
      <c r="AB494" s="132"/>
      <c r="AC494" s="83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Y494" s="31"/>
      <c r="AZ494" s="83"/>
      <c r="BA494" s="31"/>
      <c r="BB494" s="31" t="str">
        <f>BBDD_TERRENO[[#This Row],[Comuna]]&amp;BBDD_TERRENO[[#This Row],[Identificacion Propiedad]]</f>
        <v>ConcepcionB-17</v>
      </c>
    </row>
    <row r="495" spans="1:54" x14ac:dyDescent="0.3">
      <c r="A495" s="99" t="s">
        <v>906</v>
      </c>
      <c r="B495" s="99" t="s">
        <v>383</v>
      </c>
      <c r="C495" s="99" t="s">
        <v>1257</v>
      </c>
      <c r="D495" s="99"/>
      <c r="E495" s="42">
        <v>24355.43</v>
      </c>
      <c r="F495" s="99" t="s">
        <v>1189</v>
      </c>
      <c r="G495" s="144"/>
      <c r="H495" s="99"/>
      <c r="I495" s="145"/>
      <c r="J495" s="145"/>
      <c r="K495" s="145"/>
      <c r="L495" s="145"/>
      <c r="M495" s="145"/>
      <c r="N495" s="145"/>
      <c r="O495" s="145"/>
      <c r="P495" s="99"/>
      <c r="Q495" s="99"/>
      <c r="R495" s="99"/>
      <c r="S495" s="99"/>
      <c r="T495" s="99"/>
      <c r="U495" s="35"/>
      <c r="V495" s="134"/>
      <c r="W495" s="85">
        <v>28574344</v>
      </c>
      <c r="X495" s="145">
        <v>26707029</v>
      </c>
      <c r="Y495" s="145">
        <v>1867315</v>
      </c>
      <c r="Z495" s="145"/>
      <c r="AA495" s="99"/>
      <c r="AB495" s="132"/>
      <c r="AC495" s="145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99"/>
      <c r="AP495" s="99"/>
      <c r="AQ495" s="99"/>
      <c r="AR495" s="99"/>
      <c r="AS495" s="99"/>
      <c r="AT495" s="99"/>
      <c r="AU495" s="99"/>
      <c r="AV495" s="99"/>
      <c r="AW495"/>
      <c r="AX495" s="99"/>
      <c r="AY495"/>
      <c r="AZ495" s="145"/>
      <c r="BB495" s="99" t="str">
        <f>BBDD_TERRENO[[#This Row],[Comuna]]&amp;BBDD_TERRENO[[#This Row],[Identificacion Propiedad]]</f>
        <v>ConcepcionB-18</v>
      </c>
    </row>
    <row r="496" spans="1:54" x14ac:dyDescent="0.3">
      <c r="A496" s="99" t="s">
        <v>906</v>
      </c>
      <c r="B496" s="99" t="s">
        <v>383</v>
      </c>
      <c r="C496" s="99" t="s">
        <v>1258</v>
      </c>
      <c r="D496" s="99"/>
      <c r="E496" s="42">
        <v>21946.97</v>
      </c>
      <c r="F496" s="99" t="s">
        <v>1189</v>
      </c>
      <c r="G496" s="144"/>
      <c r="H496" s="99"/>
      <c r="I496" s="145"/>
      <c r="J496" s="145"/>
      <c r="K496" s="145"/>
      <c r="L496" s="145"/>
      <c r="M496" s="145"/>
      <c r="N496" s="145"/>
      <c r="O496" s="145"/>
      <c r="P496" s="99"/>
      <c r="Q496" s="99"/>
      <c r="R496" s="99"/>
      <c r="S496" s="99"/>
      <c r="T496" s="99"/>
      <c r="U496" s="35"/>
      <c r="V496" s="134"/>
      <c r="W496" s="85">
        <v>28574344</v>
      </c>
      <c r="X496" s="145">
        <v>26707029</v>
      </c>
      <c r="Y496" s="145">
        <v>1867315</v>
      </c>
      <c r="Z496" s="145"/>
      <c r="AA496" s="99"/>
      <c r="AB496" s="132"/>
      <c r="AC496" s="145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99"/>
      <c r="AP496" s="99"/>
      <c r="AQ496" s="99"/>
      <c r="AR496" s="99"/>
      <c r="AS496" s="99"/>
      <c r="AT496" s="99"/>
      <c r="AU496" s="99"/>
      <c r="AV496" s="99"/>
      <c r="AW496"/>
      <c r="AX496" s="99"/>
      <c r="AY496"/>
      <c r="AZ496" s="145"/>
      <c r="BB496" s="99" t="str">
        <f>BBDD_TERRENO[[#This Row],[Comuna]]&amp;BBDD_TERRENO[[#This Row],[Identificacion Propiedad]]</f>
        <v>ConcepcionB-19</v>
      </c>
    </row>
    <row r="497" spans="1:54" x14ac:dyDescent="0.3">
      <c r="A497" s="99" t="s">
        <v>906</v>
      </c>
      <c r="B497" s="99" t="s">
        <v>383</v>
      </c>
      <c r="C497" s="99" t="s">
        <v>1259</v>
      </c>
      <c r="D497" s="99"/>
      <c r="E497" s="42">
        <v>19218.66</v>
      </c>
      <c r="F497" s="99" t="s">
        <v>1189</v>
      </c>
      <c r="G497" s="144"/>
      <c r="H497" s="99"/>
      <c r="I497" s="145"/>
      <c r="J497" s="145"/>
      <c r="K497" s="145"/>
      <c r="L497" s="145"/>
      <c r="M497" s="145"/>
      <c r="N497" s="145"/>
      <c r="O497" s="145"/>
      <c r="P497" s="99"/>
      <c r="Q497" s="99"/>
      <c r="R497" s="99"/>
      <c r="S497" s="99"/>
      <c r="T497" s="99"/>
      <c r="U497" s="35"/>
      <c r="V497" s="134"/>
      <c r="W497" s="85">
        <v>28574344</v>
      </c>
      <c r="X497" s="145">
        <v>26707029</v>
      </c>
      <c r="Y497" s="145">
        <v>1867315</v>
      </c>
      <c r="Z497" s="145"/>
      <c r="AA497" s="99"/>
      <c r="AB497" s="132"/>
      <c r="AC497" s="145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99"/>
      <c r="AP497" s="99"/>
      <c r="AQ497" s="99"/>
      <c r="AR497" s="99"/>
      <c r="AS497" s="99"/>
      <c r="AT497" s="99"/>
      <c r="AU497" s="99"/>
      <c r="AV497" s="99"/>
      <c r="AW497"/>
      <c r="AX497" s="99"/>
      <c r="AY497"/>
      <c r="AZ497" s="145"/>
      <c r="BB497" s="99" t="str">
        <f>BBDD_TERRENO[[#This Row],[Comuna]]&amp;BBDD_TERRENO[[#This Row],[Identificacion Propiedad]]</f>
        <v>ConcepcionB-20</v>
      </c>
    </row>
    <row r="498" spans="1:54" x14ac:dyDescent="0.3">
      <c r="A498" s="99" t="s">
        <v>70</v>
      </c>
      <c r="B498" s="99" t="s">
        <v>169</v>
      </c>
      <c r="C498" s="99" t="s">
        <v>461</v>
      </c>
      <c r="D498" s="99"/>
      <c r="E498" s="46">
        <v>249500</v>
      </c>
      <c r="F498" s="99" t="s">
        <v>1162</v>
      </c>
      <c r="G498" s="144"/>
      <c r="H498" s="99"/>
      <c r="I498" s="145"/>
      <c r="J498" s="145"/>
      <c r="K498" s="145"/>
      <c r="L498" s="145"/>
      <c r="M498" s="145"/>
      <c r="N498" s="145"/>
      <c r="O498" s="145"/>
      <c r="P498" s="99"/>
      <c r="Q498" s="99"/>
      <c r="R498" s="99"/>
      <c r="S498" s="99"/>
      <c r="T498" s="99"/>
      <c r="U498" s="35"/>
      <c r="V498" s="134"/>
      <c r="W498" s="85">
        <v>0</v>
      </c>
      <c r="X498" s="145">
        <v>0</v>
      </c>
      <c r="Y498" s="145">
        <v>0</v>
      </c>
      <c r="Z498" s="145"/>
      <c r="AA498" s="99"/>
      <c r="AB498" s="132"/>
      <c r="AC498" s="145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99"/>
      <c r="AP498" s="99"/>
      <c r="AQ498" s="99"/>
      <c r="AR498" s="99"/>
      <c r="AS498" s="99"/>
      <c r="AT498" s="99"/>
      <c r="AU498" s="99"/>
      <c r="AV498" s="99"/>
      <c r="AW498"/>
      <c r="AX498" s="99"/>
      <c r="AY498"/>
      <c r="AZ498" s="145"/>
      <c r="BB498" s="99" t="str">
        <f>BBDD_TERRENO[[#This Row],[Comuna]]&amp;BBDD_TERRENO[[#This Row],[Identificacion Propiedad]]</f>
        <v>HualquiLote Z</v>
      </c>
    </row>
    <row r="499" spans="1:54" x14ac:dyDescent="0.3">
      <c r="D499"/>
    </row>
    <row r="500" spans="1:54" x14ac:dyDescent="0.3">
      <c r="D500"/>
    </row>
    <row r="501" spans="1:54" x14ac:dyDescent="0.3">
      <c r="D501"/>
    </row>
    <row r="502" spans="1:54" x14ac:dyDescent="0.3">
      <c r="D502"/>
    </row>
    <row r="503" spans="1:54" x14ac:dyDescent="0.3">
      <c r="D503"/>
    </row>
    <row r="504" spans="1:54" x14ac:dyDescent="0.3">
      <c r="D504"/>
    </row>
    <row r="505" spans="1:54" x14ac:dyDescent="0.3">
      <c r="D505"/>
    </row>
    <row r="506" spans="1:54" x14ac:dyDescent="0.3">
      <c r="D506"/>
    </row>
    <row r="507" spans="1:54" x14ac:dyDescent="0.3">
      <c r="D507"/>
    </row>
    <row r="508" spans="1:54" x14ac:dyDescent="0.3">
      <c r="D508"/>
    </row>
    <row r="509" spans="1:54" x14ac:dyDescent="0.3">
      <c r="D509"/>
    </row>
    <row r="510" spans="1:54" x14ac:dyDescent="0.3">
      <c r="D510"/>
    </row>
    <row r="511" spans="1:54" x14ac:dyDescent="0.3">
      <c r="D511"/>
    </row>
    <row r="512" spans="1:5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  <row r="2503" spans="4:4" x14ac:dyDescent="0.3">
      <c r="D2503"/>
    </row>
    <row r="2504" spans="4:4" x14ac:dyDescent="0.3">
      <c r="D2504"/>
    </row>
    <row r="2505" spans="4:4" x14ac:dyDescent="0.3">
      <c r="D2505"/>
    </row>
    <row r="2506" spans="4:4" x14ac:dyDescent="0.3">
      <c r="D2506"/>
    </row>
    <row r="2507" spans="4:4" x14ac:dyDescent="0.3">
      <c r="D2507"/>
    </row>
    <row r="2508" spans="4:4" x14ac:dyDescent="0.3">
      <c r="D2508"/>
    </row>
    <row r="2509" spans="4:4" x14ac:dyDescent="0.3">
      <c r="D2509"/>
    </row>
    <row r="2510" spans="4:4" x14ac:dyDescent="0.3">
      <c r="D2510"/>
    </row>
    <row r="2511" spans="4:4" x14ac:dyDescent="0.3">
      <c r="D2511"/>
    </row>
    <row r="2512" spans="4:4" x14ac:dyDescent="0.3">
      <c r="D2512"/>
    </row>
    <row r="2513" spans="4:4" x14ac:dyDescent="0.3">
      <c r="D2513"/>
    </row>
    <row r="2514" spans="4:4" x14ac:dyDescent="0.3">
      <c r="D2514"/>
    </row>
    <row r="2515" spans="4:4" x14ac:dyDescent="0.3">
      <c r="D2515"/>
    </row>
    <row r="2516" spans="4:4" x14ac:dyDescent="0.3">
      <c r="D2516"/>
    </row>
    <row r="2517" spans="4:4" x14ac:dyDescent="0.3">
      <c r="D2517"/>
    </row>
    <row r="2518" spans="4:4" x14ac:dyDescent="0.3">
      <c r="D2518"/>
    </row>
    <row r="2519" spans="4:4" x14ac:dyDescent="0.3">
      <c r="D2519"/>
    </row>
    <row r="2520" spans="4:4" x14ac:dyDescent="0.3">
      <c r="D2520"/>
    </row>
    <row r="2521" spans="4:4" x14ac:dyDescent="0.3">
      <c r="D2521"/>
    </row>
    <row r="2522" spans="4:4" x14ac:dyDescent="0.3">
      <c r="D2522"/>
    </row>
    <row r="2523" spans="4:4" x14ac:dyDescent="0.3">
      <c r="D2523"/>
    </row>
    <row r="2524" spans="4:4" x14ac:dyDescent="0.3">
      <c r="D2524"/>
    </row>
    <row r="2525" spans="4:4" x14ac:dyDescent="0.3">
      <c r="D2525"/>
    </row>
    <row r="2526" spans="4:4" x14ac:dyDescent="0.3">
      <c r="D2526"/>
    </row>
    <row r="2527" spans="4:4" x14ac:dyDescent="0.3">
      <c r="D2527"/>
    </row>
    <row r="2528" spans="4:4" x14ac:dyDescent="0.3">
      <c r="D2528"/>
    </row>
    <row r="2529" spans="4:4" x14ac:dyDescent="0.3">
      <c r="D2529"/>
    </row>
    <row r="2530" spans="4:4" x14ac:dyDescent="0.3">
      <c r="D2530"/>
    </row>
    <row r="2531" spans="4:4" x14ac:dyDescent="0.3">
      <c r="D2531"/>
    </row>
    <row r="2532" spans="4:4" x14ac:dyDescent="0.3">
      <c r="D2532"/>
    </row>
    <row r="2533" spans="4:4" x14ac:dyDescent="0.3">
      <c r="D2533"/>
    </row>
    <row r="2534" spans="4:4" x14ac:dyDescent="0.3">
      <c r="D2534"/>
    </row>
    <row r="2535" spans="4:4" x14ac:dyDescent="0.3">
      <c r="D2535"/>
    </row>
    <row r="2536" spans="4:4" x14ac:dyDescent="0.3">
      <c r="D2536"/>
    </row>
    <row r="2537" spans="4:4" x14ac:dyDescent="0.3">
      <c r="D2537"/>
    </row>
    <row r="2538" spans="4:4" x14ac:dyDescent="0.3">
      <c r="D2538"/>
    </row>
    <row r="2539" spans="4:4" x14ac:dyDescent="0.3">
      <c r="D2539"/>
    </row>
    <row r="2540" spans="4:4" x14ac:dyDescent="0.3">
      <c r="D2540"/>
    </row>
    <row r="2541" spans="4:4" x14ac:dyDescent="0.3">
      <c r="D2541"/>
    </row>
    <row r="2542" spans="4:4" x14ac:dyDescent="0.3">
      <c r="D2542"/>
    </row>
    <row r="2543" spans="4:4" x14ac:dyDescent="0.3">
      <c r="D2543"/>
    </row>
    <row r="2544" spans="4:4" x14ac:dyDescent="0.3">
      <c r="D2544"/>
    </row>
    <row r="2545" spans="4:4" x14ac:dyDescent="0.3">
      <c r="D2545"/>
    </row>
    <row r="2546" spans="4:4" x14ac:dyDescent="0.3">
      <c r="D2546"/>
    </row>
    <row r="2547" spans="4:4" x14ac:dyDescent="0.3">
      <c r="D2547"/>
    </row>
    <row r="2548" spans="4:4" x14ac:dyDescent="0.3">
      <c r="D2548"/>
    </row>
    <row r="2549" spans="4:4" x14ac:dyDescent="0.3">
      <c r="D2549"/>
    </row>
    <row r="2550" spans="4:4" x14ac:dyDescent="0.3">
      <c r="D2550"/>
    </row>
    <row r="2551" spans="4:4" x14ac:dyDescent="0.3">
      <c r="D2551"/>
    </row>
    <row r="2552" spans="4:4" x14ac:dyDescent="0.3">
      <c r="D2552"/>
    </row>
    <row r="2553" spans="4:4" x14ac:dyDescent="0.3">
      <c r="D2553"/>
    </row>
    <row r="2554" spans="4:4" x14ac:dyDescent="0.3">
      <c r="D2554"/>
    </row>
    <row r="2555" spans="4:4" x14ac:dyDescent="0.3">
      <c r="D2555"/>
    </row>
    <row r="2556" spans="4:4" x14ac:dyDescent="0.3">
      <c r="D2556"/>
    </row>
    <row r="2557" spans="4:4" x14ac:dyDescent="0.3">
      <c r="D2557"/>
    </row>
    <row r="2558" spans="4:4" x14ac:dyDescent="0.3">
      <c r="D2558"/>
    </row>
    <row r="2559" spans="4:4" x14ac:dyDescent="0.3">
      <c r="D2559"/>
    </row>
    <row r="2560" spans="4:4" x14ac:dyDescent="0.3">
      <c r="D2560"/>
    </row>
    <row r="2561" spans="4:4" x14ac:dyDescent="0.3">
      <c r="D2561"/>
    </row>
    <row r="2562" spans="4:4" x14ac:dyDescent="0.3">
      <c r="D2562"/>
    </row>
    <row r="2563" spans="4:4" x14ac:dyDescent="0.3">
      <c r="D2563"/>
    </row>
    <row r="2564" spans="4:4" x14ac:dyDescent="0.3">
      <c r="D2564"/>
    </row>
    <row r="2565" spans="4:4" x14ac:dyDescent="0.3">
      <c r="D2565"/>
    </row>
    <row r="2566" spans="4:4" x14ac:dyDescent="0.3">
      <c r="D2566"/>
    </row>
    <row r="2567" spans="4:4" x14ac:dyDescent="0.3">
      <c r="D2567"/>
    </row>
    <row r="2568" spans="4:4" x14ac:dyDescent="0.3">
      <c r="D2568"/>
    </row>
    <row r="2569" spans="4:4" x14ac:dyDescent="0.3">
      <c r="D2569"/>
    </row>
    <row r="2570" spans="4:4" x14ac:dyDescent="0.3">
      <c r="D2570"/>
    </row>
    <row r="2571" spans="4:4" x14ac:dyDescent="0.3">
      <c r="D2571"/>
    </row>
    <row r="2572" spans="4:4" x14ac:dyDescent="0.3">
      <c r="D2572"/>
    </row>
    <row r="2573" spans="4:4" x14ac:dyDescent="0.3">
      <c r="D2573"/>
    </row>
    <row r="2574" spans="4:4" x14ac:dyDescent="0.3">
      <c r="D2574"/>
    </row>
    <row r="2575" spans="4:4" x14ac:dyDescent="0.3">
      <c r="D2575"/>
    </row>
    <row r="2576" spans="4:4" x14ac:dyDescent="0.3">
      <c r="D2576"/>
    </row>
    <row r="2577" spans="4:4" x14ac:dyDescent="0.3">
      <c r="D2577"/>
    </row>
    <row r="2578" spans="4:4" x14ac:dyDescent="0.3">
      <c r="D2578"/>
    </row>
    <row r="2579" spans="4:4" x14ac:dyDescent="0.3">
      <c r="D2579"/>
    </row>
    <row r="2580" spans="4:4" x14ac:dyDescent="0.3">
      <c r="D2580"/>
    </row>
    <row r="2581" spans="4:4" x14ac:dyDescent="0.3">
      <c r="D2581"/>
    </row>
    <row r="2582" spans="4:4" x14ac:dyDescent="0.3">
      <c r="D2582"/>
    </row>
    <row r="2583" spans="4:4" x14ac:dyDescent="0.3">
      <c r="D2583"/>
    </row>
    <row r="2584" spans="4:4" x14ac:dyDescent="0.3">
      <c r="D2584"/>
    </row>
    <row r="2585" spans="4:4" x14ac:dyDescent="0.3">
      <c r="D2585"/>
    </row>
    <row r="2586" spans="4:4" x14ac:dyDescent="0.3">
      <c r="D2586"/>
    </row>
    <row r="2587" spans="4:4" x14ac:dyDescent="0.3">
      <c r="D2587"/>
    </row>
    <row r="2588" spans="4:4" x14ac:dyDescent="0.3">
      <c r="D2588"/>
    </row>
    <row r="2589" spans="4:4" x14ac:dyDescent="0.3">
      <c r="D2589"/>
    </row>
    <row r="2590" spans="4:4" x14ac:dyDescent="0.3">
      <c r="D2590"/>
    </row>
    <row r="2591" spans="4:4" x14ac:dyDescent="0.3">
      <c r="D2591"/>
    </row>
    <row r="2592" spans="4:4" x14ac:dyDescent="0.3">
      <c r="D2592"/>
    </row>
    <row r="2593" spans="4:4" x14ac:dyDescent="0.3">
      <c r="D2593"/>
    </row>
    <row r="2594" spans="4:4" x14ac:dyDescent="0.3">
      <c r="D2594"/>
    </row>
    <row r="2595" spans="4:4" x14ac:dyDescent="0.3">
      <c r="D2595"/>
    </row>
    <row r="2596" spans="4:4" x14ac:dyDescent="0.3">
      <c r="D2596"/>
    </row>
    <row r="2597" spans="4:4" x14ac:dyDescent="0.3">
      <c r="D2597"/>
    </row>
    <row r="2598" spans="4:4" x14ac:dyDescent="0.3">
      <c r="D2598"/>
    </row>
    <row r="2599" spans="4:4" x14ac:dyDescent="0.3">
      <c r="D2599"/>
    </row>
    <row r="2600" spans="4:4" x14ac:dyDescent="0.3">
      <c r="D2600"/>
    </row>
    <row r="2601" spans="4:4" x14ac:dyDescent="0.3">
      <c r="D2601"/>
    </row>
    <row r="2602" spans="4:4" x14ac:dyDescent="0.3">
      <c r="D2602"/>
    </row>
    <row r="2603" spans="4:4" x14ac:dyDescent="0.3">
      <c r="D2603"/>
    </row>
    <row r="2604" spans="4:4" x14ac:dyDescent="0.3">
      <c r="D2604"/>
    </row>
    <row r="2605" spans="4:4" x14ac:dyDescent="0.3">
      <c r="D2605"/>
    </row>
    <row r="2606" spans="4:4" x14ac:dyDescent="0.3">
      <c r="D2606"/>
    </row>
    <row r="2607" spans="4:4" x14ac:dyDescent="0.3">
      <c r="D2607"/>
    </row>
    <row r="2608" spans="4:4" x14ac:dyDescent="0.3">
      <c r="D2608"/>
    </row>
    <row r="2609" spans="4:4" x14ac:dyDescent="0.3">
      <c r="D2609"/>
    </row>
    <row r="2610" spans="4:4" x14ac:dyDescent="0.3">
      <c r="D2610"/>
    </row>
    <row r="2611" spans="4:4" x14ac:dyDescent="0.3">
      <c r="D2611"/>
    </row>
    <row r="2612" spans="4:4" x14ac:dyDescent="0.3">
      <c r="D2612"/>
    </row>
    <row r="2613" spans="4:4" x14ac:dyDescent="0.3">
      <c r="D2613"/>
    </row>
    <row r="2614" spans="4:4" x14ac:dyDescent="0.3">
      <c r="D2614"/>
    </row>
    <row r="2615" spans="4:4" x14ac:dyDescent="0.3">
      <c r="D2615"/>
    </row>
    <row r="2616" spans="4:4" x14ac:dyDescent="0.3">
      <c r="D2616"/>
    </row>
    <row r="2617" spans="4:4" x14ac:dyDescent="0.3">
      <c r="D2617"/>
    </row>
    <row r="2618" spans="4:4" x14ac:dyDescent="0.3">
      <c r="D2618"/>
    </row>
    <row r="2619" spans="4:4" x14ac:dyDescent="0.3">
      <c r="D2619"/>
    </row>
    <row r="2620" spans="4:4" x14ac:dyDescent="0.3">
      <c r="D2620"/>
    </row>
    <row r="2621" spans="4:4" x14ac:dyDescent="0.3">
      <c r="D2621"/>
    </row>
    <row r="2622" spans="4:4" x14ac:dyDescent="0.3">
      <c r="D2622"/>
    </row>
    <row r="2623" spans="4:4" x14ac:dyDescent="0.3">
      <c r="D2623"/>
    </row>
    <row r="2624" spans="4:4" x14ac:dyDescent="0.3">
      <c r="D2624"/>
    </row>
    <row r="2625" spans="4:4" x14ac:dyDescent="0.3">
      <c r="D2625"/>
    </row>
    <row r="2626" spans="4:4" x14ac:dyDescent="0.3">
      <c r="D2626"/>
    </row>
    <row r="2627" spans="4:4" x14ac:dyDescent="0.3">
      <c r="D2627"/>
    </row>
    <row r="2628" spans="4:4" x14ac:dyDescent="0.3">
      <c r="D2628"/>
    </row>
    <row r="2629" spans="4:4" x14ac:dyDescent="0.3">
      <c r="D2629"/>
    </row>
    <row r="2630" spans="4:4" x14ac:dyDescent="0.3">
      <c r="D2630"/>
    </row>
    <row r="2631" spans="4:4" x14ac:dyDescent="0.3">
      <c r="D2631"/>
    </row>
    <row r="2632" spans="4:4" x14ac:dyDescent="0.3">
      <c r="D2632"/>
    </row>
    <row r="2633" spans="4:4" x14ac:dyDescent="0.3">
      <c r="D2633"/>
    </row>
    <row r="2634" spans="4:4" x14ac:dyDescent="0.3">
      <c r="D2634"/>
    </row>
    <row r="2635" spans="4:4" x14ac:dyDescent="0.3">
      <c r="D2635"/>
    </row>
    <row r="2636" spans="4:4" x14ac:dyDescent="0.3">
      <c r="D2636"/>
    </row>
    <row r="2637" spans="4:4" x14ac:dyDescent="0.3">
      <c r="D2637"/>
    </row>
    <row r="2638" spans="4:4" x14ac:dyDescent="0.3">
      <c r="D2638"/>
    </row>
    <row r="2639" spans="4:4" x14ac:dyDescent="0.3">
      <c r="D2639"/>
    </row>
    <row r="2640" spans="4:4" x14ac:dyDescent="0.3">
      <c r="D2640"/>
    </row>
    <row r="2641" spans="4:4" x14ac:dyDescent="0.3">
      <c r="D2641"/>
    </row>
    <row r="2642" spans="4:4" x14ac:dyDescent="0.3">
      <c r="D2642"/>
    </row>
    <row r="2643" spans="4:4" x14ac:dyDescent="0.3">
      <c r="D2643"/>
    </row>
    <row r="2644" spans="4:4" x14ac:dyDescent="0.3">
      <c r="D2644"/>
    </row>
    <row r="2645" spans="4:4" x14ac:dyDescent="0.3">
      <c r="D2645"/>
    </row>
    <row r="2646" spans="4:4" x14ac:dyDescent="0.3">
      <c r="D2646"/>
    </row>
    <row r="2647" spans="4:4" x14ac:dyDescent="0.3">
      <c r="D2647"/>
    </row>
    <row r="2648" spans="4:4" x14ac:dyDescent="0.3">
      <c r="D2648"/>
    </row>
    <row r="2649" spans="4:4" x14ac:dyDescent="0.3">
      <c r="D2649"/>
    </row>
    <row r="2650" spans="4:4" x14ac:dyDescent="0.3">
      <c r="D2650"/>
    </row>
    <row r="2651" spans="4:4" x14ac:dyDescent="0.3">
      <c r="D2651"/>
    </row>
    <row r="2652" spans="4:4" x14ac:dyDescent="0.3">
      <c r="D2652"/>
    </row>
    <row r="2653" spans="4:4" x14ac:dyDescent="0.3">
      <c r="D2653"/>
    </row>
    <row r="2654" spans="4:4" x14ac:dyDescent="0.3">
      <c r="D2654"/>
    </row>
    <row r="2655" spans="4:4" x14ac:dyDescent="0.3">
      <c r="D2655"/>
    </row>
    <row r="2656" spans="4:4" x14ac:dyDescent="0.3">
      <c r="D2656"/>
    </row>
    <row r="2657" spans="4:4" x14ac:dyDescent="0.3">
      <c r="D2657"/>
    </row>
    <row r="2658" spans="4:4" x14ac:dyDescent="0.3">
      <c r="D2658"/>
    </row>
    <row r="2659" spans="4:4" x14ac:dyDescent="0.3">
      <c r="D2659"/>
    </row>
    <row r="2660" spans="4:4" x14ac:dyDescent="0.3">
      <c r="D2660"/>
    </row>
    <row r="2661" spans="4:4" x14ac:dyDescent="0.3">
      <c r="D2661"/>
    </row>
    <row r="2662" spans="4:4" x14ac:dyDescent="0.3">
      <c r="D2662"/>
    </row>
    <row r="2663" spans="4:4" x14ac:dyDescent="0.3">
      <c r="D2663"/>
    </row>
    <row r="2664" spans="4:4" x14ac:dyDescent="0.3">
      <c r="D2664"/>
    </row>
    <row r="2665" spans="4:4" x14ac:dyDescent="0.3">
      <c r="D2665"/>
    </row>
    <row r="2666" spans="4:4" x14ac:dyDescent="0.3">
      <c r="D2666"/>
    </row>
    <row r="2667" spans="4:4" x14ac:dyDescent="0.3">
      <c r="D2667"/>
    </row>
    <row r="2668" spans="4:4" x14ac:dyDescent="0.3">
      <c r="D2668"/>
    </row>
    <row r="2669" spans="4:4" x14ac:dyDescent="0.3">
      <c r="D2669"/>
    </row>
    <row r="2670" spans="4:4" x14ac:dyDescent="0.3">
      <c r="D2670"/>
    </row>
    <row r="2671" spans="4:4" x14ac:dyDescent="0.3">
      <c r="D2671"/>
    </row>
    <row r="2672" spans="4:4" x14ac:dyDescent="0.3">
      <c r="D2672"/>
    </row>
    <row r="2673" spans="4:4" x14ac:dyDescent="0.3">
      <c r="D2673"/>
    </row>
    <row r="2674" spans="4:4" x14ac:dyDescent="0.3">
      <c r="D2674"/>
    </row>
    <row r="2675" spans="4:4" x14ac:dyDescent="0.3">
      <c r="D2675"/>
    </row>
    <row r="2676" spans="4:4" x14ac:dyDescent="0.3">
      <c r="D2676"/>
    </row>
    <row r="2677" spans="4:4" x14ac:dyDescent="0.3">
      <c r="D2677"/>
    </row>
    <row r="2678" spans="4:4" x14ac:dyDescent="0.3">
      <c r="D2678"/>
    </row>
    <row r="2679" spans="4:4" x14ac:dyDescent="0.3">
      <c r="D2679"/>
    </row>
    <row r="2680" spans="4:4" x14ac:dyDescent="0.3">
      <c r="D2680"/>
    </row>
    <row r="2681" spans="4:4" x14ac:dyDescent="0.3">
      <c r="D2681"/>
    </row>
    <row r="2682" spans="4:4" x14ac:dyDescent="0.3">
      <c r="D2682"/>
    </row>
    <row r="2683" spans="4:4" x14ac:dyDescent="0.3">
      <c r="D2683"/>
    </row>
    <row r="2684" spans="4:4" x14ac:dyDescent="0.3">
      <c r="D2684"/>
    </row>
    <row r="2685" spans="4:4" x14ac:dyDescent="0.3">
      <c r="D2685"/>
    </row>
    <row r="2686" spans="4:4" x14ac:dyDescent="0.3">
      <c r="D2686"/>
    </row>
    <row r="2687" spans="4:4" x14ac:dyDescent="0.3">
      <c r="D2687"/>
    </row>
    <row r="2688" spans="4:4" x14ac:dyDescent="0.3">
      <c r="D2688"/>
    </row>
    <row r="2689" spans="4:4" x14ac:dyDescent="0.3">
      <c r="D2689"/>
    </row>
    <row r="2690" spans="4:4" x14ac:dyDescent="0.3">
      <c r="D2690"/>
    </row>
    <row r="2691" spans="4:4" x14ac:dyDescent="0.3">
      <c r="D2691"/>
    </row>
    <row r="2692" spans="4:4" x14ac:dyDescent="0.3">
      <c r="D2692"/>
    </row>
    <row r="2693" spans="4:4" x14ac:dyDescent="0.3">
      <c r="D2693"/>
    </row>
    <row r="2694" spans="4:4" x14ac:dyDescent="0.3">
      <c r="D2694"/>
    </row>
    <row r="2695" spans="4:4" x14ac:dyDescent="0.3">
      <c r="D2695"/>
    </row>
    <row r="2696" spans="4:4" x14ac:dyDescent="0.3">
      <c r="D2696"/>
    </row>
    <row r="2697" spans="4:4" x14ac:dyDescent="0.3">
      <c r="D2697"/>
    </row>
    <row r="2698" spans="4:4" x14ac:dyDescent="0.3">
      <c r="D2698"/>
    </row>
    <row r="2699" spans="4:4" x14ac:dyDescent="0.3">
      <c r="D2699"/>
    </row>
    <row r="2700" spans="4:4" x14ac:dyDescent="0.3">
      <c r="D2700"/>
    </row>
    <row r="2701" spans="4:4" x14ac:dyDescent="0.3">
      <c r="D2701"/>
    </row>
    <row r="2702" spans="4:4" x14ac:dyDescent="0.3">
      <c r="D2702"/>
    </row>
    <row r="2703" spans="4:4" x14ac:dyDescent="0.3">
      <c r="D2703"/>
    </row>
    <row r="2704" spans="4:4" x14ac:dyDescent="0.3">
      <c r="D2704"/>
    </row>
    <row r="2705" spans="4:4" x14ac:dyDescent="0.3">
      <c r="D2705"/>
    </row>
    <row r="2706" spans="4:4" x14ac:dyDescent="0.3">
      <c r="D2706"/>
    </row>
    <row r="2707" spans="4:4" x14ac:dyDescent="0.3">
      <c r="D2707"/>
    </row>
    <row r="2708" spans="4:4" x14ac:dyDescent="0.3">
      <c r="D2708"/>
    </row>
    <row r="2709" spans="4:4" x14ac:dyDescent="0.3">
      <c r="D2709"/>
    </row>
    <row r="2710" spans="4:4" x14ac:dyDescent="0.3">
      <c r="D2710"/>
    </row>
    <row r="2711" spans="4:4" x14ac:dyDescent="0.3">
      <c r="D2711"/>
    </row>
    <row r="2712" spans="4:4" x14ac:dyDescent="0.3">
      <c r="D2712"/>
    </row>
    <row r="2713" spans="4:4" x14ac:dyDescent="0.3">
      <c r="D2713"/>
    </row>
    <row r="2714" spans="4:4" x14ac:dyDescent="0.3">
      <c r="D2714"/>
    </row>
    <row r="2715" spans="4:4" x14ac:dyDescent="0.3">
      <c r="D2715"/>
    </row>
    <row r="2716" spans="4:4" x14ac:dyDescent="0.3">
      <c r="D2716"/>
    </row>
    <row r="2717" spans="4:4" x14ac:dyDescent="0.3">
      <c r="D2717"/>
    </row>
    <row r="2718" spans="4:4" x14ac:dyDescent="0.3">
      <c r="D2718"/>
    </row>
    <row r="2719" spans="4:4" x14ac:dyDescent="0.3">
      <c r="D2719"/>
    </row>
    <row r="2720" spans="4:4" x14ac:dyDescent="0.3">
      <c r="D2720"/>
    </row>
    <row r="2721" spans="4:4" x14ac:dyDescent="0.3">
      <c r="D2721"/>
    </row>
    <row r="2722" spans="4:4" x14ac:dyDescent="0.3">
      <c r="D2722"/>
    </row>
    <row r="2723" spans="4:4" x14ac:dyDescent="0.3">
      <c r="D2723"/>
    </row>
    <row r="2724" spans="4:4" x14ac:dyDescent="0.3">
      <c r="D2724"/>
    </row>
    <row r="2725" spans="4:4" x14ac:dyDescent="0.3">
      <c r="D2725"/>
    </row>
    <row r="2726" spans="4:4" x14ac:dyDescent="0.3">
      <c r="D2726"/>
    </row>
    <row r="2727" spans="4:4" x14ac:dyDescent="0.3">
      <c r="D2727"/>
    </row>
    <row r="2728" spans="4:4" x14ac:dyDescent="0.3">
      <c r="D2728"/>
    </row>
    <row r="2729" spans="4:4" x14ac:dyDescent="0.3">
      <c r="D2729"/>
    </row>
    <row r="2730" spans="4:4" x14ac:dyDescent="0.3">
      <c r="D2730"/>
    </row>
    <row r="2731" spans="4:4" x14ac:dyDescent="0.3">
      <c r="D2731"/>
    </row>
    <row r="2732" spans="4:4" x14ac:dyDescent="0.3">
      <c r="D2732"/>
    </row>
    <row r="2733" spans="4:4" x14ac:dyDescent="0.3">
      <c r="D2733"/>
    </row>
    <row r="2734" spans="4:4" x14ac:dyDescent="0.3">
      <c r="D2734"/>
    </row>
    <row r="2735" spans="4:4" x14ac:dyDescent="0.3">
      <c r="D2735"/>
    </row>
    <row r="2736" spans="4:4" x14ac:dyDescent="0.3">
      <c r="D2736"/>
    </row>
    <row r="2737" spans="4:4" x14ac:dyDescent="0.3">
      <c r="D2737"/>
    </row>
    <row r="2738" spans="4:4" x14ac:dyDescent="0.3">
      <c r="D2738"/>
    </row>
    <row r="2739" spans="4:4" x14ac:dyDescent="0.3">
      <c r="D2739"/>
    </row>
    <row r="2740" spans="4:4" x14ac:dyDescent="0.3">
      <c r="D2740"/>
    </row>
    <row r="2741" spans="4:4" x14ac:dyDescent="0.3">
      <c r="D2741"/>
    </row>
    <row r="2742" spans="4:4" x14ac:dyDescent="0.3">
      <c r="D2742"/>
    </row>
    <row r="2743" spans="4:4" x14ac:dyDescent="0.3">
      <c r="D2743"/>
    </row>
    <row r="2744" spans="4:4" x14ac:dyDescent="0.3">
      <c r="D2744"/>
    </row>
    <row r="2745" spans="4:4" x14ac:dyDescent="0.3">
      <c r="D2745"/>
    </row>
    <row r="2746" spans="4:4" x14ac:dyDescent="0.3">
      <c r="D2746"/>
    </row>
    <row r="2747" spans="4:4" x14ac:dyDescent="0.3">
      <c r="D2747"/>
    </row>
    <row r="2748" spans="4:4" x14ac:dyDescent="0.3">
      <c r="D2748"/>
    </row>
    <row r="2749" spans="4:4" x14ac:dyDescent="0.3">
      <c r="D2749"/>
    </row>
    <row r="2750" spans="4:4" x14ac:dyDescent="0.3">
      <c r="D2750"/>
    </row>
    <row r="2751" spans="4:4" x14ac:dyDescent="0.3">
      <c r="D2751"/>
    </row>
    <row r="2752" spans="4:4" x14ac:dyDescent="0.3">
      <c r="D2752"/>
    </row>
    <row r="2753" spans="4:4" x14ac:dyDescent="0.3">
      <c r="D2753"/>
    </row>
    <row r="2754" spans="4:4" x14ac:dyDescent="0.3">
      <c r="D2754"/>
    </row>
    <row r="2755" spans="4:4" x14ac:dyDescent="0.3">
      <c r="D2755"/>
    </row>
    <row r="2756" spans="4:4" x14ac:dyDescent="0.3">
      <c r="D2756"/>
    </row>
    <row r="2757" spans="4:4" x14ac:dyDescent="0.3">
      <c r="D2757"/>
    </row>
    <row r="2758" spans="4:4" x14ac:dyDescent="0.3">
      <c r="D2758"/>
    </row>
    <row r="2759" spans="4:4" x14ac:dyDescent="0.3">
      <c r="D2759"/>
    </row>
    <row r="2760" spans="4:4" x14ac:dyDescent="0.3">
      <c r="D2760"/>
    </row>
    <row r="2761" spans="4:4" x14ac:dyDescent="0.3">
      <c r="D2761"/>
    </row>
    <row r="2762" spans="4:4" x14ac:dyDescent="0.3">
      <c r="D2762"/>
    </row>
    <row r="2763" spans="4:4" x14ac:dyDescent="0.3">
      <c r="D2763"/>
    </row>
    <row r="2764" spans="4:4" x14ac:dyDescent="0.3">
      <c r="D2764"/>
    </row>
    <row r="2765" spans="4:4" x14ac:dyDescent="0.3">
      <c r="D2765"/>
    </row>
    <row r="2766" spans="4:4" x14ac:dyDescent="0.3">
      <c r="D2766"/>
    </row>
    <row r="2767" spans="4:4" x14ac:dyDescent="0.3">
      <c r="D2767"/>
    </row>
    <row r="2768" spans="4:4" x14ac:dyDescent="0.3">
      <c r="D2768"/>
    </row>
    <row r="2769" spans="4:4" x14ac:dyDescent="0.3">
      <c r="D2769"/>
    </row>
    <row r="2770" spans="4:4" x14ac:dyDescent="0.3">
      <c r="D2770"/>
    </row>
    <row r="2771" spans="4:4" x14ac:dyDescent="0.3">
      <c r="D2771"/>
    </row>
    <row r="2772" spans="4:4" x14ac:dyDescent="0.3">
      <c r="D2772"/>
    </row>
    <row r="2773" spans="4:4" x14ac:dyDescent="0.3">
      <c r="D2773"/>
    </row>
    <row r="2774" spans="4:4" x14ac:dyDescent="0.3">
      <c r="D2774"/>
    </row>
    <row r="2775" spans="4:4" x14ac:dyDescent="0.3">
      <c r="D2775"/>
    </row>
    <row r="2776" spans="4:4" x14ac:dyDescent="0.3">
      <c r="D2776"/>
    </row>
    <row r="2777" spans="4:4" x14ac:dyDescent="0.3">
      <c r="D2777"/>
    </row>
    <row r="2778" spans="4:4" x14ac:dyDescent="0.3">
      <c r="D2778"/>
    </row>
    <row r="2779" spans="4:4" x14ac:dyDescent="0.3">
      <c r="D2779"/>
    </row>
    <row r="2780" spans="4:4" x14ac:dyDescent="0.3">
      <c r="D2780"/>
    </row>
    <row r="2781" spans="4:4" x14ac:dyDescent="0.3">
      <c r="D2781"/>
    </row>
    <row r="2782" spans="4:4" x14ac:dyDescent="0.3">
      <c r="D2782"/>
    </row>
    <row r="2783" spans="4:4" x14ac:dyDescent="0.3">
      <c r="D2783"/>
    </row>
    <row r="2784" spans="4:4" x14ac:dyDescent="0.3">
      <c r="D2784"/>
    </row>
    <row r="2785" spans="4:4" x14ac:dyDescent="0.3">
      <c r="D2785"/>
    </row>
    <row r="2786" spans="4:4" x14ac:dyDescent="0.3">
      <c r="D2786"/>
    </row>
    <row r="2787" spans="4:4" x14ac:dyDescent="0.3">
      <c r="D2787"/>
    </row>
    <row r="2788" spans="4:4" x14ac:dyDescent="0.3">
      <c r="D2788"/>
    </row>
    <row r="2789" spans="4:4" x14ac:dyDescent="0.3">
      <c r="D2789"/>
    </row>
    <row r="2790" spans="4:4" x14ac:dyDescent="0.3">
      <c r="D2790"/>
    </row>
    <row r="2791" spans="4:4" x14ac:dyDescent="0.3">
      <c r="D2791"/>
    </row>
    <row r="2792" spans="4:4" x14ac:dyDescent="0.3">
      <c r="D2792"/>
    </row>
    <row r="2793" spans="4:4" x14ac:dyDescent="0.3">
      <c r="D2793"/>
    </row>
    <row r="2794" spans="4:4" x14ac:dyDescent="0.3">
      <c r="D2794"/>
    </row>
    <row r="2795" spans="4:4" x14ac:dyDescent="0.3">
      <c r="D2795"/>
    </row>
    <row r="2796" spans="4:4" x14ac:dyDescent="0.3">
      <c r="D2796"/>
    </row>
    <row r="2797" spans="4:4" x14ac:dyDescent="0.3">
      <c r="D2797"/>
    </row>
    <row r="2798" spans="4:4" x14ac:dyDescent="0.3">
      <c r="D2798"/>
    </row>
    <row r="2799" spans="4:4" x14ac:dyDescent="0.3">
      <c r="D2799"/>
    </row>
    <row r="2800" spans="4:4" x14ac:dyDescent="0.3">
      <c r="D2800"/>
    </row>
    <row r="2801" spans="4:4" x14ac:dyDescent="0.3">
      <c r="D2801"/>
    </row>
    <row r="2802" spans="4:4" x14ac:dyDescent="0.3">
      <c r="D2802"/>
    </row>
    <row r="2803" spans="4:4" x14ac:dyDescent="0.3">
      <c r="D2803"/>
    </row>
    <row r="2804" spans="4:4" x14ac:dyDescent="0.3">
      <c r="D2804"/>
    </row>
    <row r="2805" spans="4:4" x14ac:dyDescent="0.3">
      <c r="D2805"/>
    </row>
    <row r="2806" spans="4:4" x14ac:dyDescent="0.3">
      <c r="D2806"/>
    </row>
    <row r="2807" spans="4:4" x14ac:dyDescent="0.3">
      <c r="D2807"/>
    </row>
    <row r="2808" spans="4:4" x14ac:dyDescent="0.3">
      <c r="D2808"/>
    </row>
    <row r="2809" spans="4:4" x14ac:dyDescent="0.3">
      <c r="D2809"/>
    </row>
    <row r="2810" spans="4:4" x14ac:dyDescent="0.3">
      <c r="D2810"/>
    </row>
    <row r="2811" spans="4:4" x14ac:dyDescent="0.3">
      <c r="D2811"/>
    </row>
    <row r="2812" spans="4:4" x14ac:dyDescent="0.3">
      <c r="D2812"/>
    </row>
    <row r="2813" spans="4:4" x14ac:dyDescent="0.3">
      <c r="D2813"/>
    </row>
    <row r="2814" spans="4:4" x14ac:dyDescent="0.3">
      <c r="D2814"/>
    </row>
    <row r="2815" spans="4:4" x14ac:dyDescent="0.3">
      <c r="D2815"/>
    </row>
    <row r="2816" spans="4:4" x14ac:dyDescent="0.3">
      <c r="D2816"/>
    </row>
    <row r="2817" spans="4:4" x14ac:dyDescent="0.3">
      <c r="D2817"/>
    </row>
    <row r="2818" spans="4:4" x14ac:dyDescent="0.3">
      <c r="D2818"/>
    </row>
    <row r="2819" spans="4:4" x14ac:dyDescent="0.3">
      <c r="D2819"/>
    </row>
    <row r="2820" spans="4:4" x14ac:dyDescent="0.3">
      <c r="D2820"/>
    </row>
    <row r="2821" spans="4:4" x14ac:dyDescent="0.3">
      <c r="D2821"/>
    </row>
    <row r="2822" spans="4:4" x14ac:dyDescent="0.3">
      <c r="D2822"/>
    </row>
    <row r="2823" spans="4:4" x14ac:dyDescent="0.3">
      <c r="D2823"/>
    </row>
    <row r="2824" spans="4:4" x14ac:dyDescent="0.3">
      <c r="D2824"/>
    </row>
    <row r="2825" spans="4:4" x14ac:dyDescent="0.3">
      <c r="D2825"/>
    </row>
    <row r="2826" spans="4:4" x14ac:dyDescent="0.3">
      <c r="D2826"/>
    </row>
    <row r="2827" spans="4:4" x14ac:dyDescent="0.3">
      <c r="D2827"/>
    </row>
    <row r="2828" spans="4:4" x14ac:dyDescent="0.3">
      <c r="D2828"/>
    </row>
    <row r="2829" spans="4:4" x14ac:dyDescent="0.3">
      <c r="D2829"/>
    </row>
    <row r="2830" spans="4:4" x14ac:dyDescent="0.3">
      <c r="D2830"/>
    </row>
    <row r="2831" spans="4:4" x14ac:dyDescent="0.3">
      <c r="D2831"/>
    </row>
    <row r="2832" spans="4:4" x14ac:dyDescent="0.3">
      <c r="D2832"/>
    </row>
    <row r="2833" spans="4:4" x14ac:dyDescent="0.3">
      <c r="D2833"/>
    </row>
    <row r="2834" spans="4:4" x14ac:dyDescent="0.3">
      <c r="D2834"/>
    </row>
    <row r="2835" spans="4:4" x14ac:dyDescent="0.3">
      <c r="D2835"/>
    </row>
    <row r="2836" spans="4:4" x14ac:dyDescent="0.3">
      <c r="D2836"/>
    </row>
    <row r="2837" spans="4:4" x14ac:dyDescent="0.3">
      <c r="D2837"/>
    </row>
    <row r="2838" spans="4:4" x14ac:dyDescent="0.3">
      <c r="D2838"/>
    </row>
    <row r="2839" spans="4:4" x14ac:dyDescent="0.3">
      <c r="D2839"/>
    </row>
    <row r="2840" spans="4:4" x14ac:dyDescent="0.3">
      <c r="D2840"/>
    </row>
    <row r="2841" spans="4:4" x14ac:dyDescent="0.3">
      <c r="D2841"/>
    </row>
    <row r="2842" spans="4:4" x14ac:dyDescent="0.3">
      <c r="D2842"/>
    </row>
    <row r="2843" spans="4:4" x14ac:dyDescent="0.3">
      <c r="D2843"/>
    </row>
    <row r="2844" spans="4:4" x14ac:dyDescent="0.3">
      <c r="D2844"/>
    </row>
    <row r="2845" spans="4:4" x14ac:dyDescent="0.3">
      <c r="D2845"/>
    </row>
    <row r="2846" spans="4:4" x14ac:dyDescent="0.3">
      <c r="D2846"/>
    </row>
    <row r="2847" spans="4:4" x14ac:dyDescent="0.3">
      <c r="D2847"/>
    </row>
    <row r="2848" spans="4:4" x14ac:dyDescent="0.3">
      <c r="D2848"/>
    </row>
    <row r="2849" spans="4:4" x14ac:dyDescent="0.3">
      <c r="D2849"/>
    </row>
    <row r="2850" spans="4:4" x14ac:dyDescent="0.3">
      <c r="D2850"/>
    </row>
    <row r="2851" spans="4:4" x14ac:dyDescent="0.3">
      <c r="D2851"/>
    </row>
    <row r="2852" spans="4:4" x14ac:dyDescent="0.3">
      <c r="D2852"/>
    </row>
    <row r="2853" spans="4:4" x14ac:dyDescent="0.3">
      <c r="D2853"/>
    </row>
    <row r="2854" spans="4:4" x14ac:dyDescent="0.3">
      <c r="D2854"/>
    </row>
    <row r="2855" spans="4:4" x14ac:dyDescent="0.3">
      <c r="D2855"/>
    </row>
    <row r="2856" spans="4:4" x14ac:dyDescent="0.3">
      <c r="D2856"/>
    </row>
    <row r="2857" spans="4:4" x14ac:dyDescent="0.3">
      <c r="D2857"/>
    </row>
    <row r="2858" spans="4:4" x14ac:dyDescent="0.3">
      <c r="D2858"/>
    </row>
    <row r="2859" spans="4:4" x14ac:dyDescent="0.3">
      <c r="D2859"/>
    </row>
    <row r="2860" spans="4:4" x14ac:dyDescent="0.3">
      <c r="D2860"/>
    </row>
    <row r="2861" spans="4:4" x14ac:dyDescent="0.3">
      <c r="D2861"/>
    </row>
    <row r="2862" spans="4:4" x14ac:dyDescent="0.3">
      <c r="D2862"/>
    </row>
    <row r="2863" spans="4:4" x14ac:dyDescent="0.3">
      <c r="D2863"/>
    </row>
    <row r="2864" spans="4:4" x14ac:dyDescent="0.3">
      <c r="D2864"/>
    </row>
    <row r="2865" spans="4:4" x14ac:dyDescent="0.3">
      <c r="D2865"/>
    </row>
    <row r="2866" spans="4:4" x14ac:dyDescent="0.3">
      <c r="D2866"/>
    </row>
    <row r="2867" spans="4:4" x14ac:dyDescent="0.3">
      <c r="D2867"/>
    </row>
    <row r="2868" spans="4:4" x14ac:dyDescent="0.3">
      <c r="D2868"/>
    </row>
    <row r="2869" spans="4:4" x14ac:dyDescent="0.3">
      <c r="D2869"/>
    </row>
    <row r="2870" spans="4:4" x14ac:dyDescent="0.3">
      <c r="D2870"/>
    </row>
    <row r="2871" spans="4:4" x14ac:dyDescent="0.3">
      <c r="D2871"/>
    </row>
    <row r="2872" spans="4:4" x14ac:dyDescent="0.3">
      <c r="D2872"/>
    </row>
    <row r="2873" spans="4:4" x14ac:dyDescent="0.3">
      <c r="D2873"/>
    </row>
    <row r="2874" spans="4:4" x14ac:dyDescent="0.3">
      <c r="D2874"/>
    </row>
    <row r="2875" spans="4:4" x14ac:dyDescent="0.3">
      <c r="D2875"/>
    </row>
    <row r="2876" spans="4:4" x14ac:dyDescent="0.3">
      <c r="D2876"/>
    </row>
    <row r="2877" spans="4:4" x14ac:dyDescent="0.3">
      <c r="D2877"/>
    </row>
    <row r="2878" spans="4:4" x14ac:dyDescent="0.3">
      <c r="D2878"/>
    </row>
    <row r="2879" spans="4:4" x14ac:dyDescent="0.3">
      <c r="D2879"/>
    </row>
    <row r="2880" spans="4:4" x14ac:dyDescent="0.3">
      <c r="D2880"/>
    </row>
    <row r="2881" spans="4:4" x14ac:dyDescent="0.3">
      <c r="D2881"/>
    </row>
    <row r="2882" spans="4:4" x14ac:dyDescent="0.3">
      <c r="D2882"/>
    </row>
    <row r="2883" spans="4:4" x14ac:dyDescent="0.3">
      <c r="D2883"/>
    </row>
    <row r="2884" spans="4:4" x14ac:dyDescent="0.3">
      <c r="D2884"/>
    </row>
    <row r="2885" spans="4:4" x14ac:dyDescent="0.3">
      <c r="D2885"/>
    </row>
    <row r="2886" spans="4:4" x14ac:dyDescent="0.3">
      <c r="D2886"/>
    </row>
    <row r="2887" spans="4:4" x14ac:dyDescent="0.3">
      <c r="D2887"/>
    </row>
    <row r="2888" spans="4:4" x14ac:dyDescent="0.3">
      <c r="D2888"/>
    </row>
    <row r="2889" spans="4:4" x14ac:dyDescent="0.3">
      <c r="D2889"/>
    </row>
    <row r="2890" spans="4:4" x14ac:dyDescent="0.3">
      <c r="D2890"/>
    </row>
    <row r="2891" spans="4:4" x14ac:dyDescent="0.3">
      <c r="D2891"/>
    </row>
    <row r="2892" spans="4:4" x14ac:dyDescent="0.3">
      <c r="D2892"/>
    </row>
    <row r="2893" spans="4:4" x14ac:dyDescent="0.3">
      <c r="D2893"/>
    </row>
    <row r="2894" spans="4:4" x14ac:dyDescent="0.3">
      <c r="D2894"/>
    </row>
    <row r="2895" spans="4:4" x14ac:dyDescent="0.3">
      <c r="D2895"/>
    </row>
    <row r="2896" spans="4:4" x14ac:dyDescent="0.3">
      <c r="D2896"/>
    </row>
    <row r="2897" spans="4:4" x14ac:dyDescent="0.3">
      <c r="D2897"/>
    </row>
    <row r="2898" spans="4:4" x14ac:dyDescent="0.3">
      <c r="D2898"/>
    </row>
    <row r="2899" spans="4:4" x14ac:dyDescent="0.3">
      <c r="D2899"/>
    </row>
    <row r="2900" spans="4:4" x14ac:dyDescent="0.3">
      <c r="D2900"/>
    </row>
    <row r="2901" spans="4:4" x14ac:dyDescent="0.3">
      <c r="D2901"/>
    </row>
    <row r="2902" spans="4:4" x14ac:dyDescent="0.3">
      <c r="D2902"/>
    </row>
    <row r="2903" spans="4:4" x14ac:dyDescent="0.3">
      <c r="D2903"/>
    </row>
    <row r="2904" spans="4:4" x14ac:dyDescent="0.3">
      <c r="D2904"/>
    </row>
    <row r="2905" spans="4:4" x14ac:dyDescent="0.3">
      <c r="D2905"/>
    </row>
    <row r="2906" spans="4:4" x14ac:dyDescent="0.3">
      <c r="D2906"/>
    </row>
    <row r="2907" spans="4:4" x14ac:dyDescent="0.3">
      <c r="D2907"/>
    </row>
    <row r="2908" spans="4:4" x14ac:dyDescent="0.3">
      <c r="D2908"/>
    </row>
    <row r="2909" spans="4:4" x14ac:dyDescent="0.3">
      <c r="D2909"/>
    </row>
    <row r="2910" spans="4:4" x14ac:dyDescent="0.3">
      <c r="D2910"/>
    </row>
    <row r="2911" spans="4:4" x14ac:dyDescent="0.3">
      <c r="D2911"/>
    </row>
    <row r="2912" spans="4:4" x14ac:dyDescent="0.3">
      <c r="D2912"/>
    </row>
    <row r="2913" spans="4:4" x14ac:dyDescent="0.3">
      <c r="D2913"/>
    </row>
    <row r="2914" spans="4:4" x14ac:dyDescent="0.3">
      <c r="D2914"/>
    </row>
    <row r="2915" spans="4:4" x14ac:dyDescent="0.3">
      <c r="D2915"/>
    </row>
    <row r="2916" spans="4:4" x14ac:dyDescent="0.3">
      <c r="D2916"/>
    </row>
    <row r="2917" spans="4:4" x14ac:dyDescent="0.3">
      <c r="D2917"/>
    </row>
    <row r="2918" spans="4:4" x14ac:dyDescent="0.3">
      <c r="D2918"/>
    </row>
    <row r="2919" spans="4:4" x14ac:dyDescent="0.3">
      <c r="D2919"/>
    </row>
    <row r="2920" spans="4:4" x14ac:dyDescent="0.3">
      <c r="D2920"/>
    </row>
    <row r="2921" spans="4:4" x14ac:dyDescent="0.3">
      <c r="D2921"/>
    </row>
    <row r="2922" spans="4:4" x14ac:dyDescent="0.3">
      <c r="D2922"/>
    </row>
    <row r="2923" spans="4:4" x14ac:dyDescent="0.3">
      <c r="D2923"/>
    </row>
    <row r="2924" spans="4:4" x14ac:dyDescent="0.3">
      <c r="D2924"/>
    </row>
    <row r="2925" spans="4:4" x14ac:dyDescent="0.3">
      <c r="D2925"/>
    </row>
    <row r="2926" spans="4:4" x14ac:dyDescent="0.3">
      <c r="D2926"/>
    </row>
    <row r="2927" spans="4:4" x14ac:dyDescent="0.3">
      <c r="D2927"/>
    </row>
    <row r="2928" spans="4:4" x14ac:dyDescent="0.3">
      <c r="D2928"/>
    </row>
    <row r="2929" spans="4:4" x14ac:dyDescent="0.3">
      <c r="D2929"/>
    </row>
    <row r="2930" spans="4:4" x14ac:dyDescent="0.3">
      <c r="D2930"/>
    </row>
    <row r="2931" spans="4:4" x14ac:dyDescent="0.3">
      <c r="D2931"/>
    </row>
    <row r="2932" spans="4:4" x14ac:dyDescent="0.3">
      <c r="D2932"/>
    </row>
    <row r="2933" spans="4:4" x14ac:dyDescent="0.3">
      <c r="D2933"/>
    </row>
    <row r="2934" spans="4:4" x14ac:dyDescent="0.3">
      <c r="D2934"/>
    </row>
    <row r="2935" spans="4:4" x14ac:dyDescent="0.3">
      <c r="D2935"/>
    </row>
    <row r="2936" spans="4:4" x14ac:dyDescent="0.3">
      <c r="D2936"/>
    </row>
    <row r="2937" spans="4:4" x14ac:dyDescent="0.3">
      <c r="D2937"/>
    </row>
    <row r="2938" spans="4:4" x14ac:dyDescent="0.3">
      <c r="D2938"/>
    </row>
    <row r="2939" spans="4:4" x14ac:dyDescent="0.3">
      <c r="D2939"/>
    </row>
    <row r="2940" spans="4:4" x14ac:dyDescent="0.3">
      <c r="D2940"/>
    </row>
    <row r="2941" spans="4:4" x14ac:dyDescent="0.3">
      <c r="D2941"/>
    </row>
    <row r="2942" spans="4:4" x14ac:dyDescent="0.3">
      <c r="D2942"/>
    </row>
    <row r="2943" spans="4:4" x14ac:dyDescent="0.3">
      <c r="D2943"/>
    </row>
    <row r="2944" spans="4:4" x14ac:dyDescent="0.3">
      <c r="D2944"/>
    </row>
    <row r="2945" spans="4:4" x14ac:dyDescent="0.3">
      <c r="D2945"/>
    </row>
    <row r="2946" spans="4:4" x14ac:dyDescent="0.3">
      <c r="D2946"/>
    </row>
    <row r="2947" spans="4:4" x14ac:dyDescent="0.3">
      <c r="D2947"/>
    </row>
    <row r="2948" spans="4:4" x14ac:dyDescent="0.3">
      <c r="D2948"/>
    </row>
    <row r="2949" spans="4:4" x14ac:dyDescent="0.3">
      <c r="D2949"/>
    </row>
    <row r="2950" spans="4:4" x14ac:dyDescent="0.3">
      <c r="D2950"/>
    </row>
    <row r="2951" spans="4:4" x14ac:dyDescent="0.3">
      <c r="D2951"/>
    </row>
    <row r="2952" spans="4:4" x14ac:dyDescent="0.3">
      <c r="D2952"/>
    </row>
    <row r="2953" spans="4:4" x14ac:dyDescent="0.3">
      <c r="D2953"/>
    </row>
    <row r="2954" spans="4:4" x14ac:dyDescent="0.3">
      <c r="D2954"/>
    </row>
    <row r="2955" spans="4:4" x14ac:dyDescent="0.3">
      <c r="D2955"/>
    </row>
    <row r="2956" spans="4:4" x14ac:dyDescent="0.3">
      <c r="D2956"/>
    </row>
    <row r="2957" spans="4:4" x14ac:dyDescent="0.3">
      <c r="D2957"/>
    </row>
    <row r="2958" spans="4:4" x14ac:dyDescent="0.3">
      <c r="D2958"/>
    </row>
    <row r="2959" spans="4:4" x14ac:dyDescent="0.3">
      <c r="D2959"/>
    </row>
    <row r="2960" spans="4:4" x14ac:dyDescent="0.3">
      <c r="D2960"/>
    </row>
    <row r="2961" spans="4:4" x14ac:dyDescent="0.3">
      <c r="D2961"/>
    </row>
    <row r="2962" spans="4:4" x14ac:dyDescent="0.3">
      <c r="D2962"/>
    </row>
    <row r="2963" spans="4:4" x14ac:dyDescent="0.3">
      <c r="D2963"/>
    </row>
    <row r="2964" spans="4:4" x14ac:dyDescent="0.3">
      <c r="D2964"/>
    </row>
    <row r="2965" spans="4:4" x14ac:dyDescent="0.3">
      <c r="D2965"/>
    </row>
    <row r="2966" spans="4:4" x14ac:dyDescent="0.3">
      <c r="D2966"/>
    </row>
    <row r="2967" spans="4:4" x14ac:dyDescent="0.3">
      <c r="D2967"/>
    </row>
    <row r="2968" spans="4:4" x14ac:dyDescent="0.3">
      <c r="D2968"/>
    </row>
    <row r="2969" spans="4:4" x14ac:dyDescent="0.3">
      <c r="D2969"/>
    </row>
    <row r="2970" spans="4:4" x14ac:dyDescent="0.3">
      <c r="D2970"/>
    </row>
    <row r="2971" spans="4:4" x14ac:dyDescent="0.3">
      <c r="D2971"/>
    </row>
    <row r="2972" spans="4:4" x14ac:dyDescent="0.3">
      <c r="D2972"/>
    </row>
    <row r="2973" spans="4:4" x14ac:dyDescent="0.3">
      <c r="D2973"/>
    </row>
    <row r="2974" spans="4:4" x14ac:dyDescent="0.3">
      <c r="D2974"/>
    </row>
    <row r="2975" spans="4:4" x14ac:dyDescent="0.3">
      <c r="D2975"/>
    </row>
    <row r="2976" spans="4:4" x14ac:dyDescent="0.3">
      <c r="D2976"/>
    </row>
    <row r="2977" spans="4:4" x14ac:dyDescent="0.3">
      <c r="D2977"/>
    </row>
    <row r="2978" spans="4:4" x14ac:dyDescent="0.3">
      <c r="D2978"/>
    </row>
    <row r="2979" spans="4:4" x14ac:dyDescent="0.3">
      <c r="D2979"/>
    </row>
    <row r="2980" spans="4:4" x14ac:dyDescent="0.3">
      <c r="D2980"/>
    </row>
    <row r="2981" spans="4:4" x14ac:dyDescent="0.3">
      <c r="D2981"/>
    </row>
    <row r="2982" spans="4:4" x14ac:dyDescent="0.3">
      <c r="D2982"/>
    </row>
    <row r="2983" spans="4:4" x14ac:dyDescent="0.3">
      <c r="D2983"/>
    </row>
    <row r="2984" spans="4:4" x14ac:dyDescent="0.3">
      <c r="D2984"/>
    </row>
    <row r="2985" spans="4:4" x14ac:dyDescent="0.3">
      <c r="D2985"/>
    </row>
    <row r="2986" spans="4:4" x14ac:dyDescent="0.3">
      <c r="D2986"/>
    </row>
    <row r="2987" spans="4:4" x14ac:dyDescent="0.3">
      <c r="D2987"/>
    </row>
    <row r="2988" spans="4:4" x14ac:dyDescent="0.3">
      <c r="D2988"/>
    </row>
    <row r="2989" spans="4:4" x14ac:dyDescent="0.3">
      <c r="D2989"/>
    </row>
    <row r="2990" spans="4:4" x14ac:dyDescent="0.3">
      <c r="D2990"/>
    </row>
    <row r="2991" spans="4:4" x14ac:dyDescent="0.3">
      <c r="D2991"/>
    </row>
    <row r="2992" spans="4:4" x14ac:dyDescent="0.3">
      <c r="D2992"/>
    </row>
    <row r="2993" spans="4:4" x14ac:dyDescent="0.3">
      <c r="D2993"/>
    </row>
    <row r="2994" spans="4:4" x14ac:dyDescent="0.3">
      <c r="D2994"/>
    </row>
    <row r="2995" spans="4:4" x14ac:dyDescent="0.3">
      <c r="D2995"/>
    </row>
    <row r="2996" spans="4:4" x14ac:dyDescent="0.3">
      <c r="D2996"/>
    </row>
    <row r="2997" spans="4:4" x14ac:dyDescent="0.3">
      <c r="D2997"/>
    </row>
    <row r="2998" spans="4:4" x14ac:dyDescent="0.3">
      <c r="D2998"/>
    </row>
    <row r="2999" spans="4:4" x14ac:dyDescent="0.3">
      <c r="D2999"/>
    </row>
    <row r="3000" spans="4:4" x14ac:dyDescent="0.3">
      <c r="D3000"/>
    </row>
    <row r="3001" spans="4:4" x14ac:dyDescent="0.3">
      <c r="D3001"/>
    </row>
    <row r="3002" spans="4:4" x14ac:dyDescent="0.3">
      <c r="D3002"/>
    </row>
    <row r="3003" spans="4:4" x14ac:dyDescent="0.3">
      <c r="D3003"/>
    </row>
    <row r="3004" spans="4:4" x14ac:dyDescent="0.3">
      <c r="D3004"/>
    </row>
    <row r="3005" spans="4:4" x14ac:dyDescent="0.3">
      <c r="D3005"/>
    </row>
    <row r="3006" spans="4:4" x14ac:dyDescent="0.3">
      <c r="D3006"/>
    </row>
    <row r="3007" spans="4:4" x14ac:dyDescent="0.3">
      <c r="D3007"/>
    </row>
    <row r="3008" spans="4:4" x14ac:dyDescent="0.3">
      <c r="D3008"/>
    </row>
    <row r="3009" spans="4:4" x14ac:dyDescent="0.3">
      <c r="D3009"/>
    </row>
    <row r="3010" spans="4:4" x14ac:dyDescent="0.3">
      <c r="D3010"/>
    </row>
    <row r="3011" spans="4:4" x14ac:dyDescent="0.3">
      <c r="D3011"/>
    </row>
    <row r="3012" spans="4:4" x14ac:dyDescent="0.3">
      <c r="D3012"/>
    </row>
    <row r="3013" spans="4:4" x14ac:dyDescent="0.3">
      <c r="D3013"/>
    </row>
    <row r="3014" spans="4:4" x14ac:dyDescent="0.3">
      <c r="D3014"/>
    </row>
    <row r="3015" spans="4:4" x14ac:dyDescent="0.3">
      <c r="D3015"/>
    </row>
    <row r="3016" spans="4:4" x14ac:dyDescent="0.3">
      <c r="D3016"/>
    </row>
    <row r="3017" spans="4:4" x14ac:dyDescent="0.3">
      <c r="D3017"/>
    </row>
    <row r="3018" spans="4:4" x14ac:dyDescent="0.3">
      <c r="D3018"/>
    </row>
    <row r="3019" spans="4:4" x14ac:dyDescent="0.3">
      <c r="D3019"/>
    </row>
    <row r="3020" spans="4:4" x14ac:dyDescent="0.3">
      <c r="D3020"/>
    </row>
    <row r="3021" spans="4:4" x14ac:dyDescent="0.3">
      <c r="D3021"/>
    </row>
    <row r="3022" spans="4:4" x14ac:dyDescent="0.3">
      <c r="D3022"/>
    </row>
    <row r="3023" spans="4:4" x14ac:dyDescent="0.3">
      <c r="D3023"/>
    </row>
    <row r="3024" spans="4:4" x14ac:dyDescent="0.3">
      <c r="D3024"/>
    </row>
    <row r="3025" spans="4:4" x14ac:dyDescent="0.3">
      <c r="D3025"/>
    </row>
    <row r="3026" spans="4:4" x14ac:dyDescent="0.3">
      <c r="D3026"/>
    </row>
    <row r="3027" spans="4:4" x14ac:dyDescent="0.3">
      <c r="D3027"/>
    </row>
    <row r="3028" spans="4:4" x14ac:dyDescent="0.3">
      <c r="D3028"/>
    </row>
    <row r="3029" spans="4:4" x14ac:dyDescent="0.3">
      <c r="D3029"/>
    </row>
    <row r="3030" spans="4:4" x14ac:dyDescent="0.3">
      <c r="D3030"/>
    </row>
    <row r="3031" spans="4:4" x14ac:dyDescent="0.3">
      <c r="D3031"/>
    </row>
    <row r="3032" spans="4:4" x14ac:dyDescent="0.3">
      <c r="D3032"/>
    </row>
    <row r="3033" spans="4:4" x14ac:dyDescent="0.3">
      <c r="D3033"/>
    </row>
    <row r="3034" spans="4:4" x14ac:dyDescent="0.3">
      <c r="D3034"/>
    </row>
    <row r="3035" spans="4:4" x14ac:dyDescent="0.3">
      <c r="D3035"/>
    </row>
    <row r="3036" spans="4:4" x14ac:dyDescent="0.3">
      <c r="D3036"/>
    </row>
    <row r="3037" spans="4:4" x14ac:dyDescent="0.3">
      <c r="D3037"/>
    </row>
    <row r="3038" spans="4:4" x14ac:dyDescent="0.3">
      <c r="D3038"/>
    </row>
    <row r="3039" spans="4:4" x14ac:dyDescent="0.3">
      <c r="D3039"/>
    </row>
    <row r="3040" spans="4:4" x14ac:dyDescent="0.3">
      <c r="D3040"/>
    </row>
    <row r="3041" spans="4:4" x14ac:dyDescent="0.3">
      <c r="D3041"/>
    </row>
    <row r="3042" spans="4:4" x14ac:dyDescent="0.3">
      <c r="D3042"/>
    </row>
    <row r="3043" spans="4:4" x14ac:dyDescent="0.3">
      <c r="D3043"/>
    </row>
    <row r="3044" spans="4:4" x14ac:dyDescent="0.3">
      <c r="D3044"/>
    </row>
    <row r="3045" spans="4:4" x14ac:dyDescent="0.3">
      <c r="D3045"/>
    </row>
    <row r="3046" spans="4:4" x14ac:dyDescent="0.3">
      <c r="D3046"/>
    </row>
    <row r="3047" spans="4:4" x14ac:dyDescent="0.3">
      <c r="D3047"/>
    </row>
    <row r="3048" spans="4:4" x14ac:dyDescent="0.3">
      <c r="D3048"/>
    </row>
    <row r="3049" spans="4:4" x14ac:dyDescent="0.3">
      <c r="D3049"/>
    </row>
    <row r="3050" spans="4:4" x14ac:dyDescent="0.3">
      <c r="D3050"/>
    </row>
    <row r="3051" spans="4:4" x14ac:dyDescent="0.3">
      <c r="D3051"/>
    </row>
    <row r="3052" spans="4:4" x14ac:dyDescent="0.3">
      <c r="D3052"/>
    </row>
    <row r="3053" spans="4:4" x14ac:dyDescent="0.3">
      <c r="D3053"/>
    </row>
    <row r="3054" spans="4:4" x14ac:dyDescent="0.3">
      <c r="D3054"/>
    </row>
    <row r="3055" spans="4:4" x14ac:dyDescent="0.3">
      <c r="D3055"/>
    </row>
    <row r="3056" spans="4:4" x14ac:dyDescent="0.3">
      <c r="D3056"/>
    </row>
    <row r="3057" spans="4:4" x14ac:dyDescent="0.3">
      <c r="D3057"/>
    </row>
    <row r="3058" spans="4:4" x14ac:dyDescent="0.3">
      <c r="D3058"/>
    </row>
    <row r="3059" spans="4:4" x14ac:dyDescent="0.3">
      <c r="D3059"/>
    </row>
    <row r="3060" spans="4:4" x14ac:dyDescent="0.3">
      <c r="D3060"/>
    </row>
    <row r="3061" spans="4:4" x14ac:dyDescent="0.3">
      <c r="D3061"/>
    </row>
    <row r="3062" spans="4:4" x14ac:dyDescent="0.3">
      <c r="D3062"/>
    </row>
    <row r="3063" spans="4:4" x14ac:dyDescent="0.3">
      <c r="D3063"/>
    </row>
    <row r="3064" spans="4:4" x14ac:dyDescent="0.3">
      <c r="D3064"/>
    </row>
    <row r="3065" spans="4:4" x14ac:dyDescent="0.3">
      <c r="D3065"/>
    </row>
    <row r="3066" spans="4:4" x14ac:dyDescent="0.3">
      <c r="D3066"/>
    </row>
    <row r="3067" spans="4:4" x14ac:dyDescent="0.3">
      <c r="D3067"/>
    </row>
    <row r="3068" spans="4:4" x14ac:dyDescent="0.3">
      <c r="D3068"/>
    </row>
    <row r="3069" spans="4:4" x14ac:dyDescent="0.3">
      <c r="D3069"/>
    </row>
    <row r="3070" spans="4:4" x14ac:dyDescent="0.3">
      <c r="D3070"/>
    </row>
    <row r="3071" spans="4:4" x14ac:dyDescent="0.3">
      <c r="D3071"/>
    </row>
    <row r="3072" spans="4:4" x14ac:dyDescent="0.3">
      <c r="D3072"/>
    </row>
    <row r="3073" spans="4:4" x14ac:dyDescent="0.3">
      <c r="D3073"/>
    </row>
    <row r="3074" spans="4:4" x14ac:dyDescent="0.3">
      <c r="D3074"/>
    </row>
    <row r="3075" spans="4:4" x14ac:dyDescent="0.3">
      <c r="D3075"/>
    </row>
    <row r="3076" spans="4:4" x14ac:dyDescent="0.3">
      <c r="D3076"/>
    </row>
    <row r="3077" spans="4:4" x14ac:dyDescent="0.3">
      <c r="D3077"/>
    </row>
    <row r="3078" spans="4:4" x14ac:dyDescent="0.3">
      <c r="D3078"/>
    </row>
    <row r="3079" spans="4:4" x14ac:dyDescent="0.3">
      <c r="D3079"/>
    </row>
    <row r="3080" spans="4:4" x14ac:dyDescent="0.3">
      <c r="D3080"/>
    </row>
    <row r="3081" spans="4:4" x14ac:dyDescent="0.3">
      <c r="D3081"/>
    </row>
    <row r="3082" spans="4:4" x14ac:dyDescent="0.3">
      <c r="D3082"/>
    </row>
    <row r="3083" spans="4:4" x14ac:dyDescent="0.3">
      <c r="D3083"/>
    </row>
    <row r="3084" spans="4:4" x14ac:dyDescent="0.3">
      <c r="D3084"/>
    </row>
    <row r="3085" spans="4:4" x14ac:dyDescent="0.3">
      <c r="D3085"/>
    </row>
    <row r="3086" spans="4:4" x14ac:dyDescent="0.3">
      <c r="D3086"/>
    </row>
    <row r="3087" spans="4:4" x14ac:dyDescent="0.3">
      <c r="D3087"/>
    </row>
    <row r="3088" spans="4:4" x14ac:dyDescent="0.3">
      <c r="D3088"/>
    </row>
    <row r="3089" spans="4:4" x14ac:dyDescent="0.3">
      <c r="D3089"/>
    </row>
    <row r="3090" spans="4:4" x14ac:dyDescent="0.3">
      <c r="D3090"/>
    </row>
    <row r="3091" spans="4:4" x14ac:dyDescent="0.3">
      <c r="D3091"/>
    </row>
    <row r="3092" spans="4:4" x14ac:dyDescent="0.3">
      <c r="D3092"/>
    </row>
    <row r="3093" spans="4:4" x14ac:dyDescent="0.3">
      <c r="D3093"/>
    </row>
    <row r="3094" spans="4:4" x14ac:dyDescent="0.3">
      <c r="D3094"/>
    </row>
    <row r="3095" spans="4:4" x14ac:dyDescent="0.3">
      <c r="D3095"/>
    </row>
    <row r="3096" spans="4:4" x14ac:dyDescent="0.3">
      <c r="D3096"/>
    </row>
    <row r="3097" spans="4:4" x14ac:dyDescent="0.3">
      <c r="D3097"/>
    </row>
    <row r="3098" spans="4:4" x14ac:dyDescent="0.3">
      <c r="D3098"/>
    </row>
    <row r="3099" spans="4:4" x14ac:dyDescent="0.3">
      <c r="D3099"/>
    </row>
    <row r="3100" spans="4:4" x14ac:dyDescent="0.3">
      <c r="D3100"/>
    </row>
    <row r="3101" spans="4:4" x14ac:dyDescent="0.3">
      <c r="D3101"/>
    </row>
    <row r="3102" spans="4:4" x14ac:dyDescent="0.3">
      <c r="D3102"/>
    </row>
    <row r="3103" spans="4:4" x14ac:dyDescent="0.3">
      <c r="D3103"/>
    </row>
    <row r="3104" spans="4:4" x14ac:dyDescent="0.3">
      <c r="D3104"/>
    </row>
    <row r="3105" spans="4:4" x14ac:dyDescent="0.3">
      <c r="D3105"/>
    </row>
    <row r="3106" spans="4:4" x14ac:dyDescent="0.3">
      <c r="D3106"/>
    </row>
    <row r="3107" spans="4:4" x14ac:dyDescent="0.3">
      <c r="D3107"/>
    </row>
    <row r="3108" spans="4:4" x14ac:dyDescent="0.3">
      <c r="D3108"/>
    </row>
    <row r="3109" spans="4:4" x14ac:dyDescent="0.3">
      <c r="D3109"/>
    </row>
    <row r="3110" spans="4:4" x14ac:dyDescent="0.3">
      <c r="D3110"/>
    </row>
    <row r="3111" spans="4:4" x14ac:dyDescent="0.3">
      <c r="D3111"/>
    </row>
    <row r="3112" spans="4:4" x14ac:dyDescent="0.3">
      <c r="D3112"/>
    </row>
    <row r="3113" spans="4:4" x14ac:dyDescent="0.3">
      <c r="D3113"/>
    </row>
    <row r="3114" spans="4:4" x14ac:dyDescent="0.3">
      <c r="D3114"/>
    </row>
    <row r="3115" spans="4:4" x14ac:dyDescent="0.3">
      <c r="D3115"/>
    </row>
    <row r="3116" spans="4:4" x14ac:dyDescent="0.3">
      <c r="D3116"/>
    </row>
    <row r="3117" spans="4:4" x14ac:dyDescent="0.3">
      <c r="D3117"/>
    </row>
    <row r="3118" spans="4:4" x14ac:dyDescent="0.3">
      <c r="D3118"/>
    </row>
    <row r="3119" spans="4:4" x14ac:dyDescent="0.3">
      <c r="D3119"/>
    </row>
    <row r="3120" spans="4:4" x14ac:dyDescent="0.3">
      <c r="D3120"/>
    </row>
    <row r="3121" spans="4:4" x14ac:dyDescent="0.3">
      <c r="D3121"/>
    </row>
    <row r="3122" spans="4:4" x14ac:dyDescent="0.3">
      <c r="D3122"/>
    </row>
    <row r="3123" spans="4:4" x14ac:dyDescent="0.3">
      <c r="D3123"/>
    </row>
    <row r="3124" spans="4:4" x14ac:dyDescent="0.3">
      <c r="D3124"/>
    </row>
    <row r="3125" spans="4:4" x14ac:dyDescent="0.3">
      <c r="D3125"/>
    </row>
    <row r="3126" spans="4:4" x14ac:dyDescent="0.3">
      <c r="D3126"/>
    </row>
    <row r="3127" spans="4:4" x14ac:dyDescent="0.3">
      <c r="D3127"/>
    </row>
    <row r="3128" spans="4:4" x14ac:dyDescent="0.3">
      <c r="D3128"/>
    </row>
    <row r="3129" spans="4:4" x14ac:dyDescent="0.3">
      <c r="D3129"/>
    </row>
    <row r="3130" spans="4:4" x14ac:dyDescent="0.3">
      <c r="D3130"/>
    </row>
    <row r="3131" spans="4:4" x14ac:dyDescent="0.3">
      <c r="D3131"/>
    </row>
    <row r="3132" spans="4:4" x14ac:dyDescent="0.3">
      <c r="D3132"/>
    </row>
    <row r="3133" spans="4:4" x14ac:dyDescent="0.3">
      <c r="D3133"/>
    </row>
    <row r="3134" spans="4:4" x14ac:dyDescent="0.3">
      <c r="D3134"/>
    </row>
    <row r="3135" spans="4:4" x14ac:dyDescent="0.3">
      <c r="D3135"/>
    </row>
    <row r="3136" spans="4:4" x14ac:dyDescent="0.3">
      <c r="D3136"/>
    </row>
    <row r="3137" spans="4:4" x14ac:dyDescent="0.3">
      <c r="D3137"/>
    </row>
    <row r="3138" spans="4:4" x14ac:dyDescent="0.3">
      <c r="D3138"/>
    </row>
    <row r="3139" spans="4:4" x14ac:dyDescent="0.3">
      <c r="D3139"/>
    </row>
    <row r="3140" spans="4:4" x14ac:dyDescent="0.3">
      <c r="D3140"/>
    </row>
    <row r="3141" spans="4:4" x14ac:dyDescent="0.3">
      <c r="D3141"/>
    </row>
    <row r="3142" spans="4:4" x14ac:dyDescent="0.3">
      <c r="D3142"/>
    </row>
    <row r="3143" spans="4:4" x14ac:dyDescent="0.3">
      <c r="D3143"/>
    </row>
    <row r="3144" spans="4:4" x14ac:dyDescent="0.3">
      <c r="D3144"/>
    </row>
    <row r="3145" spans="4:4" x14ac:dyDescent="0.3">
      <c r="D3145"/>
    </row>
    <row r="3146" spans="4:4" x14ac:dyDescent="0.3">
      <c r="D3146"/>
    </row>
    <row r="3147" spans="4:4" x14ac:dyDescent="0.3">
      <c r="D3147"/>
    </row>
    <row r="3148" spans="4:4" x14ac:dyDescent="0.3">
      <c r="D3148"/>
    </row>
    <row r="3149" spans="4:4" x14ac:dyDescent="0.3">
      <c r="D3149"/>
    </row>
    <row r="3150" spans="4:4" x14ac:dyDescent="0.3">
      <c r="D3150"/>
    </row>
    <row r="3151" spans="4:4" x14ac:dyDescent="0.3">
      <c r="D3151"/>
    </row>
    <row r="3152" spans="4:4" x14ac:dyDescent="0.3">
      <c r="D3152"/>
    </row>
    <row r="3153" spans="4:4" x14ac:dyDescent="0.3">
      <c r="D3153"/>
    </row>
    <row r="3154" spans="4:4" x14ac:dyDescent="0.3">
      <c r="D3154"/>
    </row>
    <row r="3155" spans="4:4" x14ac:dyDescent="0.3">
      <c r="D3155"/>
    </row>
    <row r="3156" spans="4:4" x14ac:dyDescent="0.3">
      <c r="D3156"/>
    </row>
    <row r="3157" spans="4:4" x14ac:dyDescent="0.3">
      <c r="D3157"/>
    </row>
    <row r="3158" spans="4:4" x14ac:dyDescent="0.3">
      <c r="D3158"/>
    </row>
    <row r="3159" spans="4:4" x14ac:dyDescent="0.3">
      <c r="D3159"/>
    </row>
    <row r="3160" spans="4:4" x14ac:dyDescent="0.3">
      <c r="D3160"/>
    </row>
    <row r="3161" spans="4:4" x14ac:dyDescent="0.3">
      <c r="D3161"/>
    </row>
    <row r="3162" spans="4:4" x14ac:dyDescent="0.3">
      <c r="D3162"/>
    </row>
    <row r="3163" spans="4:4" x14ac:dyDescent="0.3">
      <c r="D3163"/>
    </row>
    <row r="3164" spans="4:4" x14ac:dyDescent="0.3">
      <c r="D3164"/>
    </row>
    <row r="3165" spans="4:4" x14ac:dyDescent="0.3">
      <c r="D3165"/>
    </row>
    <row r="3166" spans="4:4" x14ac:dyDescent="0.3">
      <c r="D3166"/>
    </row>
    <row r="3167" spans="4:4" x14ac:dyDescent="0.3">
      <c r="D3167"/>
    </row>
    <row r="3168" spans="4:4" x14ac:dyDescent="0.3">
      <c r="D3168"/>
    </row>
    <row r="3169" spans="4:4" x14ac:dyDescent="0.3">
      <c r="D3169"/>
    </row>
    <row r="3170" spans="4:4" x14ac:dyDescent="0.3">
      <c r="D3170"/>
    </row>
    <row r="3171" spans="4:4" x14ac:dyDescent="0.3">
      <c r="D3171"/>
    </row>
    <row r="3172" spans="4:4" x14ac:dyDescent="0.3">
      <c r="D3172"/>
    </row>
    <row r="3173" spans="4:4" x14ac:dyDescent="0.3">
      <c r="D3173"/>
    </row>
    <row r="3174" spans="4:4" x14ac:dyDescent="0.3">
      <c r="D3174"/>
    </row>
    <row r="3175" spans="4:4" x14ac:dyDescent="0.3">
      <c r="D3175"/>
    </row>
    <row r="3176" spans="4:4" x14ac:dyDescent="0.3">
      <c r="D3176"/>
    </row>
    <row r="3177" spans="4:4" x14ac:dyDescent="0.3">
      <c r="D3177"/>
    </row>
    <row r="3178" spans="4:4" x14ac:dyDescent="0.3">
      <c r="D3178"/>
    </row>
    <row r="3179" spans="4:4" x14ac:dyDescent="0.3">
      <c r="D3179"/>
    </row>
    <row r="3180" spans="4:4" x14ac:dyDescent="0.3">
      <c r="D3180"/>
    </row>
    <row r="3181" spans="4:4" x14ac:dyDescent="0.3">
      <c r="D3181"/>
    </row>
    <row r="3182" spans="4:4" x14ac:dyDescent="0.3">
      <c r="D3182"/>
    </row>
    <row r="3183" spans="4:4" x14ac:dyDescent="0.3">
      <c r="D3183"/>
    </row>
    <row r="3184" spans="4:4" x14ac:dyDescent="0.3">
      <c r="D3184"/>
    </row>
    <row r="3185" spans="4:4" x14ac:dyDescent="0.3">
      <c r="D3185"/>
    </row>
    <row r="3186" spans="4:4" x14ac:dyDescent="0.3">
      <c r="D3186"/>
    </row>
    <row r="3187" spans="4:4" x14ac:dyDescent="0.3">
      <c r="D3187"/>
    </row>
    <row r="3188" spans="4:4" x14ac:dyDescent="0.3">
      <c r="D3188"/>
    </row>
    <row r="3189" spans="4:4" x14ac:dyDescent="0.3">
      <c r="D3189"/>
    </row>
    <row r="3190" spans="4:4" x14ac:dyDescent="0.3">
      <c r="D3190"/>
    </row>
    <row r="3191" spans="4:4" x14ac:dyDescent="0.3">
      <c r="D3191"/>
    </row>
    <row r="3192" spans="4:4" x14ac:dyDescent="0.3">
      <c r="D3192"/>
    </row>
    <row r="3193" spans="4:4" x14ac:dyDescent="0.3">
      <c r="D3193"/>
    </row>
    <row r="3194" spans="4:4" x14ac:dyDescent="0.3">
      <c r="D3194"/>
    </row>
    <row r="3195" spans="4:4" x14ac:dyDescent="0.3">
      <c r="D3195"/>
    </row>
    <row r="3196" spans="4:4" x14ac:dyDescent="0.3">
      <c r="D3196"/>
    </row>
    <row r="3197" spans="4:4" x14ac:dyDescent="0.3">
      <c r="D3197"/>
    </row>
    <row r="3198" spans="4:4" x14ac:dyDescent="0.3">
      <c r="D3198"/>
    </row>
    <row r="3199" spans="4:4" x14ac:dyDescent="0.3">
      <c r="D3199"/>
    </row>
    <row r="3200" spans="4:4" x14ac:dyDescent="0.3">
      <c r="D3200"/>
    </row>
    <row r="3201" spans="4:4" x14ac:dyDescent="0.3">
      <c r="D3201"/>
    </row>
    <row r="3202" spans="4:4" x14ac:dyDescent="0.3">
      <c r="D3202"/>
    </row>
    <row r="3203" spans="4:4" x14ac:dyDescent="0.3">
      <c r="D3203"/>
    </row>
    <row r="3204" spans="4:4" x14ac:dyDescent="0.3">
      <c r="D3204"/>
    </row>
    <row r="3205" spans="4:4" x14ac:dyDescent="0.3">
      <c r="D3205"/>
    </row>
    <row r="3206" spans="4:4" x14ac:dyDescent="0.3">
      <c r="D3206"/>
    </row>
    <row r="3207" spans="4:4" x14ac:dyDescent="0.3">
      <c r="D3207"/>
    </row>
    <row r="3208" spans="4:4" x14ac:dyDescent="0.3">
      <c r="D3208"/>
    </row>
    <row r="3209" spans="4:4" x14ac:dyDescent="0.3">
      <c r="D3209"/>
    </row>
    <row r="3210" spans="4:4" x14ac:dyDescent="0.3">
      <c r="D3210"/>
    </row>
    <row r="3211" spans="4:4" x14ac:dyDescent="0.3">
      <c r="D3211"/>
    </row>
    <row r="3212" spans="4:4" x14ac:dyDescent="0.3">
      <c r="D3212"/>
    </row>
    <row r="3213" spans="4:4" x14ac:dyDescent="0.3">
      <c r="D3213"/>
    </row>
    <row r="3214" spans="4:4" x14ac:dyDescent="0.3">
      <c r="D3214"/>
    </row>
    <row r="3215" spans="4:4" x14ac:dyDescent="0.3">
      <c r="D3215"/>
    </row>
    <row r="3216" spans="4:4" x14ac:dyDescent="0.3">
      <c r="D3216"/>
    </row>
    <row r="3217" spans="4:4" x14ac:dyDescent="0.3">
      <c r="D3217"/>
    </row>
    <row r="3218" spans="4:4" x14ac:dyDescent="0.3">
      <c r="D3218"/>
    </row>
    <row r="3219" spans="4:4" x14ac:dyDescent="0.3">
      <c r="D3219"/>
    </row>
    <row r="3220" spans="4:4" x14ac:dyDescent="0.3">
      <c r="D3220"/>
    </row>
    <row r="3221" spans="4:4" x14ac:dyDescent="0.3">
      <c r="D3221"/>
    </row>
    <row r="3222" spans="4:4" x14ac:dyDescent="0.3">
      <c r="D3222"/>
    </row>
    <row r="3223" spans="4:4" x14ac:dyDescent="0.3">
      <c r="D3223"/>
    </row>
    <row r="3224" spans="4:4" x14ac:dyDescent="0.3">
      <c r="D3224"/>
    </row>
    <row r="3225" spans="4:4" x14ac:dyDescent="0.3">
      <c r="D3225"/>
    </row>
    <row r="3226" spans="4:4" x14ac:dyDescent="0.3">
      <c r="D3226"/>
    </row>
    <row r="3227" spans="4:4" x14ac:dyDescent="0.3">
      <c r="D3227"/>
    </row>
    <row r="3228" spans="4:4" x14ac:dyDescent="0.3">
      <c r="D3228"/>
    </row>
    <row r="3229" spans="4:4" x14ac:dyDescent="0.3">
      <c r="D3229"/>
    </row>
    <row r="3230" spans="4:4" x14ac:dyDescent="0.3">
      <c r="D3230"/>
    </row>
    <row r="3231" spans="4:4" x14ac:dyDescent="0.3">
      <c r="D3231"/>
    </row>
    <row r="3232" spans="4:4" x14ac:dyDescent="0.3">
      <c r="D3232"/>
    </row>
    <row r="3233" spans="4:4" x14ac:dyDescent="0.3">
      <c r="D3233"/>
    </row>
    <row r="3234" spans="4:4" x14ac:dyDescent="0.3">
      <c r="D3234"/>
    </row>
    <row r="3235" spans="4:4" x14ac:dyDescent="0.3">
      <c r="D3235"/>
    </row>
    <row r="3236" spans="4:4" x14ac:dyDescent="0.3">
      <c r="D3236"/>
    </row>
    <row r="3237" spans="4:4" x14ac:dyDescent="0.3">
      <c r="D3237"/>
    </row>
    <row r="3238" spans="4:4" x14ac:dyDescent="0.3">
      <c r="D3238"/>
    </row>
    <row r="3239" spans="4:4" x14ac:dyDescent="0.3">
      <c r="D3239"/>
    </row>
    <row r="3240" spans="4:4" x14ac:dyDescent="0.3">
      <c r="D3240"/>
    </row>
    <row r="3241" spans="4:4" x14ac:dyDescent="0.3">
      <c r="D3241"/>
    </row>
    <row r="3242" spans="4:4" x14ac:dyDescent="0.3">
      <c r="D3242"/>
    </row>
    <row r="3243" spans="4:4" x14ac:dyDescent="0.3">
      <c r="D3243"/>
    </row>
    <row r="3244" spans="4:4" x14ac:dyDescent="0.3">
      <c r="D3244"/>
    </row>
    <row r="3245" spans="4:4" x14ac:dyDescent="0.3">
      <c r="D3245"/>
    </row>
    <row r="3246" spans="4:4" x14ac:dyDescent="0.3">
      <c r="D3246"/>
    </row>
    <row r="3247" spans="4:4" x14ac:dyDescent="0.3">
      <c r="D3247"/>
    </row>
    <row r="3248" spans="4:4" x14ac:dyDescent="0.3">
      <c r="D3248"/>
    </row>
    <row r="3249" spans="4:4" x14ac:dyDescent="0.3">
      <c r="D3249"/>
    </row>
    <row r="3250" spans="4:4" x14ac:dyDescent="0.3">
      <c r="D3250"/>
    </row>
    <row r="3251" spans="4:4" x14ac:dyDescent="0.3">
      <c r="D3251"/>
    </row>
    <row r="3252" spans="4:4" x14ac:dyDescent="0.3">
      <c r="D3252"/>
    </row>
    <row r="3253" spans="4:4" x14ac:dyDescent="0.3">
      <c r="D3253"/>
    </row>
    <row r="3254" spans="4:4" x14ac:dyDescent="0.3">
      <c r="D3254"/>
    </row>
    <row r="3255" spans="4:4" x14ac:dyDescent="0.3">
      <c r="D3255"/>
    </row>
    <row r="3256" spans="4:4" x14ac:dyDescent="0.3">
      <c r="D3256"/>
    </row>
    <row r="3257" spans="4:4" x14ac:dyDescent="0.3">
      <c r="D3257"/>
    </row>
    <row r="3258" spans="4:4" x14ac:dyDescent="0.3">
      <c r="D3258"/>
    </row>
    <row r="3259" spans="4:4" x14ac:dyDescent="0.3">
      <c r="D3259"/>
    </row>
    <row r="3260" spans="4:4" x14ac:dyDescent="0.3">
      <c r="D3260"/>
    </row>
    <row r="3261" spans="4:4" x14ac:dyDescent="0.3">
      <c r="D3261"/>
    </row>
    <row r="3262" spans="4:4" x14ac:dyDescent="0.3">
      <c r="D3262"/>
    </row>
    <row r="3263" spans="4:4" x14ac:dyDescent="0.3">
      <c r="D3263"/>
    </row>
    <row r="3264" spans="4:4" x14ac:dyDescent="0.3">
      <c r="D3264"/>
    </row>
    <row r="3265" spans="4:4" x14ac:dyDescent="0.3">
      <c r="D3265"/>
    </row>
    <row r="3266" spans="4:4" x14ac:dyDescent="0.3">
      <c r="D3266"/>
    </row>
    <row r="3267" spans="4:4" x14ac:dyDescent="0.3">
      <c r="D3267"/>
    </row>
    <row r="3268" spans="4:4" x14ac:dyDescent="0.3">
      <c r="D3268"/>
    </row>
    <row r="3269" spans="4:4" x14ac:dyDescent="0.3">
      <c r="D3269"/>
    </row>
    <row r="3270" spans="4:4" x14ac:dyDescent="0.3">
      <c r="D3270"/>
    </row>
    <row r="3271" spans="4:4" x14ac:dyDescent="0.3">
      <c r="D3271"/>
    </row>
    <row r="3272" spans="4:4" x14ac:dyDescent="0.3">
      <c r="D3272"/>
    </row>
    <row r="3273" spans="4:4" x14ac:dyDescent="0.3">
      <c r="D3273"/>
    </row>
    <row r="3274" spans="4:4" x14ac:dyDescent="0.3">
      <c r="D3274"/>
    </row>
    <row r="3275" spans="4:4" x14ac:dyDescent="0.3">
      <c r="D3275"/>
    </row>
    <row r="3276" spans="4:4" x14ac:dyDescent="0.3">
      <c r="D3276"/>
    </row>
    <row r="3277" spans="4:4" x14ac:dyDescent="0.3">
      <c r="D3277"/>
    </row>
    <row r="3278" spans="4:4" x14ac:dyDescent="0.3">
      <c r="D3278"/>
    </row>
    <row r="3279" spans="4:4" x14ac:dyDescent="0.3">
      <c r="D3279"/>
    </row>
    <row r="3280" spans="4:4" x14ac:dyDescent="0.3">
      <c r="D3280"/>
    </row>
    <row r="3281" spans="4:4" x14ac:dyDescent="0.3">
      <c r="D3281"/>
    </row>
    <row r="3282" spans="4:4" x14ac:dyDescent="0.3">
      <c r="D3282"/>
    </row>
    <row r="3283" spans="4:4" x14ac:dyDescent="0.3">
      <c r="D3283"/>
    </row>
    <row r="3284" spans="4:4" x14ac:dyDescent="0.3">
      <c r="D3284"/>
    </row>
    <row r="3285" spans="4:4" x14ac:dyDescent="0.3">
      <c r="D3285"/>
    </row>
    <row r="3286" spans="4:4" x14ac:dyDescent="0.3">
      <c r="D3286"/>
    </row>
    <row r="3287" spans="4:4" x14ac:dyDescent="0.3">
      <c r="D3287"/>
    </row>
    <row r="3288" spans="4:4" x14ac:dyDescent="0.3">
      <c r="D3288"/>
    </row>
    <row r="3289" spans="4:4" x14ac:dyDescent="0.3">
      <c r="D3289"/>
    </row>
    <row r="3290" spans="4:4" x14ac:dyDescent="0.3">
      <c r="D3290"/>
    </row>
    <row r="3291" spans="4:4" x14ac:dyDescent="0.3">
      <c r="D3291"/>
    </row>
    <row r="3292" spans="4:4" x14ac:dyDescent="0.3">
      <c r="D3292"/>
    </row>
    <row r="3293" spans="4:4" x14ac:dyDescent="0.3">
      <c r="D3293"/>
    </row>
    <row r="3294" spans="4:4" x14ac:dyDescent="0.3">
      <c r="D3294"/>
    </row>
    <row r="3295" spans="4:4" x14ac:dyDescent="0.3">
      <c r="D3295"/>
    </row>
    <row r="3296" spans="4:4" x14ac:dyDescent="0.3">
      <c r="D3296"/>
    </row>
    <row r="3297" spans="4:4" x14ac:dyDescent="0.3">
      <c r="D3297"/>
    </row>
    <row r="3298" spans="4:4" x14ac:dyDescent="0.3">
      <c r="D3298"/>
    </row>
    <row r="3299" spans="4:4" x14ac:dyDescent="0.3">
      <c r="D3299"/>
    </row>
    <row r="3300" spans="4:4" x14ac:dyDescent="0.3">
      <c r="D3300"/>
    </row>
    <row r="3301" spans="4:4" x14ac:dyDescent="0.3">
      <c r="D3301"/>
    </row>
    <row r="3302" spans="4:4" x14ac:dyDescent="0.3">
      <c r="D3302"/>
    </row>
    <row r="3303" spans="4:4" x14ac:dyDescent="0.3">
      <c r="D3303"/>
    </row>
    <row r="3304" spans="4:4" x14ac:dyDescent="0.3">
      <c r="D3304"/>
    </row>
    <row r="3305" spans="4:4" x14ac:dyDescent="0.3">
      <c r="D3305"/>
    </row>
    <row r="3306" spans="4:4" x14ac:dyDescent="0.3">
      <c r="D3306"/>
    </row>
    <row r="3307" spans="4:4" x14ac:dyDescent="0.3">
      <c r="D3307"/>
    </row>
    <row r="3308" spans="4:4" x14ac:dyDescent="0.3">
      <c r="D3308"/>
    </row>
    <row r="3309" spans="4:4" x14ac:dyDescent="0.3">
      <c r="D3309"/>
    </row>
    <row r="3310" spans="4:4" x14ac:dyDescent="0.3">
      <c r="D3310"/>
    </row>
    <row r="3311" spans="4:4" x14ac:dyDescent="0.3">
      <c r="D3311"/>
    </row>
    <row r="3312" spans="4:4" x14ac:dyDescent="0.3">
      <c r="D3312"/>
    </row>
    <row r="3313" spans="4:4" x14ac:dyDescent="0.3">
      <c r="D3313"/>
    </row>
    <row r="3314" spans="4:4" x14ac:dyDescent="0.3">
      <c r="D3314"/>
    </row>
    <row r="3315" spans="4:4" x14ac:dyDescent="0.3">
      <c r="D3315"/>
    </row>
    <row r="3316" spans="4:4" x14ac:dyDescent="0.3">
      <c r="D3316"/>
    </row>
    <row r="3317" spans="4:4" x14ac:dyDescent="0.3">
      <c r="D3317"/>
    </row>
    <row r="3318" spans="4:4" x14ac:dyDescent="0.3">
      <c r="D3318"/>
    </row>
    <row r="3319" spans="4:4" x14ac:dyDescent="0.3">
      <c r="D3319"/>
    </row>
    <row r="3320" spans="4:4" x14ac:dyDescent="0.3">
      <c r="D3320"/>
    </row>
    <row r="3321" spans="4:4" x14ac:dyDescent="0.3">
      <c r="D3321"/>
    </row>
    <row r="3322" spans="4:4" x14ac:dyDescent="0.3">
      <c r="D3322"/>
    </row>
    <row r="3323" spans="4:4" x14ac:dyDescent="0.3">
      <c r="D3323"/>
    </row>
    <row r="3324" spans="4:4" x14ac:dyDescent="0.3">
      <c r="D3324"/>
    </row>
    <row r="3325" spans="4:4" x14ac:dyDescent="0.3">
      <c r="D3325"/>
    </row>
    <row r="3326" spans="4:4" x14ac:dyDescent="0.3">
      <c r="D3326"/>
    </row>
    <row r="3327" spans="4:4" x14ac:dyDescent="0.3">
      <c r="D3327"/>
    </row>
    <row r="3328" spans="4:4" x14ac:dyDescent="0.3">
      <c r="D3328"/>
    </row>
    <row r="3329" spans="4:4" x14ac:dyDescent="0.3">
      <c r="D3329"/>
    </row>
    <row r="3330" spans="4:4" x14ac:dyDescent="0.3">
      <c r="D3330"/>
    </row>
    <row r="3331" spans="4:4" x14ac:dyDescent="0.3">
      <c r="D3331"/>
    </row>
    <row r="3332" spans="4:4" x14ac:dyDescent="0.3">
      <c r="D3332"/>
    </row>
    <row r="3333" spans="4:4" x14ac:dyDescent="0.3">
      <c r="D3333"/>
    </row>
    <row r="3334" spans="4:4" x14ac:dyDescent="0.3">
      <c r="D3334"/>
    </row>
    <row r="3335" spans="4:4" x14ac:dyDescent="0.3">
      <c r="D3335"/>
    </row>
    <row r="3336" spans="4:4" x14ac:dyDescent="0.3">
      <c r="D3336"/>
    </row>
    <row r="3337" spans="4:4" x14ac:dyDescent="0.3">
      <c r="D3337"/>
    </row>
    <row r="3338" spans="4:4" x14ac:dyDescent="0.3">
      <c r="D3338"/>
    </row>
    <row r="3339" spans="4:4" x14ac:dyDescent="0.3">
      <c r="D3339"/>
    </row>
    <row r="3340" spans="4:4" x14ac:dyDescent="0.3">
      <c r="D3340"/>
    </row>
    <row r="3341" spans="4:4" x14ac:dyDescent="0.3">
      <c r="D3341"/>
    </row>
    <row r="3342" spans="4:4" x14ac:dyDescent="0.3">
      <c r="D3342"/>
    </row>
    <row r="3343" spans="4:4" x14ac:dyDescent="0.3">
      <c r="D3343"/>
    </row>
    <row r="3344" spans="4:4" x14ac:dyDescent="0.3">
      <c r="D3344"/>
    </row>
    <row r="3345" spans="4:4" x14ac:dyDescent="0.3">
      <c r="D3345"/>
    </row>
    <row r="3346" spans="4:4" x14ac:dyDescent="0.3">
      <c r="D3346"/>
    </row>
    <row r="3347" spans="4:4" x14ac:dyDescent="0.3">
      <c r="D3347"/>
    </row>
    <row r="3348" spans="4:4" x14ac:dyDescent="0.3">
      <c r="D3348"/>
    </row>
    <row r="3349" spans="4:4" x14ac:dyDescent="0.3">
      <c r="D3349"/>
    </row>
    <row r="3350" spans="4:4" x14ac:dyDescent="0.3">
      <c r="D3350"/>
    </row>
    <row r="3351" spans="4:4" x14ac:dyDescent="0.3">
      <c r="D3351"/>
    </row>
    <row r="3352" spans="4:4" x14ac:dyDescent="0.3">
      <c r="D3352"/>
    </row>
    <row r="3353" spans="4:4" x14ac:dyDescent="0.3">
      <c r="D3353"/>
    </row>
    <row r="3354" spans="4:4" x14ac:dyDescent="0.3">
      <c r="D3354"/>
    </row>
    <row r="3355" spans="4:4" x14ac:dyDescent="0.3">
      <c r="D3355"/>
    </row>
    <row r="3356" spans="4:4" x14ac:dyDescent="0.3">
      <c r="D3356"/>
    </row>
    <row r="3357" spans="4:4" x14ac:dyDescent="0.3">
      <c r="D3357"/>
    </row>
    <row r="3358" spans="4:4" x14ac:dyDescent="0.3">
      <c r="D3358"/>
    </row>
    <row r="3359" spans="4:4" x14ac:dyDescent="0.3">
      <c r="D3359"/>
    </row>
    <row r="3360" spans="4:4" x14ac:dyDescent="0.3">
      <c r="D3360"/>
    </row>
    <row r="3361" spans="4:4" x14ac:dyDescent="0.3">
      <c r="D3361"/>
    </row>
    <row r="3362" spans="4:4" x14ac:dyDescent="0.3">
      <c r="D3362"/>
    </row>
    <row r="3363" spans="4:4" x14ac:dyDescent="0.3">
      <c r="D3363"/>
    </row>
    <row r="3364" spans="4:4" x14ac:dyDescent="0.3">
      <c r="D3364"/>
    </row>
    <row r="3365" spans="4:4" x14ac:dyDescent="0.3">
      <c r="D3365"/>
    </row>
    <row r="3366" spans="4:4" x14ac:dyDescent="0.3">
      <c r="D3366"/>
    </row>
    <row r="3367" spans="4:4" x14ac:dyDescent="0.3">
      <c r="D3367"/>
    </row>
    <row r="3368" spans="4:4" x14ac:dyDescent="0.3">
      <c r="D3368"/>
    </row>
    <row r="3369" spans="4:4" x14ac:dyDescent="0.3">
      <c r="D3369"/>
    </row>
    <row r="3370" spans="4:4" x14ac:dyDescent="0.3">
      <c r="D3370"/>
    </row>
    <row r="3371" spans="4:4" x14ac:dyDescent="0.3">
      <c r="D3371"/>
    </row>
    <row r="3372" spans="4:4" x14ac:dyDescent="0.3">
      <c r="D3372"/>
    </row>
    <row r="3373" spans="4:4" x14ac:dyDescent="0.3">
      <c r="D3373"/>
    </row>
    <row r="3374" spans="4:4" x14ac:dyDescent="0.3">
      <c r="D3374"/>
    </row>
    <row r="3375" spans="4:4" x14ac:dyDescent="0.3">
      <c r="D3375"/>
    </row>
    <row r="3376" spans="4:4" x14ac:dyDescent="0.3">
      <c r="D3376"/>
    </row>
    <row r="3377" spans="4:4" x14ac:dyDescent="0.3">
      <c r="D3377"/>
    </row>
    <row r="3378" spans="4:4" x14ac:dyDescent="0.3">
      <c r="D3378"/>
    </row>
    <row r="3379" spans="4:4" x14ac:dyDescent="0.3">
      <c r="D3379"/>
    </row>
    <row r="3380" spans="4:4" x14ac:dyDescent="0.3">
      <c r="D3380"/>
    </row>
    <row r="3381" spans="4:4" x14ac:dyDescent="0.3">
      <c r="D3381"/>
    </row>
    <row r="3382" spans="4:4" x14ac:dyDescent="0.3">
      <c r="D3382"/>
    </row>
    <row r="3383" spans="4:4" x14ac:dyDescent="0.3">
      <c r="D3383"/>
    </row>
    <row r="3384" spans="4:4" x14ac:dyDescent="0.3">
      <c r="D3384"/>
    </row>
    <row r="3385" spans="4:4" x14ac:dyDescent="0.3">
      <c r="D3385"/>
    </row>
    <row r="3386" spans="4:4" x14ac:dyDescent="0.3">
      <c r="D3386"/>
    </row>
    <row r="3387" spans="4:4" x14ac:dyDescent="0.3">
      <c r="D3387"/>
    </row>
    <row r="3388" spans="4:4" x14ac:dyDescent="0.3">
      <c r="D3388"/>
    </row>
    <row r="3389" spans="4:4" x14ac:dyDescent="0.3">
      <c r="D3389"/>
    </row>
    <row r="3390" spans="4:4" x14ac:dyDescent="0.3">
      <c r="D3390"/>
    </row>
    <row r="3391" spans="4:4" x14ac:dyDescent="0.3">
      <c r="D3391"/>
    </row>
    <row r="3392" spans="4:4" x14ac:dyDescent="0.3">
      <c r="D3392"/>
    </row>
    <row r="3393" spans="4:4" x14ac:dyDescent="0.3">
      <c r="D3393"/>
    </row>
    <row r="3394" spans="4:4" x14ac:dyDescent="0.3">
      <c r="D3394"/>
    </row>
    <row r="3395" spans="4:4" x14ac:dyDescent="0.3">
      <c r="D3395"/>
    </row>
    <row r="3396" spans="4:4" x14ac:dyDescent="0.3">
      <c r="D3396"/>
    </row>
    <row r="3397" spans="4:4" x14ac:dyDescent="0.3">
      <c r="D3397"/>
    </row>
    <row r="3398" spans="4:4" x14ac:dyDescent="0.3">
      <c r="D3398"/>
    </row>
    <row r="3399" spans="4:4" x14ac:dyDescent="0.3">
      <c r="D3399"/>
    </row>
    <row r="3400" spans="4:4" x14ac:dyDescent="0.3">
      <c r="D3400"/>
    </row>
    <row r="3401" spans="4:4" x14ac:dyDescent="0.3">
      <c r="D3401"/>
    </row>
    <row r="3402" spans="4:4" x14ac:dyDescent="0.3">
      <c r="D3402"/>
    </row>
    <row r="3403" spans="4:4" x14ac:dyDescent="0.3">
      <c r="D3403"/>
    </row>
    <row r="3404" spans="4:4" x14ac:dyDescent="0.3">
      <c r="D3404"/>
    </row>
    <row r="3405" spans="4:4" x14ac:dyDescent="0.3">
      <c r="D3405"/>
    </row>
    <row r="3406" spans="4:4" x14ac:dyDescent="0.3">
      <c r="D3406"/>
    </row>
    <row r="3407" spans="4:4" x14ac:dyDescent="0.3">
      <c r="D3407"/>
    </row>
    <row r="3408" spans="4:4" x14ac:dyDescent="0.3">
      <c r="D3408"/>
    </row>
    <row r="3409" spans="4:4" x14ac:dyDescent="0.3">
      <c r="D3409"/>
    </row>
    <row r="3410" spans="4:4" x14ac:dyDescent="0.3">
      <c r="D3410"/>
    </row>
    <row r="3411" spans="4:4" x14ac:dyDescent="0.3">
      <c r="D3411"/>
    </row>
    <row r="3412" spans="4:4" x14ac:dyDescent="0.3">
      <c r="D3412"/>
    </row>
    <row r="3413" spans="4:4" x14ac:dyDescent="0.3">
      <c r="D3413"/>
    </row>
    <row r="3414" spans="4:4" x14ac:dyDescent="0.3">
      <c r="D3414"/>
    </row>
    <row r="3415" spans="4:4" x14ac:dyDescent="0.3">
      <c r="D3415"/>
    </row>
    <row r="3416" spans="4:4" x14ac:dyDescent="0.3">
      <c r="D3416"/>
    </row>
    <row r="3417" spans="4:4" x14ac:dyDescent="0.3">
      <c r="D3417"/>
    </row>
    <row r="3418" spans="4:4" x14ac:dyDescent="0.3">
      <c r="D3418"/>
    </row>
    <row r="3419" spans="4:4" x14ac:dyDescent="0.3">
      <c r="D3419"/>
    </row>
    <row r="3420" spans="4:4" x14ac:dyDescent="0.3">
      <c r="D3420"/>
    </row>
    <row r="3421" spans="4:4" x14ac:dyDescent="0.3">
      <c r="D3421"/>
    </row>
    <row r="3422" spans="4:4" x14ac:dyDescent="0.3">
      <c r="D3422"/>
    </row>
    <row r="3423" spans="4:4" x14ac:dyDescent="0.3">
      <c r="D3423"/>
    </row>
    <row r="3424" spans="4:4" x14ac:dyDescent="0.3">
      <c r="D3424"/>
    </row>
    <row r="3425" spans="4:4" x14ac:dyDescent="0.3">
      <c r="D3425"/>
    </row>
    <row r="3426" spans="4:4" x14ac:dyDescent="0.3">
      <c r="D3426"/>
    </row>
    <row r="3427" spans="4:4" x14ac:dyDescent="0.3">
      <c r="D3427"/>
    </row>
    <row r="3428" spans="4:4" x14ac:dyDescent="0.3">
      <c r="D3428"/>
    </row>
    <row r="3429" spans="4:4" x14ac:dyDescent="0.3">
      <c r="D3429"/>
    </row>
    <row r="3430" spans="4:4" x14ac:dyDescent="0.3">
      <c r="D3430"/>
    </row>
    <row r="3431" spans="4:4" x14ac:dyDescent="0.3">
      <c r="D3431"/>
    </row>
    <row r="3432" spans="4:4" x14ac:dyDescent="0.3">
      <c r="D3432"/>
    </row>
    <row r="3433" spans="4:4" x14ac:dyDescent="0.3">
      <c r="D3433"/>
    </row>
    <row r="3434" spans="4:4" x14ac:dyDescent="0.3">
      <c r="D3434"/>
    </row>
    <row r="3435" spans="4:4" x14ac:dyDescent="0.3">
      <c r="D3435"/>
    </row>
    <row r="3436" spans="4:4" x14ac:dyDescent="0.3">
      <c r="D3436"/>
    </row>
    <row r="3437" spans="4:4" x14ac:dyDescent="0.3">
      <c r="D3437"/>
    </row>
    <row r="3438" spans="4:4" x14ac:dyDescent="0.3">
      <c r="D3438"/>
    </row>
    <row r="3439" spans="4:4" x14ac:dyDescent="0.3">
      <c r="D3439"/>
    </row>
    <row r="3440" spans="4:4" x14ac:dyDescent="0.3">
      <c r="D3440"/>
    </row>
    <row r="3441" spans="4:4" x14ac:dyDescent="0.3">
      <c r="D3441"/>
    </row>
    <row r="3442" spans="4:4" x14ac:dyDescent="0.3">
      <c r="D3442"/>
    </row>
    <row r="3443" spans="4:4" x14ac:dyDescent="0.3">
      <c r="D3443"/>
    </row>
    <row r="3444" spans="4:4" x14ac:dyDescent="0.3">
      <c r="D3444"/>
    </row>
    <row r="3445" spans="4:4" x14ac:dyDescent="0.3">
      <c r="D3445"/>
    </row>
    <row r="3446" spans="4:4" x14ac:dyDescent="0.3">
      <c r="D3446"/>
    </row>
    <row r="3447" spans="4:4" x14ac:dyDescent="0.3">
      <c r="D3447"/>
    </row>
    <row r="3448" spans="4:4" x14ac:dyDescent="0.3">
      <c r="D3448"/>
    </row>
    <row r="3449" spans="4:4" x14ac:dyDescent="0.3">
      <c r="D3449"/>
    </row>
    <row r="3450" spans="4:4" x14ac:dyDescent="0.3">
      <c r="D3450"/>
    </row>
    <row r="3451" spans="4:4" x14ac:dyDescent="0.3">
      <c r="D3451"/>
    </row>
    <row r="3452" spans="4:4" x14ac:dyDescent="0.3">
      <c r="D3452"/>
    </row>
    <row r="3453" spans="4:4" x14ac:dyDescent="0.3">
      <c r="D3453"/>
    </row>
    <row r="3454" spans="4:4" x14ac:dyDescent="0.3">
      <c r="D3454"/>
    </row>
    <row r="3455" spans="4:4" x14ac:dyDescent="0.3">
      <c r="D3455"/>
    </row>
    <row r="3456" spans="4:4" x14ac:dyDescent="0.3">
      <c r="D3456"/>
    </row>
    <row r="3457" spans="4:4" x14ac:dyDescent="0.3">
      <c r="D3457"/>
    </row>
    <row r="3458" spans="4:4" x14ac:dyDescent="0.3">
      <c r="D3458"/>
    </row>
    <row r="3459" spans="4:4" x14ac:dyDescent="0.3">
      <c r="D3459"/>
    </row>
    <row r="3460" spans="4:4" x14ac:dyDescent="0.3">
      <c r="D3460"/>
    </row>
    <row r="3461" spans="4:4" x14ac:dyDescent="0.3">
      <c r="D3461"/>
    </row>
    <row r="3462" spans="4:4" x14ac:dyDescent="0.3">
      <c r="D3462"/>
    </row>
    <row r="3463" spans="4:4" x14ac:dyDescent="0.3">
      <c r="D3463"/>
    </row>
    <row r="3464" spans="4:4" x14ac:dyDescent="0.3">
      <c r="D3464"/>
    </row>
    <row r="3465" spans="4:4" x14ac:dyDescent="0.3">
      <c r="D3465"/>
    </row>
    <row r="3466" spans="4:4" x14ac:dyDescent="0.3">
      <c r="D3466"/>
    </row>
    <row r="3467" spans="4:4" x14ac:dyDescent="0.3">
      <c r="D3467"/>
    </row>
    <row r="3468" spans="4:4" x14ac:dyDescent="0.3">
      <c r="D3468"/>
    </row>
    <row r="3469" spans="4:4" x14ac:dyDescent="0.3">
      <c r="D3469"/>
    </row>
    <row r="3470" spans="4:4" x14ac:dyDescent="0.3">
      <c r="D3470"/>
    </row>
    <row r="3471" spans="4:4" x14ac:dyDescent="0.3">
      <c r="D3471"/>
    </row>
    <row r="3472" spans="4:4" x14ac:dyDescent="0.3">
      <c r="D3472"/>
    </row>
    <row r="3473" spans="4:4" x14ac:dyDescent="0.3">
      <c r="D3473"/>
    </row>
    <row r="3474" spans="4:4" x14ac:dyDescent="0.3">
      <c r="D3474"/>
    </row>
    <row r="3475" spans="4:4" x14ac:dyDescent="0.3">
      <c r="D3475"/>
    </row>
    <row r="3476" spans="4:4" x14ac:dyDescent="0.3">
      <c r="D3476"/>
    </row>
    <row r="3477" spans="4:4" x14ac:dyDescent="0.3">
      <c r="D3477"/>
    </row>
    <row r="3478" spans="4:4" x14ac:dyDescent="0.3">
      <c r="D3478"/>
    </row>
    <row r="3479" spans="4:4" x14ac:dyDescent="0.3">
      <c r="D3479"/>
    </row>
    <row r="3480" spans="4:4" x14ac:dyDescent="0.3">
      <c r="D3480"/>
    </row>
    <row r="3481" spans="4:4" x14ac:dyDescent="0.3">
      <c r="D3481"/>
    </row>
    <row r="3482" spans="4:4" x14ac:dyDescent="0.3">
      <c r="D3482"/>
    </row>
    <row r="3483" spans="4:4" x14ac:dyDescent="0.3">
      <c r="D3483"/>
    </row>
    <row r="3484" spans="4:4" x14ac:dyDescent="0.3">
      <c r="D3484"/>
    </row>
    <row r="3485" spans="4:4" x14ac:dyDescent="0.3">
      <c r="D3485"/>
    </row>
    <row r="3486" spans="4:4" x14ac:dyDescent="0.3">
      <c r="D3486"/>
    </row>
    <row r="3487" spans="4:4" x14ac:dyDescent="0.3">
      <c r="D3487"/>
    </row>
    <row r="3488" spans="4:4" x14ac:dyDescent="0.3">
      <c r="D3488"/>
    </row>
    <row r="3489" spans="4:4" x14ac:dyDescent="0.3">
      <c r="D3489"/>
    </row>
    <row r="3490" spans="4:4" x14ac:dyDescent="0.3">
      <c r="D3490"/>
    </row>
    <row r="3491" spans="4:4" x14ac:dyDescent="0.3">
      <c r="D3491"/>
    </row>
    <row r="3492" spans="4:4" x14ac:dyDescent="0.3">
      <c r="D3492"/>
    </row>
    <row r="3493" spans="4:4" x14ac:dyDescent="0.3">
      <c r="D3493"/>
    </row>
    <row r="3494" spans="4:4" x14ac:dyDescent="0.3">
      <c r="D3494"/>
    </row>
    <row r="3495" spans="4:4" x14ac:dyDescent="0.3">
      <c r="D3495"/>
    </row>
    <row r="3496" spans="4:4" x14ac:dyDescent="0.3">
      <c r="D3496"/>
    </row>
    <row r="3497" spans="4:4" x14ac:dyDescent="0.3">
      <c r="D3497"/>
    </row>
    <row r="3498" spans="4:4" x14ac:dyDescent="0.3">
      <c r="D3498"/>
    </row>
    <row r="3499" spans="4:4" x14ac:dyDescent="0.3">
      <c r="D3499"/>
    </row>
    <row r="3500" spans="4:4" x14ac:dyDescent="0.3">
      <c r="D3500"/>
    </row>
  </sheetData>
  <phoneticPr fontId="12" type="noConversion"/>
  <conditionalFormatting sqref="BB2:BB498">
    <cfRule type="duplicateValues" dxfId="4" priority="13"/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32B7-0729-4A67-B34B-680BE201309E}">
  <dimension ref="A1:AS82"/>
  <sheetViews>
    <sheetView workbookViewId="0"/>
  </sheetViews>
  <sheetFormatPr baseColWidth="10" defaultColWidth="11.44140625" defaultRowHeight="14.4" x14ac:dyDescent="0.3"/>
  <cols>
    <col min="1" max="1" width="43.44140625" bestFit="1" customWidth="1"/>
    <col min="2" max="2" width="19.44140625" bestFit="1" customWidth="1"/>
    <col min="3" max="3" width="35.109375" bestFit="1" customWidth="1"/>
    <col min="4" max="4" width="16.6640625" bestFit="1" customWidth="1"/>
    <col min="5" max="5" width="13" bestFit="1" customWidth="1"/>
    <col min="6" max="6" width="23.33203125" bestFit="1" customWidth="1"/>
    <col min="7" max="7" width="23.6640625" bestFit="1" customWidth="1"/>
    <col min="8" max="8" width="23.33203125" bestFit="1" customWidth="1"/>
    <col min="9" max="9" width="18.33203125" bestFit="1" customWidth="1"/>
    <col min="10" max="10" width="23.6640625" bestFit="1" customWidth="1"/>
    <col min="11" max="11" width="23.33203125" bestFit="1" customWidth="1"/>
    <col min="12" max="12" width="11.6640625" bestFit="1" customWidth="1"/>
    <col min="13" max="13" width="15.109375" bestFit="1" customWidth="1"/>
    <col min="14" max="14" width="14.109375" bestFit="1" customWidth="1"/>
    <col min="15" max="15" width="31.33203125" bestFit="1" customWidth="1"/>
    <col min="16" max="16" width="16.33203125" bestFit="1" customWidth="1"/>
    <col min="17" max="17" width="12.6640625" bestFit="1" customWidth="1"/>
    <col min="18" max="18" width="23.88671875" bestFit="1" customWidth="1"/>
    <col min="19" max="19" width="31.5546875" bestFit="1" customWidth="1"/>
    <col min="20" max="20" width="33" bestFit="1" customWidth="1"/>
    <col min="21" max="21" width="33.44140625" bestFit="1" customWidth="1"/>
    <col min="22" max="22" width="20.33203125" bestFit="1" customWidth="1"/>
    <col min="23" max="23" width="13" bestFit="1" customWidth="1"/>
    <col min="24" max="24" width="18.6640625" bestFit="1" customWidth="1"/>
    <col min="25" max="25" width="30" bestFit="1" customWidth="1"/>
    <col min="26" max="27" width="21.5546875" bestFit="1" customWidth="1"/>
    <col min="28" max="28" width="19" bestFit="1" customWidth="1"/>
    <col min="29" max="29" width="10.5546875" bestFit="1" customWidth="1"/>
    <col min="30" max="30" width="21" bestFit="1" customWidth="1"/>
    <col min="31" max="31" width="26.88671875" bestFit="1" customWidth="1"/>
    <col min="32" max="32" width="26.6640625" bestFit="1" customWidth="1"/>
    <col min="33" max="33" width="18.5546875" bestFit="1" customWidth="1"/>
    <col min="34" max="34" width="19.109375" bestFit="1" customWidth="1"/>
    <col min="35" max="35" width="8.33203125" bestFit="1" customWidth="1"/>
    <col min="36" max="36" width="19.6640625" bestFit="1" customWidth="1"/>
    <col min="37" max="37" width="21.109375" bestFit="1" customWidth="1"/>
    <col min="38" max="38" width="18.33203125" bestFit="1" customWidth="1"/>
    <col min="39" max="39" width="19.6640625" bestFit="1" customWidth="1"/>
    <col min="40" max="40" width="22.33203125" bestFit="1" customWidth="1"/>
    <col min="41" max="41" width="16.33203125" bestFit="1" customWidth="1"/>
    <col min="42" max="42" width="10.109375" bestFit="1" customWidth="1"/>
    <col min="43" max="43" width="16" bestFit="1" customWidth="1"/>
    <col min="44" max="44" width="14" bestFit="1" customWidth="1"/>
    <col min="45" max="45" width="15.6640625" bestFit="1" customWidth="1"/>
    <col min="46" max="46" width="15.88671875" bestFit="1" customWidth="1"/>
    <col min="47" max="47" width="9.6640625" bestFit="1" customWidth="1"/>
    <col min="48" max="48" width="15.33203125" bestFit="1" customWidth="1"/>
    <col min="49" max="49" width="13.6640625" bestFit="1" customWidth="1"/>
    <col min="50" max="50" width="15.109375" bestFit="1" customWidth="1"/>
    <col min="51" max="51" width="7.109375" bestFit="1" customWidth="1"/>
  </cols>
  <sheetData>
    <row r="1" spans="1:45" x14ac:dyDescent="0.3">
      <c r="A1" t="s">
        <v>3</v>
      </c>
      <c r="B1" t="s">
        <v>13</v>
      </c>
      <c r="C1" t="s">
        <v>19</v>
      </c>
      <c r="D1" t="s">
        <v>27</v>
      </c>
      <c r="E1" t="s">
        <v>30</v>
      </c>
      <c r="F1" t="s">
        <v>33</v>
      </c>
      <c r="G1" t="s">
        <v>36</v>
      </c>
      <c r="H1" t="s">
        <v>39</v>
      </c>
      <c r="I1" t="s">
        <v>41</v>
      </c>
      <c r="J1" t="s">
        <v>43</v>
      </c>
      <c r="K1" t="s">
        <v>45</v>
      </c>
      <c r="L1" t="s">
        <v>47</v>
      </c>
      <c r="M1" t="s">
        <v>49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11</v>
      </c>
      <c r="T1" t="s">
        <v>17</v>
      </c>
      <c r="U1" t="s">
        <v>22</v>
      </c>
      <c r="V1" t="s">
        <v>9</v>
      </c>
      <c r="W1" t="s">
        <v>16</v>
      </c>
      <c r="X1" t="s">
        <v>21</v>
      </c>
      <c r="Y1" t="s">
        <v>26</v>
      </c>
      <c r="Z1" t="s">
        <v>29</v>
      </c>
      <c r="AA1" t="s">
        <v>32</v>
      </c>
      <c r="AB1" t="s">
        <v>35</v>
      </c>
      <c r="AC1" t="s">
        <v>38</v>
      </c>
      <c r="AD1" t="s">
        <v>40</v>
      </c>
      <c r="AE1" t="s">
        <v>42</v>
      </c>
      <c r="AF1" t="s">
        <v>44</v>
      </c>
      <c r="AG1" t="s">
        <v>46</v>
      </c>
      <c r="AH1" t="s">
        <v>48</v>
      </c>
      <c r="AI1" t="s">
        <v>50</v>
      </c>
      <c r="AJ1" t="s">
        <v>7</v>
      </c>
      <c r="AK1" t="s">
        <v>15</v>
      </c>
      <c r="AL1" t="s">
        <v>5</v>
      </c>
      <c r="AM1" t="s">
        <v>14</v>
      </c>
      <c r="AN1" t="s">
        <v>20</v>
      </c>
      <c r="AO1" t="s">
        <v>25</v>
      </c>
      <c r="AP1" t="s">
        <v>28</v>
      </c>
      <c r="AQ1" t="s">
        <v>31</v>
      </c>
      <c r="AR1" t="s">
        <v>34</v>
      </c>
      <c r="AS1" t="s">
        <v>37</v>
      </c>
    </row>
    <row r="2" spans="1:45" x14ac:dyDescent="0.3">
      <c r="A2" t="s">
        <v>1160</v>
      </c>
      <c r="B2" t="s">
        <v>383</v>
      </c>
      <c r="C2" t="s">
        <v>1161</v>
      </c>
      <c r="D2">
        <v>64474.400000000001</v>
      </c>
      <c r="E2" t="s">
        <v>1162</v>
      </c>
      <c r="H2">
        <v>0</v>
      </c>
      <c r="I2">
        <v>14723367</v>
      </c>
      <c r="J2">
        <v>14723367</v>
      </c>
      <c r="K2">
        <v>0</v>
      </c>
      <c r="L2" t="s">
        <v>1140</v>
      </c>
      <c r="M2" t="s">
        <v>1163</v>
      </c>
      <c r="O2" t="s">
        <v>1164</v>
      </c>
      <c r="P2" t="s">
        <v>77</v>
      </c>
      <c r="Q2" t="s">
        <v>98</v>
      </c>
      <c r="R2">
        <v>4794.6475192715652</v>
      </c>
      <c r="S2">
        <v>14723367</v>
      </c>
      <c r="T2">
        <v>0</v>
      </c>
      <c r="U2">
        <v>14723367</v>
      </c>
      <c r="V2">
        <v>64474.400000000001</v>
      </c>
      <c r="W2" t="s">
        <v>1165</v>
      </c>
      <c r="X2">
        <v>44043</v>
      </c>
      <c r="Y2" t="s">
        <v>1166</v>
      </c>
      <c r="Z2" t="s">
        <v>1167</v>
      </c>
      <c r="AA2" t="s">
        <v>1168</v>
      </c>
      <c r="AB2" t="s">
        <v>1169</v>
      </c>
      <c r="AC2" t="s">
        <v>1168</v>
      </c>
      <c r="AD2" t="s">
        <v>1170</v>
      </c>
      <c r="AE2">
        <v>45611</v>
      </c>
      <c r="AJ2">
        <v>0.4198187978982254</v>
      </c>
      <c r="AK2">
        <v>27067.565103209345</v>
      </c>
      <c r="AL2">
        <v>0.4198187978982254</v>
      </c>
      <c r="AM2">
        <v>27067.565103209345</v>
      </c>
      <c r="AO2">
        <v>44221</v>
      </c>
      <c r="AP2" t="s">
        <v>805</v>
      </c>
      <c r="AQ2">
        <v>27067.565103209345</v>
      </c>
      <c r="AR2" t="s">
        <v>805</v>
      </c>
      <c r="AS2" t="s">
        <v>155</v>
      </c>
    </row>
    <row r="3" spans="1:45" x14ac:dyDescent="0.3">
      <c r="A3" t="s">
        <v>70</v>
      </c>
      <c r="B3" t="s">
        <v>169</v>
      </c>
      <c r="C3" t="s">
        <v>1171</v>
      </c>
      <c r="D3">
        <v>152700</v>
      </c>
      <c r="E3" t="s">
        <v>1162</v>
      </c>
      <c r="H3">
        <v>0</v>
      </c>
      <c r="S3">
        <v>0</v>
      </c>
      <c r="T3">
        <v>0</v>
      </c>
      <c r="U3">
        <v>0</v>
      </c>
    </row>
    <row r="4" spans="1:45" x14ac:dyDescent="0.3">
      <c r="A4" t="s">
        <v>70</v>
      </c>
      <c r="B4" t="s">
        <v>71</v>
      </c>
      <c r="C4" t="s">
        <v>1172</v>
      </c>
      <c r="D4">
        <v>10000</v>
      </c>
      <c r="E4" t="s">
        <v>1162</v>
      </c>
      <c r="S4">
        <v>0</v>
      </c>
      <c r="T4">
        <v>0</v>
      </c>
      <c r="U4">
        <v>0</v>
      </c>
    </row>
    <row r="5" spans="1:45" x14ac:dyDescent="0.3">
      <c r="A5" t="s">
        <v>70</v>
      </c>
      <c r="B5" t="s">
        <v>71</v>
      </c>
      <c r="C5" t="s">
        <v>1173</v>
      </c>
      <c r="D5">
        <v>10000</v>
      </c>
      <c r="E5" t="s">
        <v>1162</v>
      </c>
      <c r="S5">
        <v>0</v>
      </c>
      <c r="T5">
        <v>0</v>
      </c>
      <c r="U5">
        <v>0</v>
      </c>
    </row>
    <row r="6" spans="1:45" x14ac:dyDescent="0.3">
      <c r="A6" t="s">
        <v>70</v>
      </c>
      <c r="B6" t="s">
        <v>71</v>
      </c>
      <c r="C6" t="s">
        <v>1174</v>
      </c>
      <c r="D6">
        <v>10000</v>
      </c>
      <c r="E6" t="s">
        <v>1162</v>
      </c>
      <c r="S6">
        <v>0</v>
      </c>
      <c r="T6">
        <v>0</v>
      </c>
      <c r="U6">
        <v>0</v>
      </c>
    </row>
    <row r="7" spans="1:45" x14ac:dyDescent="0.3">
      <c r="A7" t="s">
        <v>70</v>
      </c>
      <c r="B7" t="s">
        <v>71</v>
      </c>
      <c r="C7" t="s">
        <v>1175</v>
      </c>
      <c r="D7">
        <v>10000</v>
      </c>
      <c r="E7" t="s">
        <v>1162</v>
      </c>
      <c r="L7" t="s">
        <v>1176</v>
      </c>
      <c r="M7" t="s">
        <v>1176</v>
      </c>
      <c r="S7">
        <v>0</v>
      </c>
      <c r="T7">
        <v>0</v>
      </c>
      <c r="U7">
        <v>0</v>
      </c>
    </row>
    <row r="8" spans="1:45" x14ac:dyDescent="0.3">
      <c r="A8" t="s">
        <v>70</v>
      </c>
      <c r="B8" t="s">
        <v>71</v>
      </c>
      <c r="C8" t="s">
        <v>1177</v>
      </c>
      <c r="D8">
        <v>5976</v>
      </c>
      <c r="E8" t="s">
        <v>1162</v>
      </c>
      <c r="S8">
        <v>0</v>
      </c>
      <c r="T8">
        <v>0</v>
      </c>
      <c r="U8">
        <v>0</v>
      </c>
    </row>
    <row r="9" spans="1:45" x14ac:dyDescent="0.3">
      <c r="A9" t="s">
        <v>89</v>
      </c>
      <c r="B9" t="s">
        <v>512</v>
      </c>
      <c r="C9" t="s">
        <v>1178</v>
      </c>
      <c r="D9">
        <v>1273.99</v>
      </c>
      <c r="E9" t="s">
        <v>1179</v>
      </c>
      <c r="L9" t="s">
        <v>141</v>
      </c>
      <c r="M9" t="s">
        <v>1180</v>
      </c>
      <c r="S9">
        <v>0</v>
      </c>
      <c r="T9">
        <v>0</v>
      </c>
      <c r="U9">
        <v>0</v>
      </c>
      <c r="Y9" t="s">
        <v>1181</v>
      </c>
    </row>
    <row r="10" spans="1:45" x14ac:dyDescent="0.3">
      <c r="A10" t="s">
        <v>70</v>
      </c>
      <c r="B10" t="s">
        <v>169</v>
      </c>
      <c r="C10" t="s">
        <v>461</v>
      </c>
      <c r="D10">
        <v>249500</v>
      </c>
      <c r="E10" t="s">
        <v>1182</v>
      </c>
      <c r="S10">
        <v>0</v>
      </c>
      <c r="T10">
        <v>0</v>
      </c>
      <c r="U10">
        <v>0</v>
      </c>
    </row>
    <row r="11" spans="1:45" x14ac:dyDescent="0.3">
      <c r="A11" t="s">
        <v>168</v>
      </c>
      <c r="B11" t="s">
        <v>80</v>
      </c>
      <c r="C11" t="s">
        <v>1183</v>
      </c>
      <c r="D11">
        <v>1930.03</v>
      </c>
      <c r="E11" t="s">
        <v>1179</v>
      </c>
      <c r="S11">
        <v>0</v>
      </c>
      <c r="T11">
        <v>0</v>
      </c>
      <c r="U11">
        <v>0</v>
      </c>
    </row>
    <row r="12" spans="1:45" x14ac:dyDescent="0.3">
      <c r="A12" t="s">
        <v>168</v>
      </c>
      <c r="B12" t="s">
        <v>80</v>
      </c>
      <c r="C12" t="s">
        <v>1184</v>
      </c>
      <c r="D12">
        <v>1930.3</v>
      </c>
      <c r="E12" t="s">
        <v>1179</v>
      </c>
      <c r="S12">
        <v>0</v>
      </c>
      <c r="T12">
        <v>0</v>
      </c>
      <c r="U12">
        <v>0</v>
      </c>
    </row>
    <row r="13" spans="1:45" x14ac:dyDescent="0.3">
      <c r="A13" t="s">
        <v>79</v>
      </c>
      <c r="B13" t="s">
        <v>80</v>
      </c>
      <c r="C13" t="s">
        <v>1185</v>
      </c>
      <c r="E13" t="s">
        <v>1179</v>
      </c>
      <c r="L13" t="s">
        <v>931</v>
      </c>
      <c r="M13" t="s">
        <v>931</v>
      </c>
      <c r="S13">
        <v>0</v>
      </c>
      <c r="T13">
        <v>0</v>
      </c>
      <c r="U13">
        <v>0</v>
      </c>
    </row>
    <row r="14" spans="1:45" x14ac:dyDescent="0.3">
      <c r="A14" t="s">
        <v>79</v>
      </c>
      <c r="B14" t="s">
        <v>80</v>
      </c>
      <c r="C14" t="s">
        <v>1186</v>
      </c>
      <c r="E14" t="s">
        <v>1179</v>
      </c>
      <c r="L14" t="s">
        <v>1187</v>
      </c>
      <c r="M14" t="s">
        <v>1187</v>
      </c>
      <c r="S14">
        <v>0</v>
      </c>
      <c r="T14">
        <v>0</v>
      </c>
      <c r="U14">
        <v>0</v>
      </c>
    </row>
    <row r="15" spans="1:45" x14ac:dyDescent="0.3">
      <c r="A15" t="s">
        <v>79</v>
      </c>
      <c r="B15" t="s">
        <v>512</v>
      </c>
      <c r="C15" t="s">
        <v>1188</v>
      </c>
      <c r="D15">
        <v>91338.55</v>
      </c>
      <c r="E15" t="s">
        <v>1189</v>
      </c>
      <c r="L15" t="s">
        <v>719</v>
      </c>
      <c r="S15">
        <v>0</v>
      </c>
      <c r="T15">
        <v>0</v>
      </c>
      <c r="U15">
        <v>0</v>
      </c>
    </row>
    <row r="16" spans="1:45" x14ac:dyDescent="0.3">
      <c r="A16" t="s">
        <v>79</v>
      </c>
      <c r="B16" t="s">
        <v>512</v>
      </c>
      <c r="C16" t="s">
        <v>1190</v>
      </c>
      <c r="D16">
        <v>17999.099999999999</v>
      </c>
      <c r="E16" t="s">
        <v>1189</v>
      </c>
      <c r="L16" t="s">
        <v>149</v>
      </c>
      <c r="S16">
        <v>0</v>
      </c>
      <c r="T16">
        <v>0</v>
      </c>
      <c r="U16">
        <v>0</v>
      </c>
    </row>
    <row r="17" spans="1:45" x14ac:dyDescent="0.3">
      <c r="A17" t="s">
        <v>89</v>
      </c>
      <c r="B17" t="s">
        <v>380</v>
      </c>
      <c r="C17" t="s">
        <v>1191</v>
      </c>
      <c r="D17">
        <v>154800</v>
      </c>
      <c r="E17" t="s">
        <v>1162</v>
      </c>
      <c r="S17">
        <v>0</v>
      </c>
      <c r="T17">
        <v>0</v>
      </c>
      <c r="U17">
        <v>0</v>
      </c>
    </row>
    <row r="18" spans="1:45" x14ac:dyDescent="0.3">
      <c r="A18" t="s">
        <v>1192</v>
      </c>
      <c r="B18" t="s">
        <v>80</v>
      </c>
      <c r="C18" t="s">
        <v>1193</v>
      </c>
      <c r="D18">
        <v>20266</v>
      </c>
      <c r="E18" t="s">
        <v>1194</v>
      </c>
      <c r="L18" t="s">
        <v>1195</v>
      </c>
      <c r="M18" t="s">
        <v>1195</v>
      </c>
      <c r="S18">
        <v>0</v>
      </c>
      <c r="T18">
        <v>0</v>
      </c>
      <c r="U18">
        <v>0</v>
      </c>
      <c r="AL18">
        <v>3.4</v>
      </c>
      <c r="AM18">
        <v>68904</v>
      </c>
      <c r="AO18">
        <v>45610</v>
      </c>
      <c r="AP18" t="s">
        <v>108</v>
      </c>
      <c r="AR18" t="s">
        <v>108</v>
      </c>
      <c r="AS18" t="s">
        <v>1196</v>
      </c>
    </row>
    <row r="19" spans="1:45" x14ac:dyDescent="0.3">
      <c r="A19" t="s">
        <v>168</v>
      </c>
      <c r="B19" t="s">
        <v>169</v>
      </c>
      <c r="C19" t="s">
        <v>1197</v>
      </c>
      <c r="D19">
        <v>18177.7</v>
      </c>
      <c r="E19" t="s">
        <v>1194</v>
      </c>
      <c r="S19">
        <v>0</v>
      </c>
      <c r="T19">
        <v>0</v>
      </c>
      <c r="U19">
        <v>0</v>
      </c>
      <c r="AR19" t="s">
        <v>88</v>
      </c>
    </row>
    <row r="20" spans="1:45" x14ac:dyDescent="0.3">
      <c r="A20" t="s">
        <v>168</v>
      </c>
      <c r="B20" t="s">
        <v>169</v>
      </c>
      <c r="C20" t="s">
        <v>1198</v>
      </c>
      <c r="D20">
        <v>840</v>
      </c>
      <c r="E20" t="s">
        <v>1194</v>
      </c>
      <c r="S20">
        <v>0</v>
      </c>
      <c r="T20">
        <v>0</v>
      </c>
      <c r="U20">
        <v>0</v>
      </c>
      <c r="AJ20">
        <v>2.5</v>
      </c>
      <c r="AK20">
        <v>2100</v>
      </c>
      <c r="AL20">
        <v>0.3</v>
      </c>
      <c r="AM20">
        <v>252</v>
      </c>
      <c r="AO20">
        <v>43525</v>
      </c>
      <c r="AP20" t="s">
        <v>101</v>
      </c>
      <c r="AQ20">
        <v>252</v>
      </c>
      <c r="AR20" t="s">
        <v>101</v>
      </c>
    </row>
    <row r="21" spans="1:45" x14ac:dyDescent="0.3">
      <c r="A21" t="s">
        <v>793</v>
      </c>
      <c r="B21" t="s">
        <v>1199</v>
      </c>
      <c r="C21" t="s">
        <v>1200</v>
      </c>
      <c r="D21">
        <v>114</v>
      </c>
      <c r="E21" t="s">
        <v>1162</v>
      </c>
      <c r="S21">
        <v>0</v>
      </c>
      <c r="T21">
        <v>0</v>
      </c>
      <c r="U21">
        <v>0</v>
      </c>
    </row>
    <row r="22" spans="1:45" x14ac:dyDescent="0.3">
      <c r="A22" t="s">
        <v>793</v>
      </c>
      <c r="B22" t="s">
        <v>1199</v>
      </c>
      <c r="C22" t="s">
        <v>1201</v>
      </c>
      <c r="D22">
        <v>123</v>
      </c>
      <c r="E22" t="s">
        <v>1162</v>
      </c>
      <c r="S22">
        <v>0</v>
      </c>
      <c r="T22">
        <v>0</v>
      </c>
      <c r="U22">
        <v>0</v>
      </c>
    </row>
    <row r="23" spans="1:45" x14ac:dyDescent="0.3">
      <c r="A23" t="s">
        <v>793</v>
      </c>
      <c r="B23" t="s">
        <v>71</v>
      </c>
      <c r="C23" t="s">
        <v>1202</v>
      </c>
      <c r="D23">
        <v>142</v>
      </c>
      <c r="E23" t="s">
        <v>1162</v>
      </c>
      <c r="S23">
        <v>0</v>
      </c>
      <c r="T23">
        <v>0</v>
      </c>
      <c r="U23">
        <v>0</v>
      </c>
    </row>
    <row r="24" spans="1:45" x14ac:dyDescent="0.3">
      <c r="A24" t="s">
        <v>793</v>
      </c>
      <c r="B24" t="s">
        <v>71</v>
      </c>
      <c r="C24" t="s">
        <v>1203</v>
      </c>
      <c r="D24">
        <v>130</v>
      </c>
      <c r="E24" t="s">
        <v>1162</v>
      </c>
      <c r="S24">
        <v>0</v>
      </c>
      <c r="T24">
        <v>0</v>
      </c>
      <c r="U24">
        <v>0</v>
      </c>
    </row>
    <row r="25" spans="1:45" x14ac:dyDescent="0.3">
      <c r="A25" t="s">
        <v>793</v>
      </c>
      <c r="B25" t="s">
        <v>71</v>
      </c>
      <c r="C25" t="s">
        <v>1204</v>
      </c>
      <c r="D25">
        <v>137</v>
      </c>
      <c r="E25" t="s">
        <v>1162</v>
      </c>
      <c r="S25">
        <v>0</v>
      </c>
      <c r="T25">
        <v>0</v>
      </c>
      <c r="U25">
        <v>0</v>
      </c>
    </row>
    <row r="26" spans="1:45" x14ac:dyDescent="0.3">
      <c r="A26" t="s">
        <v>89</v>
      </c>
      <c r="B26" t="s">
        <v>80</v>
      </c>
      <c r="C26" t="s">
        <v>1205</v>
      </c>
      <c r="D26">
        <v>59459.28</v>
      </c>
      <c r="E26" t="s">
        <v>1182</v>
      </c>
      <c r="S26">
        <v>0</v>
      </c>
      <c r="T26">
        <v>0</v>
      </c>
      <c r="U26">
        <v>0</v>
      </c>
    </row>
    <row r="27" spans="1:45" x14ac:dyDescent="0.3">
      <c r="A27" t="s">
        <v>89</v>
      </c>
      <c r="B27" t="s">
        <v>80</v>
      </c>
      <c r="C27" t="s">
        <v>1206</v>
      </c>
      <c r="D27">
        <v>9649</v>
      </c>
      <c r="E27" t="s">
        <v>1189</v>
      </c>
      <c r="S27">
        <v>0</v>
      </c>
      <c r="T27">
        <v>0</v>
      </c>
      <c r="U27">
        <v>0</v>
      </c>
    </row>
    <row r="28" spans="1:45" x14ac:dyDescent="0.3">
      <c r="A28" t="s">
        <v>89</v>
      </c>
      <c r="B28" t="s">
        <v>80</v>
      </c>
      <c r="C28" t="s">
        <v>1207</v>
      </c>
      <c r="D28">
        <v>9661</v>
      </c>
      <c r="E28" t="s">
        <v>1189</v>
      </c>
      <c r="S28">
        <v>0</v>
      </c>
      <c r="T28">
        <v>0</v>
      </c>
      <c r="U28">
        <v>0</v>
      </c>
    </row>
    <row r="29" spans="1:45" x14ac:dyDescent="0.3">
      <c r="A29" t="s">
        <v>70</v>
      </c>
      <c r="B29" t="s">
        <v>71</v>
      </c>
      <c r="C29" t="s">
        <v>1208</v>
      </c>
      <c r="D29">
        <v>5900</v>
      </c>
      <c r="E29" t="s">
        <v>1189</v>
      </c>
      <c r="S29">
        <v>0</v>
      </c>
      <c r="T29">
        <v>0</v>
      </c>
      <c r="U29">
        <v>0</v>
      </c>
    </row>
    <row r="30" spans="1:45" x14ac:dyDescent="0.3">
      <c r="A30" t="s">
        <v>70</v>
      </c>
      <c r="B30" t="s">
        <v>71</v>
      </c>
      <c r="C30" t="s">
        <v>1209</v>
      </c>
      <c r="D30">
        <v>4956.5</v>
      </c>
      <c r="E30" t="s">
        <v>1189</v>
      </c>
      <c r="S30">
        <v>0</v>
      </c>
      <c r="T30">
        <v>0</v>
      </c>
      <c r="U30">
        <v>0</v>
      </c>
    </row>
    <row r="31" spans="1:45" x14ac:dyDescent="0.3">
      <c r="A31" t="s">
        <v>70</v>
      </c>
      <c r="B31" t="s">
        <v>71</v>
      </c>
      <c r="C31" t="s">
        <v>1210</v>
      </c>
      <c r="D31">
        <v>5000</v>
      </c>
      <c r="E31" t="s">
        <v>1189</v>
      </c>
      <c r="S31">
        <v>0</v>
      </c>
      <c r="T31">
        <v>0</v>
      </c>
      <c r="U31">
        <v>0</v>
      </c>
    </row>
    <row r="32" spans="1:45" x14ac:dyDescent="0.3">
      <c r="A32" t="s">
        <v>168</v>
      </c>
      <c r="B32" t="s">
        <v>169</v>
      </c>
      <c r="C32" t="s">
        <v>1211</v>
      </c>
      <c r="D32">
        <v>59351.93</v>
      </c>
      <c r="E32" t="s">
        <v>1182</v>
      </c>
      <c r="S32">
        <v>0</v>
      </c>
      <c r="T32">
        <v>0</v>
      </c>
      <c r="U32">
        <v>0</v>
      </c>
    </row>
    <row r="33" spans="1:21" x14ac:dyDescent="0.3">
      <c r="A33" t="s">
        <v>89</v>
      </c>
      <c r="B33" t="s">
        <v>80</v>
      </c>
      <c r="C33" t="s">
        <v>1212</v>
      </c>
      <c r="D33">
        <v>2255.6869999999999</v>
      </c>
      <c r="E33" t="s">
        <v>1189</v>
      </c>
      <c r="S33">
        <v>0</v>
      </c>
      <c r="T33">
        <v>0</v>
      </c>
      <c r="U33">
        <v>0</v>
      </c>
    </row>
    <row r="34" spans="1:21" x14ac:dyDescent="0.3">
      <c r="A34" t="s">
        <v>89</v>
      </c>
      <c r="B34" t="s">
        <v>80</v>
      </c>
      <c r="C34" t="s">
        <v>1213</v>
      </c>
      <c r="D34">
        <v>5249.01</v>
      </c>
      <c r="E34" t="s">
        <v>1189</v>
      </c>
      <c r="S34">
        <v>0</v>
      </c>
      <c r="T34">
        <v>0</v>
      </c>
      <c r="U34">
        <v>0</v>
      </c>
    </row>
    <row r="35" spans="1:21" x14ac:dyDescent="0.3">
      <c r="A35" t="s">
        <v>89</v>
      </c>
      <c r="B35" t="s">
        <v>80</v>
      </c>
      <c r="C35" t="s">
        <v>1214</v>
      </c>
      <c r="D35">
        <v>2188.252</v>
      </c>
      <c r="E35" t="s">
        <v>1189</v>
      </c>
      <c r="S35">
        <v>0</v>
      </c>
      <c r="T35">
        <v>0</v>
      </c>
      <c r="U35">
        <v>0</v>
      </c>
    </row>
    <row r="36" spans="1:21" x14ac:dyDescent="0.3">
      <c r="A36" t="s">
        <v>89</v>
      </c>
      <c r="B36" t="s">
        <v>80</v>
      </c>
      <c r="C36" t="s">
        <v>1215</v>
      </c>
      <c r="D36">
        <v>121044.88</v>
      </c>
      <c r="E36" t="s">
        <v>1182</v>
      </c>
      <c r="S36">
        <v>0</v>
      </c>
      <c r="T36">
        <v>0</v>
      </c>
      <c r="U36">
        <v>0</v>
      </c>
    </row>
    <row r="37" spans="1:21" x14ac:dyDescent="0.3">
      <c r="A37" t="s">
        <v>382</v>
      </c>
      <c r="B37" t="s">
        <v>80</v>
      </c>
      <c r="C37" t="s">
        <v>374</v>
      </c>
      <c r="D37">
        <v>154938.49</v>
      </c>
      <c r="E37" t="s">
        <v>1216</v>
      </c>
      <c r="S37">
        <v>0</v>
      </c>
      <c r="T37">
        <v>0</v>
      </c>
      <c r="U37">
        <v>0</v>
      </c>
    </row>
    <row r="38" spans="1:21" x14ac:dyDescent="0.3">
      <c r="A38" t="s">
        <v>1160</v>
      </c>
      <c r="B38" t="s">
        <v>383</v>
      </c>
      <c r="C38" t="s">
        <v>1161</v>
      </c>
      <c r="D38">
        <v>64474.400000000001</v>
      </c>
      <c r="E38" t="s">
        <v>1189</v>
      </c>
      <c r="S38">
        <v>-2172994797</v>
      </c>
      <c r="T38">
        <v>-2186711013</v>
      </c>
      <c r="U38">
        <v>13716216</v>
      </c>
    </row>
    <row r="39" spans="1:21" x14ac:dyDescent="0.3">
      <c r="A39" t="s">
        <v>906</v>
      </c>
      <c r="B39" t="s">
        <v>383</v>
      </c>
      <c r="C39" t="s">
        <v>1217</v>
      </c>
      <c r="D39">
        <v>16695.8</v>
      </c>
      <c r="E39" t="s">
        <v>1189</v>
      </c>
      <c r="S39">
        <v>7962284</v>
      </c>
      <c r="T39">
        <v>7962284</v>
      </c>
      <c r="U39">
        <v>0</v>
      </c>
    </row>
    <row r="40" spans="1:21" x14ac:dyDescent="0.3">
      <c r="A40" t="s">
        <v>906</v>
      </c>
      <c r="B40" t="s">
        <v>383</v>
      </c>
      <c r="C40" t="s">
        <v>1218</v>
      </c>
      <c r="D40">
        <v>17855.900000000001</v>
      </c>
      <c r="E40" t="s">
        <v>1189</v>
      </c>
      <c r="S40">
        <v>6665683</v>
      </c>
      <c r="T40">
        <v>5422989</v>
      </c>
      <c r="U40">
        <v>1242694</v>
      </c>
    </row>
    <row r="41" spans="1:21" x14ac:dyDescent="0.3">
      <c r="A41" t="s">
        <v>906</v>
      </c>
      <c r="B41" t="s">
        <v>383</v>
      </c>
      <c r="C41" t="s">
        <v>1219</v>
      </c>
      <c r="D41">
        <v>17260.61</v>
      </c>
      <c r="E41" t="s">
        <v>1189</v>
      </c>
      <c r="S41">
        <v>160397782</v>
      </c>
      <c r="T41">
        <v>160397782</v>
      </c>
      <c r="U41">
        <v>0</v>
      </c>
    </row>
    <row r="42" spans="1:21" x14ac:dyDescent="0.3">
      <c r="A42" t="s">
        <v>906</v>
      </c>
      <c r="B42" t="s">
        <v>383</v>
      </c>
      <c r="C42" t="s">
        <v>1220</v>
      </c>
      <c r="D42">
        <v>14955.29</v>
      </c>
      <c r="E42" t="s">
        <v>1189</v>
      </c>
      <c r="S42">
        <v>66428218</v>
      </c>
      <c r="T42">
        <v>-113549014</v>
      </c>
      <c r="U42">
        <v>179977232</v>
      </c>
    </row>
    <row r="43" spans="1:21" x14ac:dyDescent="0.3">
      <c r="A43" t="s">
        <v>906</v>
      </c>
      <c r="B43" t="s">
        <v>383</v>
      </c>
      <c r="C43" t="s">
        <v>1221</v>
      </c>
      <c r="D43">
        <v>13977.95</v>
      </c>
      <c r="E43" t="s">
        <v>1189</v>
      </c>
      <c r="S43">
        <v>-1858584810</v>
      </c>
      <c r="T43">
        <v>-1493150672</v>
      </c>
      <c r="U43">
        <v>-365434138</v>
      </c>
    </row>
    <row r="44" spans="1:21" x14ac:dyDescent="0.3">
      <c r="A44" t="s">
        <v>906</v>
      </c>
      <c r="B44" t="s">
        <v>383</v>
      </c>
      <c r="C44" t="s">
        <v>1222</v>
      </c>
      <c r="D44">
        <v>14504.81</v>
      </c>
      <c r="E44" t="s">
        <v>1189</v>
      </c>
      <c r="S44">
        <v>33366555</v>
      </c>
      <c r="T44">
        <v>33366555</v>
      </c>
      <c r="U44">
        <v>0</v>
      </c>
    </row>
    <row r="45" spans="1:21" x14ac:dyDescent="0.3">
      <c r="A45" t="s">
        <v>906</v>
      </c>
      <c r="B45" t="s">
        <v>383</v>
      </c>
      <c r="C45" t="s">
        <v>1223</v>
      </c>
      <c r="D45">
        <v>51704.22</v>
      </c>
      <c r="E45" t="s">
        <v>1189</v>
      </c>
      <c r="S45">
        <v>7357276</v>
      </c>
      <c r="T45">
        <v>7357276</v>
      </c>
      <c r="U45">
        <v>0</v>
      </c>
    </row>
    <row r="46" spans="1:21" x14ac:dyDescent="0.3">
      <c r="A46" t="s">
        <v>906</v>
      </c>
      <c r="B46" t="s">
        <v>383</v>
      </c>
      <c r="C46" t="s">
        <v>1224</v>
      </c>
      <c r="D46">
        <v>22346.32</v>
      </c>
      <c r="E46" t="s">
        <v>1189</v>
      </c>
      <c r="S46">
        <v>2560246</v>
      </c>
      <c r="T46">
        <v>2348956</v>
      </c>
      <c r="U46">
        <v>211290</v>
      </c>
    </row>
    <row r="47" spans="1:21" x14ac:dyDescent="0.3">
      <c r="A47" t="s">
        <v>906</v>
      </c>
      <c r="B47" t="s">
        <v>383</v>
      </c>
      <c r="C47" t="s">
        <v>1225</v>
      </c>
      <c r="D47">
        <v>21178.02</v>
      </c>
      <c r="E47" t="s">
        <v>1189</v>
      </c>
      <c r="S47">
        <v>2641043</v>
      </c>
      <c r="T47">
        <v>2334456</v>
      </c>
      <c r="U47">
        <v>306587</v>
      </c>
    </row>
    <row r="48" spans="1:21" x14ac:dyDescent="0.3">
      <c r="A48" t="s">
        <v>906</v>
      </c>
      <c r="B48" t="s">
        <v>383</v>
      </c>
      <c r="C48" t="s">
        <v>1226</v>
      </c>
      <c r="D48">
        <v>19579.12</v>
      </c>
      <c r="E48" t="s">
        <v>1189</v>
      </c>
      <c r="S48">
        <v>7224068</v>
      </c>
      <c r="T48">
        <v>7224068</v>
      </c>
      <c r="U48">
        <v>0</v>
      </c>
    </row>
    <row r="49" spans="1:21" x14ac:dyDescent="0.3">
      <c r="A49" t="s">
        <v>906</v>
      </c>
      <c r="B49" t="s">
        <v>383</v>
      </c>
      <c r="C49" t="s">
        <v>1227</v>
      </c>
      <c r="D49">
        <v>20352.68</v>
      </c>
      <c r="E49" t="s">
        <v>1189</v>
      </c>
      <c r="S49">
        <v>27053599</v>
      </c>
      <c r="T49">
        <v>27053599</v>
      </c>
      <c r="U49">
        <v>0</v>
      </c>
    </row>
    <row r="50" spans="1:21" x14ac:dyDescent="0.3">
      <c r="A50" t="s">
        <v>906</v>
      </c>
      <c r="B50" t="s">
        <v>383</v>
      </c>
      <c r="C50" t="s">
        <v>1228</v>
      </c>
      <c r="D50">
        <v>14224.92</v>
      </c>
      <c r="E50" t="s">
        <v>1189</v>
      </c>
      <c r="S50">
        <v>11516351</v>
      </c>
      <c r="T50">
        <v>11516351</v>
      </c>
      <c r="U50">
        <v>0</v>
      </c>
    </row>
    <row r="51" spans="1:21" x14ac:dyDescent="0.3">
      <c r="A51" t="s">
        <v>906</v>
      </c>
      <c r="B51" t="s">
        <v>383</v>
      </c>
      <c r="C51" t="s">
        <v>1229</v>
      </c>
      <c r="D51">
        <v>16713.89</v>
      </c>
      <c r="E51" t="s">
        <v>1189</v>
      </c>
      <c r="S51">
        <v>0</v>
      </c>
      <c r="T51">
        <v>0</v>
      </c>
      <c r="U51">
        <v>0</v>
      </c>
    </row>
    <row r="52" spans="1:21" x14ac:dyDescent="0.3">
      <c r="A52" t="s">
        <v>906</v>
      </c>
      <c r="B52" t="s">
        <v>383</v>
      </c>
      <c r="C52" t="s">
        <v>1230</v>
      </c>
      <c r="D52">
        <v>15874.55</v>
      </c>
      <c r="E52" t="s">
        <v>1189</v>
      </c>
      <c r="S52">
        <v>3122721</v>
      </c>
      <c r="T52">
        <v>3122721</v>
      </c>
      <c r="U52">
        <v>0</v>
      </c>
    </row>
    <row r="53" spans="1:21" x14ac:dyDescent="0.3">
      <c r="A53" t="s">
        <v>906</v>
      </c>
      <c r="B53" t="s">
        <v>383</v>
      </c>
      <c r="C53" t="s">
        <v>1231</v>
      </c>
      <c r="D53">
        <v>24987.59</v>
      </c>
      <c r="E53" t="s">
        <v>1189</v>
      </c>
      <c r="S53">
        <v>873767118</v>
      </c>
      <c r="T53">
        <v>873767118</v>
      </c>
      <c r="U53">
        <v>0</v>
      </c>
    </row>
    <row r="54" spans="1:21" x14ac:dyDescent="0.3">
      <c r="A54" t="s">
        <v>906</v>
      </c>
      <c r="B54" t="s">
        <v>383</v>
      </c>
      <c r="C54" t="s">
        <v>1232</v>
      </c>
      <c r="D54">
        <v>20823.98</v>
      </c>
      <c r="E54" t="s">
        <v>1189</v>
      </c>
      <c r="S54">
        <v>-169932667</v>
      </c>
      <c r="T54">
        <v>-169932667</v>
      </c>
      <c r="U54">
        <v>0</v>
      </c>
    </row>
    <row r="55" spans="1:21" x14ac:dyDescent="0.3">
      <c r="A55" t="s">
        <v>906</v>
      </c>
      <c r="B55" t="s">
        <v>383</v>
      </c>
      <c r="C55" t="s">
        <v>1233</v>
      </c>
      <c r="D55">
        <v>19459.61</v>
      </c>
      <c r="E55" t="s">
        <v>1189</v>
      </c>
      <c r="S55">
        <v>44727300</v>
      </c>
      <c r="T55">
        <v>0</v>
      </c>
      <c r="U55">
        <v>44727300</v>
      </c>
    </row>
    <row r="56" spans="1:21" x14ac:dyDescent="0.3">
      <c r="A56" t="s">
        <v>906</v>
      </c>
      <c r="B56" t="s">
        <v>383</v>
      </c>
      <c r="C56" t="s">
        <v>1234</v>
      </c>
      <c r="D56">
        <v>30221.06</v>
      </c>
      <c r="E56" t="s">
        <v>1189</v>
      </c>
      <c r="S56">
        <v>1044267</v>
      </c>
      <c r="T56">
        <v>1044267</v>
      </c>
      <c r="U56">
        <v>0</v>
      </c>
    </row>
    <row r="57" spans="1:21" x14ac:dyDescent="0.3">
      <c r="A57" t="s">
        <v>906</v>
      </c>
      <c r="B57" t="s">
        <v>383</v>
      </c>
      <c r="C57" t="s">
        <v>1235</v>
      </c>
      <c r="D57">
        <v>33701.25</v>
      </c>
      <c r="E57" t="s">
        <v>1189</v>
      </c>
      <c r="S57">
        <v>1048279</v>
      </c>
      <c r="T57">
        <v>1048279</v>
      </c>
      <c r="U57">
        <v>0</v>
      </c>
    </row>
    <row r="58" spans="1:21" x14ac:dyDescent="0.3">
      <c r="A58" t="s">
        <v>906</v>
      </c>
      <c r="B58" t="s">
        <v>383</v>
      </c>
      <c r="C58" t="s">
        <v>1236</v>
      </c>
      <c r="D58">
        <v>34121.15</v>
      </c>
      <c r="E58" t="s">
        <v>1189</v>
      </c>
      <c r="S58">
        <v>1053024</v>
      </c>
      <c r="T58">
        <v>1053024</v>
      </c>
      <c r="U58">
        <v>0</v>
      </c>
    </row>
    <row r="59" spans="1:21" x14ac:dyDescent="0.3">
      <c r="A59" t="s">
        <v>906</v>
      </c>
      <c r="B59" t="s">
        <v>383</v>
      </c>
      <c r="C59" t="s">
        <v>1237</v>
      </c>
      <c r="D59">
        <v>23972.31</v>
      </c>
      <c r="E59" t="s">
        <v>1189</v>
      </c>
      <c r="S59">
        <v>1055762</v>
      </c>
      <c r="T59">
        <v>1055762</v>
      </c>
      <c r="U59">
        <v>0</v>
      </c>
    </row>
    <row r="60" spans="1:21" x14ac:dyDescent="0.3">
      <c r="A60" t="s">
        <v>906</v>
      </c>
      <c r="B60" t="s">
        <v>383</v>
      </c>
      <c r="C60" t="s">
        <v>1238</v>
      </c>
      <c r="D60">
        <v>14612.98</v>
      </c>
      <c r="E60" t="s">
        <v>1189</v>
      </c>
      <c r="S60">
        <v>1055031</v>
      </c>
      <c r="T60">
        <v>1055031</v>
      </c>
      <c r="U60">
        <v>0</v>
      </c>
    </row>
    <row r="61" spans="1:21" x14ac:dyDescent="0.3">
      <c r="A61" t="s">
        <v>906</v>
      </c>
      <c r="B61" t="s">
        <v>383</v>
      </c>
      <c r="C61" t="s">
        <v>1239</v>
      </c>
      <c r="D61">
        <v>293333.76000000001</v>
      </c>
      <c r="E61" t="s">
        <v>1189</v>
      </c>
      <c r="S61">
        <v>1057036</v>
      </c>
      <c r="T61">
        <v>1057036</v>
      </c>
      <c r="U61">
        <v>0</v>
      </c>
    </row>
    <row r="62" spans="1:21" x14ac:dyDescent="0.3">
      <c r="A62" t="s">
        <v>906</v>
      </c>
      <c r="B62" t="s">
        <v>383</v>
      </c>
      <c r="C62" t="s">
        <v>1240</v>
      </c>
      <c r="D62">
        <v>1673.05</v>
      </c>
      <c r="E62" t="s">
        <v>1189</v>
      </c>
      <c r="S62">
        <v>1057673</v>
      </c>
      <c r="T62">
        <v>1057673</v>
      </c>
      <c r="U62">
        <v>0</v>
      </c>
    </row>
    <row r="63" spans="1:21" x14ac:dyDescent="0.3">
      <c r="A63" t="s">
        <v>906</v>
      </c>
      <c r="B63" t="s">
        <v>383</v>
      </c>
      <c r="C63" t="s">
        <v>1241</v>
      </c>
      <c r="D63">
        <v>14049.62</v>
      </c>
      <c r="E63" t="s">
        <v>1189</v>
      </c>
      <c r="S63">
        <v>1059043</v>
      </c>
      <c r="T63">
        <v>1059043</v>
      </c>
      <c r="U63">
        <v>0</v>
      </c>
    </row>
    <row r="64" spans="1:21" x14ac:dyDescent="0.3">
      <c r="A64" t="s">
        <v>906</v>
      </c>
      <c r="B64" t="s">
        <v>383</v>
      </c>
      <c r="C64" t="s">
        <v>1242</v>
      </c>
      <c r="D64">
        <v>10609.73</v>
      </c>
      <c r="E64" t="s">
        <v>1189</v>
      </c>
      <c r="S64">
        <v>1059680</v>
      </c>
      <c r="T64">
        <v>1059680</v>
      </c>
      <c r="U64">
        <v>0</v>
      </c>
    </row>
    <row r="65" spans="1:21" x14ac:dyDescent="0.3">
      <c r="A65" t="s">
        <v>906</v>
      </c>
      <c r="B65" t="s">
        <v>383</v>
      </c>
      <c r="C65" t="s">
        <v>1243</v>
      </c>
      <c r="D65">
        <v>13342.24</v>
      </c>
      <c r="E65" t="s">
        <v>1189</v>
      </c>
      <c r="S65">
        <v>1062418</v>
      </c>
      <c r="T65">
        <v>1062418</v>
      </c>
      <c r="U65">
        <v>0</v>
      </c>
    </row>
    <row r="66" spans="1:21" x14ac:dyDescent="0.3">
      <c r="A66" t="s">
        <v>906</v>
      </c>
      <c r="B66" t="s">
        <v>383</v>
      </c>
      <c r="C66" t="s">
        <v>1244</v>
      </c>
      <c r="D66">
        <v>19501.38</v>
      </c>
      <c r="E66" t="s">
        <v>1189</v>
      </c>
      <c r="S66">
        <v>1064425</v>
      </c>
      <c r="T66">
        <v>1064425</v>
      </c>
      <c r="U66">
        <v>0</v>
      </c>
    </row>
    <row r="67" spans="1:21" x14ac:dyDescent="0.3">
      <c r="A67" t="s">
        <v>906</v>
      </c>
      <c r="B67" t="s">
        <v>383</v>
      </c>
      <c r="C67" t="s">
        <v>1245</v>
      </c>
      <c r="D67">
        <v>17482.689999999999</v>
      </c>
      <c r="E67" t="s">
        <v>1189</v>
      </c>
      <c r="S67">
        <v>1065062</v>
      </c>
      <c r="T67">
        <v>1065062</v>
      </c>
      <c r="U67">
        <v>0</v>
      </c>
    </row>
    <row r="68" spans="1:21" x14ac:dyDescent="0.3">
      <c r="A68" t="s">
        <v>906</v>
      </c>
      <c r="B68" t="s">
        <v>383</v>
      </c>
      <c r="C68" t="s">
        <v>1246</v>
      </c>
      <c r="D68">
        <v>62371.38</v>
      </c>
      <c r="E68" t="s">
        <v>1189</v>
      </c>
      <c r="S68">
        <v>1066431</v>
      </c>
      <c r="T68">
        <v>1066431</v>
      </c>
      <c r="U68">
        <v>0</v>
      </c>
    </row>
    <row r="69" spans="1:21" x14ac:dyDescent="0.3">
      <c r="A69" t="s">
        <v>906</v>
      </c>
      <c r="B69" t="s">
        <v>383</v>
      </c>
      <c r="C69" t="s">
        <v>1247</v>
      </c>
      <c r="D69">
        <v>18759.27</v>
      </c>
      <c r="E69" t="s">
        <v>1189</v>
      </c>
      <c r="S69">
        <v>1073181</v>
      </c>
      <c r="T69">
        <v>1073181</v>
      </c>
      <c r="U69">
        <v>0</v>
      </c>
    </row>
    <row r="70" spans="1:21" x14ac:dyDescent="0.3">
      <c r="A70" t="s">
        <v>906</v>
      </c>
      <c r="B70" t="s">
        <v>383</v>
      </c>
      <c r="C70" t="s">
        <v>1248</v>
      </c>
      <c r="D70">
        <v>5761.52</v>
      </c>
      <c r="E70" t="s">
        <v>1189</v>
      </c>
      <c r="S70">
        <v>1072449</v>
      </c>
      <c r="T70">
        <v>1072449</v>
      </c>
      <c r="U70">
        <v>0</v>
      </c>
    </row>
    <row r="71" spans="1:21" x14ac:dyDescent="0.3">
      <c r="A71" t="s">
        <v>906</v>
      </c>
      <c r="B71" t="s">
        <v>383</v>
      </c>
      <c r="C71" t="s">
        <v>1249</v>
      </c>
      <c r="D71">
        <v>19057.509999999998</v>
      </c>
      <c r="E71" t="s">
        <v>1189</v>
      </c>
      <c r="S71">
        <v>2421156</v>
      </c>
      <c r="T71">
        <v>553841</v>
      </c>
      <c r="U71">
        <v>1867315</v>
      </c>
    </row>
    <row r="72" spans="1:21" x14ac:dyDescent="0.3">
      <c r="A72" t="s">
        <v>906</v>
      </c>
      <c r="B72" t="s">
        <v>383</v>
      </c>
      <c r="C72" t="s">
        <v>1250</v>
      </c>
      <c r="D72">
        <v>31291.35</v>
      </c>
      <c r="E72" t="s">
        <v>1189</v>
      </c>
      <c r="S72">
        <v>178486</v>
      </c>
      <c r="T72">
        <v>0</v>
      </c>
      <c r="U72">
        <v>178486</v>
      </c>
    </row>
    <row r="73" spans="1:21" x14ac:dyDescent="0.3">
      <c r="A73" t="s">
        <v>906</v>
      </c>
      <c r="B73" t="s">
        <v>383</v>
      </c>
      <c r="C73" t="s">
        <v>1251</v>
      </c>
      <c r="D73">
        <v>19104.09</v>
      </c>
      <c r="E73" t="s">
        <v>1189</v>
      </c>
      <c r="S73">
        <v>546009</v>
      </c>
      <c r="T73">
        <v>546009</v>
      </c>
      <c r="U73">
        <v>0</v>
      </c>
    </row>
    <row r="74" spans="1:21" x14ac:dyDescent="0.3">
      <c r="A74" t="s">
        <v>906</v>
      </c>
      <c r="B74" t="s">
        <v>383</v>
      </c>
      <c r="C74" t="s">
        <v>1252</v>
      </c>
      <c r="D74">
        <v>14766.61</v>
      </c>
      <c r="E74" t="s">
        <v>1189</v>
      </c>
      <c r="S74">
        <v>546009</v>
      </c>
      <c r="T74">
        <v>546009</v>
      </c>
      <c r="U74">
        <v>0</v>
      </c>
    </row>
    <row r="75" spans="1:21" x14ac:dyDescent="0.3">
      <c r="A75" t="s">
        <v>906</v>
      </c>
      <c r="B75" t="s">
        <v>383</v>
      </c>
      <c r="C75" t="s">
        <v>1253</v>
      </c>
      <c r="D75">
        <v>18665.810000000001</v>
      </c>
      <c r="E75" t="s">
        <v>1189</v>
      </c>
      <c r="S75">
        <v>52045389</v>
      </c>
      <c r="T75">
        <v>52045389</v>
      </c>
      <c r="U75">
        <v>0</v>
      </c>
    </row>
    <row r="76" spans="1:21" x14ac:dyDescent="0.3">
      <c r="A76" t="s">
        <v>906</v>
      </c>
      <c r="B76" t="s">
        <v>383</v>
      </c>
      <c r="C76" t="s">
        <v>1254</v>
      </c>
      <c r="D76">
        <v>25553.08</v>
      </c>
      <c r="E76" t="s">
        <v>1189</v>
      </c>
      <c r="S76">
        <v>70649626</v>
      </c>
      <c r="T76">
        <v>62188593</v>
      </c>
      <c r="U76">
        <v>8461033</v>
      </c>
    </row>
    <row r="77" spans="1:21" x14ac:dyDescent="0.3">
      <c r="A77" t="s">
        <v>906</v>
      </c>
      <c r="B77" t="s">
        <v>383</v>
      </c>
      <c r="C77" t="s">
        <v>1255</v>
      </c>
      <c r="D77">
        <v>24891.7</v>
      </c>
      <c r="E77" t="s">
        <v>1189</v>
      </c>
      <c r="S77">
        <v>1578535</v>
      </c>
      <c r="T77">
        <v>1375559</v>
      </c>
      <c r="U77">
        <v>202976</v>
      </c>
    </row>
    <row r="78" spans="1:21" x14ac:dyDescent="0.3">
      <c r="A78" t="s">
        <v>906</v>
      </c>
      <c r="B78" t="s">
        <v>383</v>
      </c>
      <c r="C78" t="s">
        <v>1256</v>
      </c>
      <c r="D78">
        <v>27870.54</v>
      </c>
      <c r="E78" t="s">
        <v>1189</v>
      </c>
      <c r="S78">
        <v>5781235</v>
      </c>
      <c r="T78">
        <v>4298115</v>
      </c>
      <c r="U78">
        <v>1483120</v>
      </c>
    </row>
    <row r="79" spans="1:21" x14ac:dyDescent="0.3">
      <c r="A79" t="s">
        <v>906</v>
      </c>
      <c r="B79" t="s">
        <v>383</v>
      </c>
      <c r="C79" t="s">
        <v>1257</v>
      </c>
      <c r="D79">
        <v>24355.43</v>
      </c>
      <c r="E79" t="s">
        <v>1189</v>
      </c>
      <c r="S79">
        <v>28574344</v>
      </c>
      <c r="T79">
        <v>26707029</v>
      </c>
      <c r="U79">
        <v>1867315</v>
      </c>
    </row>
    <row r="80" spans="1:21" x14ac:dyDescent="0.3">
      <c r="A80" t="s">
        <v>906</v>
      </c>
      <c r="B80" t="s">
        <v>383</v>
      </c>
      <c r="C80" t="s">
        <v>1258</v>
      </c>
      <c r="D80">
        <v>21946.97</v>
      </c>
      <c r="E80" t="s">
        <v>1189</v>
      </c>
      <c r="S80">
        <v>28574344</v>
      </c>
      <c r="T80">
        <v>26707029</v>
      </c>
      <c r="U80">
        <v>1867315</v>
      </c>
    </row>
    <row r="81" spans="1:21" x14ac:dyDescent="0.3">
      <c r="A81" t="s">
        <v>906</v>
      </c>
      <c r="B81" t="s">
        <v>383</v>
      </c>
      <c r="C81" t="s">
        <v>1259</v>
      </c>
      <c r="D81">
        <v>19218.66</v>
      </c>
      <c r="E81" t="s">
        <v>1189</v>
      </c>
      <c r="S81">
        <v>28574344</v>
      </c>
      <c r="T81">
        <v>26707029</v>
      </c>
      <c r="U81">
        <v>1867315</v>
      </c>
    </row>
    <row r="82" spans="1:21" x14ac:dyDescent="0.3">
      <c r="A82" t="s">
        <v>70</v>
      </c>
      <c r="B82" t="s">
        <v>169</v>
      </c>
      <c r="C82" t="s">
        <v>461</v>
      </c>
      <c r="D82">
        <v>249500</v>
      </c>
      <c r="E82" t="s">
        <v>1162</v>
      </c>
      <c r="S82">
        <v>0</v>
      </c>
      <c r="T82">
        <v>0</v>
      </c>
      <c r="U8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EAE8-3278-45BA-AB54-211462CAAB75}">
  <dimension ref="A1:AV185"/>
  <sheetViews>
    <sheetView zoomScale="78" zoomScaleNormal="85" workbookViewId="0">
      <pane ySplit="1" topLeftCell="A154" activePane="bottomLeft" state="frozen"/>
      <selection pane="bottomLeft" activeCell="H170" sqref="H170"/>
    </sheetView>
  </sheetViews>
  <sheetFormatPr baseColWidth="10" defaultColWidth="11.44140625" defaultRowHeight="14.4" x14ac:dyDescent="0.3"/>
  <cols>
    <col min="1" max="1" width="43.44140625" bestFit="1" customWidth="1"/>
    <col min="2" max="2" width="16.5546875" bestFit="1" customWidth="1"/>
    <col min="3" max="3" width="30.5546875" bestFit="1" customWidth="1"/>
    <col min="4" max="4" width="15.6640625" customWidth="1"/>
    <col min="6" max="6" width="20.109375" bestFit="1" customWidth="1"/>
    <col min="7" max="7" width="35.5546875" customWidth="1"/>
    <col min="8" max="8" width="20.6640625" customWidth="1"/>
    <col min="9" max="9" width="21.88671875" customWidth="1"/>
    <col min="10" max="10" width="22.109375" customWidth="1"/>
    <col min="11" max="11" width="21.88671875" customWidth="1"/>
    <col min="12" max="12" width="17.33203125" customWidth="1"/>
    <col min="13" max="13" width="22.109375" customWidth="1"/>
    <col min="14" max="14" width="21.88671875" customWidth="1"/>
    <col min="16" max="17" width="14.109375" customWidth="1"/>
    <col min="18" max="18" width="24.6640625" customWidth="1"/>
    <col min="19" max="19" width="15" customWidth="1"/>
    <col min="20" max="20" width="11.6640625" customWidth="1"/>
    <col min="21" max="21" width="22.33203125" customWidth="1"/>
    <col min="22" max="22" width="33" bestFit="1" customWidth="1"/>
    <col min="23" max="23" width="30.109375" customWidth="1"/>
    <col min="24" max="24" width="31.33203125" customWidth="1"/>
    <col min="25" max="25" width="31.5546875" customWidth="1"/>
    <col min="26" max="26" width="19.6640625" customWidth="1"/>
    <col min="27" max="27" width="12" customWidth="1"/>
    <col min="28" max="28" width="17.33203125" customWidth="1"/>
    <col min="29" max="29" width="23.5546875" bestFit="1" customWidth="1"/>
    <col min="30" max="30" width="20.88671875" customWidth="1"/>
    <col min="31" max="31" width="21" customWidth="1"/>
    <col min="32" max="32" width="18.109375" customWidth="1"/>
    <col min="34" max="34" width="19.5546875" customWidth="1"/>
    <col min="35" max="35" width="25.33203125" customWidth="1"/>
    <col min="36" max="36" width="24.6640625" customWidth="1"/>
    <col min="37" max="37" width="17.109375" customWidth="1"/>
    <col min="38" max="38" width="17.5546875" customWidth="1"/>
    <col min="40" max="40" width="18.6640625" customWidth="1"/>
    <col min="41" max="41" width="21.88671875" bestFit="1" customWidth="1"/>
    <col min="42" max="42" width="18.6640625" customWidth="1"/>
    <col min="43" max="43" width="18.5546875" customWidth="1"/>
    <col min="44" max="44" width="21" customWidth="1"/>
    <col min="45" max="45" width="15.5546875" customWidth="1"/>
    <col min="47" max="47" width="15" customWidth="1"/>
    <col min="48" max="48" width="13.33203125" customWidth="1"/>
    <col min="49" max="49" width="23.5546875" customWidth="1"/>
  </cols>
  <sheetData>
    <row r="1" spans="1:48" ht="37.200000000000003" customHeight="1" x14ac:dyDescent="0.3">
      <c r="A1" s="19" t="s">
        <v>3</v>
      </c>
      <c r="B1" s="20" t="s">
        <v>13</v>
      </c>
      <c r="C1" s="20" t="s">
        <v>19</v>
      </c>
      <c r="D1" s="20" t="s">
        <v>27</v>
      </c>
      <c r="E1" s="20" t="s">
        <v>30</v>
      </c>
      <c r="F1" s="21" t="s">
        <v>60</v>
      </c>
      <c r="G1" s="21" t="s">
        <v>61</v>
      </c>
      <c r="H1" s="21" t="s">
        <v>62</v>
      </c>
      <c r="I1" s="20" t="s">
        <v>33</v>
      </c>
      <c r="J1" s="20" t="s">
        <v>36</v>
      </c>
      <c r="K1" s="20" t="s">
        <v>39</v>
      </c>
      <c r="L1" s="20" t="s">
        <v>41</v>
      </c>
      <c r="M1" s="20" t="s">
        <v>43</v>
      </c>
      <c r="N1" s="20" t="s">
        <v>45</v>
      </c>
      <c r="O1" s="20" t="s">
        <v>47</v>
      </c>
      <c r="P1" s="20" t="s">
        <v>49</v>
      </c>
      <c r="Q1" s="20" t="s">
        <v>51</v>
      </c>
      <c r="R1" s="20" t="s">
        <v>52</v>
      </c>
      <c r="S1" s="20" t="s">
        <v>53</v>
      </c>
      <c r="T1" s="20" t="s">
        <v>54</v>
      </c>
      <c r="U1" s="21" t="s">
        <v>55</v>
      </c>
      <c r="V1" s="22" t="s">
        <v>11</v>
      </c>
      <c r="W1" s="22" t="s">
        <v>17</v>
      </c>
      <c r="X1" s="22" t="s">
        <v>22</v>
      </c>
      <c r="Y1" s="23" t="s">
        <v>9</v>
      </c>
      <c r="Z1" s="24" t="s">
        <v>16</v>
      </c>
      <c r="AA1" s="24" t="s">
        <v>21</v>
      </c>
      <c r="AB1" s="24" t="s">
        <v>26</v>
      </c>
      <c r="AC1" s="24" t="s">
        <v>29</v>
      </c>
      <c r="AD1" s="24" t="s">
        <v>32</v>
      </c>
      <c r="AE1" s="24" t="s">
        <v>35</v>
      </c>
      <c r="AF1" s="24" t="s">
        <v>38</v>
      </c>
      <c r="AG1" s="24" t="s">
        <v>40</v>
      </c>
      <c r="AH1" s="24" t="s">
        <v>42</v>
      </c>
      <c r="AI1" s="24" t="s">
        <v>44</v>
      </c>
      <c r="AJ1" s="24" t="s">
        <v>46</v>
      </c>
      <c r="AK1" s="24" t="s">
        <v>48</v>
      </c>
      <c r="AL1" s="24" t="s">
        <v>50</v>
      </c>
      <c r="AM1" s="25" t="s">
        <v>7</v>
      </c>
      <c r="AN1" s="25" t="s">
        <v>15</v>
      </c>
      <c r="AO1" s="26" t="s">
        <v>5</v>
      </c>
      <c r="AP1" s="27" t="s">
        <v>14</v>
      </c>
      <c r="AQ1" s="27" t="s">
        <v>20</v>
      </c>
      <c r="AR1" s="28" t="s">
        <v>25</v>
      </c>
      <c r="AS1" s="27" t="s">
        <v>28</v>
      </c>
      <c r="AT1" s="27" t="s">
        <v>31</v>
      </c>
      <c r="AU1" s="27" t="s">
        <v>34</v>
      </c>
      <c r="AV1" s="27" t="s">
        <v>37</v>
      </c>
    </row>
    <row r="2" spans="1:48" x14ac:dyDescent="0.3">
      <c r="A2" s="30" t="s">
        <v>70</v>
      </c>
      <c r="B2" s="31" t="s">
        <v>71</v>
      </c>
      <c r="C2" s="31" t="s">
        <v>72</v>
      </c>
      <c r="D2" s="42">
        <v>15857</v>
      </c>
      <c r="E2" s="31" t="s">
        <v>73</v>
      </c>
      <c r="F2" s="32">
        <v>45054</v>
      </c>
      <c r="G2" s="31" t="s">
        <v>74</v>
      </c>
      <c r="H2" s="31">
        <v>2.2734104811755063</v>
      </c>
      <c r="I2" s="83"/>
      <c r="J2" s="83"/>
      <c r="K2" s="83"/>
      <c r="L2" s="83"/>
      <c r="M2" s="83"/>
      <c r="N2" s="83"/>
      <c r="O2" s="31" t="s">
        <v>75</v>
      </c>
      <c r="P2" s="31" t="s">
        <v>76</v>
      </c>
      <c r="Q2" s="31" t="s">
        <v>76</v>
      </c>
      <c r="R2" s="31"/>
      <c r="S2" s="31" t="s">
        <v>77</v>
      </c>
      <c r="T2" s="31" t="s">
        <v>78</v>
      </c>
      <c r="U2" s="117">
        <v>0</v>
      </c>
      <c r="V2" s="83">
        <f>+VENDIDOS[[#This Row],[Avalúo Total 2025]]-VENDIDOS[[#This Row],[Avalúo Diciembre 2024]]</f>
        <v>0</v>
      </c>
      <c r="W2" s="83">
        <f>+VENDIDOS[[#This Row],[Avalúo Afecto Dic-2025]]-VENDIDOS[[#This Row],[Avalúo Afecto Dic-2024]]</f>
        <v>0</v>
      </c>
      <c r="X2" s="83">
        <f>+VENDIDOS[[#This Row],[Avalúo Exento Dic-2025]]-VENDIDOS[[#This Row],[Avalúo Exento Dic-2024]]</f>
        <v>0</v>
      </c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</row>
    <row r="3" spans="1:48" x14ac:dyDescent="0.3">
      <c r="A3" s="30" t="s">
        <v>79</v>
      </c>
      <c r="B3" s="31" t="s">
        <v>80</v>
      </c>
      <c r="C3" s="31" t="s">
        <v>81</v>
      </c>
      <c r="D3" s="42">
        <v>91338.55</v>
      </c>
      <c r="E3" s="31" t="s">
        <v>73</v>
      </c>
      <c r="F3" s="32"/>
      <c r="G3" s="31" t="s">
        <v>82</v>
      </c>
      <c r="H3" s="31"/>
      <c r="I3" s="83">
        <v>16081312316</v>
      </c>
      <c r="J3" s="83">
        <v>0</v>
      </c>
      <c r="K3" s="83">
        <v>16081312316</v>
      </c>
      <c r="L3" s="83"/>
      <c r="M3" s="83"/>
      <c r="N3" s="83"/>
      <c r="O3" s="31" t="s">
        <v>75</v>
      </c>
      <c r="P3" s="31" t="s">
        <v>83</v>
      </c>
      <c r="Q3" s="31" t="s">
        <v>83</v>
      </c>
      <c r="R3" s="31" t="s">
        <v>84</v>
      </c>
      <c r="S3" s="31" t="s">
        <v>77</v>
      </c>
      <c r="T3" s="31" t="s">
        <v>85</v>
      </c>
      <c r="U3" s="117">
        <v>106245.26258384377</v>
      </c>
      <c r="V3" s="83">
        <f>+VENDIDOS[[#This Row],[Avalúo Total 2025]]-VENDIDOS[[#This Row],[Avalúo Diciembre 2024]]</f>
        <v>-16081312316</v>
      </c>
      <c r="W3" s="83">
        <f>+VENDIDOS[[#This Row],[Avalúo Afecto Dic-2025]]-VENDIDOS[[#This Row],[Avalúo Afecto Dic-2024]]</f>
        <v>-16081312316</v>
      </c>
      <c r="X3" s="83">
        <f>+VENDIDOS[[#This Row],[Avalúo Exento Dic-2025]]-VENDIDOS[[#This Row],[Avalúo Exento Dic-2024]]</f>
        <v>0</v>
      </c>
      <c r="Y3" s="31">
        <v>91338.55</v>
      </c>
      <c r="Z3" s="31">
        <v>173</v>
      </c>
      <c r="AA3" s="31">
        <v>41207</v>
      </c>
      <c r="AB3" s="31" t="s">
        <v>86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>
        <v>3</v>
      </c>
      <c r="AN3" s="31">
        <v>274015.65000000002</v>
      </c>
      <c r="AO3" s="31">
        <v>2.6999990693962186</v>
      </c>
      <c r="AP3" s="31">
        <v>246614</v>
      </c>
      <c r="AQ3" s="31"/>
      <c r="AR3" s="31">
        <v>43893</v>
      </c>
      <c r="AS3" s="31" t="s">
        <v>87</v>
      </c>
      <c r="AT3" s="31">
        <v>246614</v>
      </c>
      <c r="AU3" s="31" t="s">
        <v>88</v>
      </c>
      <c r="AV3" s="31"/>
    </row>
    <row r="4" spans="1:48" x14ac:dyDescent="0.3">
      <c r="A4" s="30" t="s">
        <v>89</v>
      </c>
      <c r="B4" s="31" t="s">
        <v>80</v>
      </c>
      <c r="C4" s="31" t="s">
        <v>90</v>
      </c>
      <c r="D4" s="42">
        <v>7150.47</v>
      </c>
      <c r="E4" s="31" t="s">
        <v>73</v>
      </c>
      <c r="F4" s="32">
        <v>45657</v>
      </c>
      <c r="G4" s="31" t="s">
        <v>91</v>
      </c>
      <c r="H4" s="31">
        <v>3</v>
      </c>
      <c r="I4" s="83">
        <v>370509599</v>
      </c>
      <c r="J4" s="83">
        <v>0</v>
      </c>
      <c r="K4" s="83">
        <v>370509599</v>
      </c>
      <c r="L4" s="83"/>
      <c r="M4" s="83"/>
      <c r="N4" s="83"/>
      <c r="O4" s="31" t="s">
        <v>75</v>
      </c>
      <c r="P4" s="31" t="s">
        <v>92</v>
      </c>
      <c r="Q4" s="31" t="s">
        <v>92</v>
      </c>
      <c r="R4" s="31"/>
      <c r="S4" s="31" t="s">
        <v>77</v>
      </c>
      <c r="T4" s="31" t="s">
        <v>78</v>
      </c>
      <c r="U4" s="117">
        <v>6380.787003832038</v>
      </c>
      <c r="V4" s="83">
        <f>+VENDIDOS[[#This Row],[Avalúo Total 2025]]-VENDIDOS[[#This Row],[Avalúo Diciembre 2024]]</f>
        <v>-370509599</v>
      </c>
      <c r="W4" s="83">
        <f>+VENDIDOS[[#This Row],[Avalúo Afecto Dic-2025]]-VENDIDOS[[#This Row],[Avalúo Afecto Dic-2024]]</f>
        <v>-370509599</v>
      </c>
      <c r="X4" s="83">
        <f>+VENDIDOS[[#This Row],[Avalúo Exento Dic-2025]]-VENDIDOS[[#This Row],[Avalúo Exento Dic-2024]]</f>
        <v>0</v>
      </c>
      <c r="Y4" s="31">
        <v>7150.47</v>
      </c>
      <c r="Z4" s="31">
        <v>69</v>
      </c>
      <c r="AA4" s="31">
        <v>41947</v>
      </c>
      <c r="AB4" s="31" t="s">
        <v>93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>
        <v>3</v>
      </c>
      <c r="AN4" s="31">
        <v>21451.41</v>
      </c>
      <c r="AO4" s="31">
        <v>3</v>
      </c>
      <c r="AP4" s="31">
        <v>21451.41</v>
      </c>
      <c r="AQ4" s="31"/>
      <c r="AR4" s="31">
        <v>43423</v>
      </c>
      <c r="AS4" s="31" t="s">
        <v>94</v>
      </c>
      <c r="AT4" s="31">
        <v>21451.41</v>
      </c>
      <c r="AU4" s="31" t="s">
        <v>88</v>
      </c>
      <c r="AV4" s="31"/>
    </row>
    <row r="5" spans="1:48" x14ac:dyDescent="0.3">
      <c r="A5" s="30" t="s">
        <v>89</v>
      </c>
      <c r="B5" s="31" t="s">
        <v>80</v>
      </c>
      <c r="C5" s="31" t="s">
        <v>95</v>
      </c>
      <c r="D5" s="42">
        <v>9728.7559999999994</v>
      </c>
      <c r="E5" s="31" t="s">
        <v>73</v>
      </c>
      <c r="F5" s="32"/>
      <c r="G5" s="31"/>
      <c r="H5" s="31"/>
      <c r="I5" s="83"/>
      <c r="J5" s="83"/>
      <c r="K5" s="83"/>
      <c r="L5" s="83"/>
      <c r="M5" s="83"/>
      <c r="N5" s="83"/>
      <c r="O5" s="31" t="s">
        <v>96</v>
      </c>
      <c r="P5" s="31" t="s">
        <v>97</v>
      </c>
      <c r="Q5" s="31" t="e">
        <f>_xlfn.XLOOKUP(VENDIDOS[[#This Row],[Rol Matriz]],[1]!BBDD_Terrenos[Rol Pagador2],[1]!BBDD_Terrenos[Rol Pagador2],"no")</f>
        <v>#REF!</v>
      </c>
      <c r="R5" s="31"/>
      <c r="S5" s="31" t="s">
        <v>77</v>
      </c>
      <c r="T5" s="31" t="s">
        <v>98</v>
      </c>
      <c r="U5" s="117">
        <v>5399.9309281668866</v>
      </c>
      <c r="V5" s="83">
        <f>+VENDIDOS[[#This Row],[Avalúo Total 2025]]-VENDIDOS[[#This Row],[Avalúo Diciembre 2024]]</f>
        <v>0</v>
      </c>
      <c r="W5" s="83">
        <f>+VENDIDOS[[#This Row],[Avalúo Afecto Dic-2025]]-VENDIDOS[[#This Row],[Avalúo Afecto Dic-2024]]</f>
        <v>0</v>
      </c>
      <c r="X5" s="83">
        <f>+VENDIDOS[[#This Row],[Avalúo Exento Dic-2025]]-VENDIDOS[[#This Row],[Avalúo Exento Dic-2024]]</f>
        <v>0</v>
      </c>
      <c r="Y5" s="31">
        <v>9728.76</v>
      </c>
      <c r="Z5" s="31" t="s">
        <v>99</v>
      </c>
      <c r="AA5" s="31">
        <v>42648</v>
      </c>
      <c r="AB5" s="31" t="s">
        <v>100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>
        <v>2.4</v>
      </c>
      <c r="AN5" s="31">
        <v>23349.014399999996</v>
      </c>
      <c r="AO5" s="31">
        <v>2.4</v>
      </c>
      <c r="AP5" s="31">
        <v>23349.014399999996</v>
      </c>
      <c r="AQ5" s="31"/>
      <c r="AR5" s="31">
        <v>44286</v>
      </c>
      <c r="AS5" s="31" t="s">
        <v>101</v>
      </c>
      <c r="AT5" s="31">
        <v>23349.014399999996</v>
      </c>
      <c r="AU5" s="31" t="s">
        <v>101</v>
      </c>
      <c r="AV5" s="31"/>
    </row>
    <row r="6" spans="1:48" x14ac:dyDescent="0.3">
      <c r="A6" s="30" t="s">
        <v>89</v>
      </c>
      <c r="B6" s="31" t="s">
        <v>80</v>
      </c>
      <c r="C6" s="31" t="s">
        <v>102</v>
      </c>
      <c r="D6" s="42">
        <v>9777.3580000000002</v>
      </c>
      <c r="E6" s="31" t="s">
        <v>73</v>
      </c>
      <c r="F6" s="32">
        <v>45657</v>
      </c>
      <c r="G6" s="31" t="s">
        <v>103</v>
      </c>
      <c r="H6" s="31">
        <v>3.0001104633323106</v>
      </c>
      <c r="I6" s="83">
        <v>464791152</v>
      </c>
      <c r="J6" s="83">
        <v>0</v>
      </c>
      <c r="K6" s="83">
        <v>464791152</v>
      </c>
      <c r="L6" s="83"/>
      <c r="M6" s="83"/>
      <c r="N6" s="83"/>
      <c r="O6" s="31" t="s">
        <v>96</v>
      </c>
      <c r="P6" s="31" t="s">
        <v>104</v>
      </c>
      <c r="Q6" s="31" t="e">
        <f>_xlfn.XLOOKUP(VENDIDOS[[#This Row],[Rol Matriz]],[1]!BBDD_Terrenos[Rol Pagador2],[1]!BBDD_Terrenos[Rol Pagador2],"no")</f>
        <v>#REF!</v>
      </c>
      <c r="R6" s="31" t="s">
        <v>105</v>
      </c>
      <c r="S6" s="31" t="s">
        <v>106</v>
      </c>
      <c r="T6" s="31" t="s">
        <v>78</v>
      </c>
      <c r="U6" s="117">
        <v>5426.9062335074095</v>
      </c>
      <c r="V6" s="83">
        <f>+VENDIDOS[[#This Row],[Avalúo Total 2025]]-VENDIDOS[[#This Row],[Avalúo Diciembre 2024]]</f>
        <v>-464791152</v>
      </c>
      <c r="W6" s="83">
        <f>+VENDIDOS[[#This Row],[Avalúo Afecto Dic-2025]]-VENDIDOS[[#This Row],[Avalúo Afecto Dic-2024]]</f>
        <v>-464791152</v>
      </c>
      <c r="X6" s="83">
        <f>+VENDIDOS[[#This Row],[Avalúo Exento Dic-2025]]-VENDIDOS[[#This Row],[Avalúo Exento Dic-2024]]</f>
        <v>0</v>
      </c>
      <c r="Y6" s="31">
        <v>9777.36</v>
      </c>
      <c r="Z6" s="31" t="s">
        <v>99</v>
      </c>
      <c r="AA6" s="31">
        <v>42648</v>
      </c>
      <c r="AB6" s="31" t="s">
        <v>107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>
        <v>2.2999999999999998</v>
      </c>
      <c r="AN6" s="31">
        <v>22487.9234</v>
      </c>
      <c r="AO6" s="31">
        <v>1.9999656675936417</v>
      </c>
      <c r="AP6" s="31">
        <v>19554.380319772034</v>
      </c>
      <c r="AQ6" s="31">
        <v>13688.08</v>
      </c>
      <c r="AR6" s="31">
        <v>44235</v>
      </c>
      <c r="AS6" s="31" t="s">
        <v>108</v>
      </c>
      <c r="AT6" s="31">
        <v>19554.380319772034</v>
      </c>
      <c r="AU6" s="31" t="s">
        <v>108</v>
      </c>
      <c r="AV6" s="31" t="s">
        <v>109</v>
      </c>
    </row>
    <row r="7" spans="1:48" x14ac:dyDescent="0.3">
      <c r="A7" s="30" t="s">
        <v>89</v>
      </c>
      <c r="B7" s="31" t="s">
        <v>80</v>
      </c>
      <c r="C7" s="31" t="s">
        <v>110</v>
      </c>
      <c r="D7" s="42">
        <v>5234.5510000000004</v>
      </c>
      <c r="E7" s="31" t="s">
        <v>73</v>
      </c>
      <c r="F7" s="32">
        <v>45657</v>
      </c>
      <c r="G7" s="31" t="s">
        <v>103</v>
      </c>
      <c r="H7" s="31">
        <v>3.0001104633323106</v>
      </c>
      <c r="I7" s="83">
        <v>248867923</v>
      </c>
      <c r="J7" s="83">
        <v>0</v>
      </c>
      <c r="K7" s="83">
        <v>247867923</v>
      </c>
      <c r="L7" s="83"/>
      <c r="M7" s="83"/>
      <c r="N7" s="83"/>
      <c r="O7" s="31" t="s">
        <v>96</v>
      </c>
      <c r="P7" s="31" t="s">
        <v>111</v>
      </c>
      <c r="Q7" s="31" t="e">
        <f>_xlfn.XLOOKUP(VENDIDOS[[#This Row],[Rol Matriz]],[1]!BBDD_Terrenos[Rol Pagador2],[1]!BBDD_Terrenos[Rol Pagador2],"no")</f>
        <v>#REF!</v>
      </c>
      <c r="R7" s="31" t="s">
        <v>105</v>
      </c>
      <c r="S7" s="31" t="s">
        <v>106</v>
      </c>
      <c r="T7" s="31" t="s">
        <v>78</v>
      </c>
      <c r="U7" s="117">
        <v>2905.4276283342947</v>
      </c>
      <c r="V7" s="83">
        <f>+VENDIDOS[[#This Row],[Avalúo Total 2025]]-VENDIDOS[[#This Row],[Avalúo Diciembre 2024]]</f>
        <v>-248867923</v>
      </c>
      <c r="W7" s="83">
        <f>+VENDIDOS[[#This Row],[Avalúo Afecto Dic-2025]]-VENDIDOS[[#This Row],[Avalúo Afecto Dic-2024]]</f>
        <v>-247867923</v>
      </c>
      <c r="X7" s="83">
        <f>+VENDIDOS[[#This Row],[Avalúo Exento Dic-2025]]-VENDIDOS[[#This Row],[Avalúo Exento Dic-2024]]</f>
        <v>0</v>
      </c>
      <c r="Y7" s="31">
        <v>5234.55</v>
      </c>
      <c r="Z7" s="31" t="s">
        <v>99</v>
      </c>
      <c r="AA7" s="31">
        <v>42648</v>
      </c>
      <c r="AB7" s="31" t="s">
        <v>112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>
        <v>2.2999999999999998</v>
      </c>
      <c r="AN7" s="31">
        <v>12039.4673</v>
      </c>
      <c r="AO7" s="31">
        <v>1.9999656675936417</v>
      </c>
      <c r="AP7" s="31">
        <v>10468.922285267965</v>
      </c>
      <c r="AQ7" s="31">
        <v>7328.24</v>
      </c>
      <c r="AR7" s="31">
        <v>44235</v>
      </c>
      <c r="AS7" s="31" t="s">
        <v>108</v>
      </c>
      <c r="AT7" s="31">
        <v>10468.922285267965</v>
      </c>
      <c r="AU7" s="31" t="s">
        <v>108</v>
      </c>
      <c r="AV7" s="31" t="s">
        <v>109</v>
      </c>
    </row>
    <row r="8" spans="1:48" x14ac:dyDescent="0.3">
      <c r="A8" s="30" t="s">
        <v>89</v>
      </c>
      <c r="B8" s="31" t="s">
        <v>80</v>
      </c>
      <c r="C8" s="31" t="s">
        <v>113</v>
      </c>
      <c r="D8" s="42">
        <v>8561.26</v>
      </c>
      <c r="E8" s="31" t="s">
        <v>73</v>
      </c>
      <c r="F8" s="32">
        <v>44551</v>
      </c>
      <c r="G8" s="31" t="s">
        <v>103</v>
      </c>
      <c r="H8" s="31">
        <v>2.85</v>
      </c>
      <c r="I8" s="83"/>
      <c r="J8" s="83"/>
      <c r="K8" s="83"/>
      <c r="L8" s="83"/>
      <c r="M8" s="83"/>
      <c r="N8" s="83"/>
      <c r="O8" s="31" t="s">
        <v>96</v>
      </c>
      <c r="P8" s="31" t="s">
        <v>114</v>
      </c>
      <c r="Q8" s="31" t="e">
        <f>_xlfn.XLOOKUP(VENDIDOS[[#This Row],[Rol Matriz]],[1]!BBDD_Terrenos[Rol Pagador2],[1]!BBDD_Terrenos[Rol Pagador2],"no")</f>
        <v>#REF!</v>
      </c>
      <c r="R8" s="31"/>
      <c r="S8" s="31" t="s">
        <v>106</v>
      </c>
      <c r="T8" s="31" t="s">
        <v>78</v>
      </c>
      <c r="U8" s="117">
        <v>0</v>
      </c>
      <c r="V8" s="83">
        <f>+VENDIDOS[[#This Row],[Avalúo Total 2025]]-VENDIDOS[[#This Row],[Avalúo Diciembre 2024]]</f>
        <v>0</v>
      </c>
      <c r="W8" s="83">
        <f>+VENDIDOS[[#This Row],[Avalúo Afecto Dic-2025]]-VENDIDOS[[#This Row],[Avalúo Afecto Dic-2024]]</f>
        <v>0</v>
      </c>
      <c r="X8" s="83">
        <f>+VENDIDOS[[#This Row],[Avalúo Exento Dic-2025]]-VENDIDOS[[#This Row],[Avalúo Exento Dic-2024]]</f>
        <v>0</v>
      </c>
      <c r="Y8" s="31">
        <v>8561.26</v>
      </c>
      <c r="Z8" s="31" t="s">
        <v>99</v>
      </c>
      <c r="AA8" s="31">
        <v>42648</v>
      </c>
      <c r="AB8" s="31" t="s">
        <v>115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>
        <v>1.9999649584290164</v>
      </c>
      <c r="AN8" s="31">
        <v>17122.22</v>
      </c>
      <c r="AO8" s="31">
        <v>1.9999649584290164</v>
      </c>
      <c r="AP8" s="31">
        <v>17122.22</v>
      </c>
      <c r="AQ8" s="31"/>
      <c r="AR8" s="31">
        <v>44235</v>
      </c>
      <c r="AS8" s="31" t="s">
        <v>108</v>
      </c>
      <c r="AT8" s="31"/>
      <c r="AU8" s="31"/>
      <c r="AV8" s="31"/>
    </row>
    <row r="9" spans="1:48" x14ac:dyDescent="0.3">
      <c r="A9" s="30" t="s">
        <v>89</v>
      </c>
      <c r="B9" s="31" t="s">
        <v>80</v>
      </c>
      <c r="C9" s="31" t="s">
        <v>116</v>
      </c>
      <c r="D9" s="42">
        <v>28469.481</v>
      </c>
      <c r="E9" s="31" t="s">
        <v>73</v>
      </c>
      <c r="F9" s="32">
        <v>42853</v>
      </c>
      <c r="G9" s="31" t="s">
        <v>117</v>
      </c>
      <c r="H9" s="31">
        <v>1.5800000007025066</v>
      </c>
      <c r="I9" s="83"/>
      <c r="J9" s="83"/>
      <c r="K9" s="83"/>
      <c r="L9" s="83"/>
      <c r="M9" s="83"/>
      <c r="N9" s="83"/>
      <c r="O9" s="31" t="s">
        <v>96</v>
      </c>
      <c r="P9" s="31" t="s">
        <v>118</v>
      </c>
      <c r="Q9" s="31" t="e">
        <f>_xlfn.XLOOKUP(VENDIDOS[[#This Row],[Rol Matriz]],[1]!BBDD_Terrenos[Rol Pagador2],[1]!BBDD_Terrenos[Rol Pagador2],"no")</f>
        <v>#REF!</v>
      </c>
      <c r="R9" s="31"/>
      <c r="S9" s="31"/>
      <c r="T9" s="31"/>
      <c r="U9" s="117">
        <v>0</v>
      </c>
      <c r="V9" s="83">
        <f>+VENDIDOS[[#This Row],[Avalúo Total 2025]]-VENDIDOS[[#This Row],[Avalúo Diciembre 2024]]</f>
        <v>0</v>
      </c>
      <c r="W9" s="83">
        <f>+VENDIDOS[[#This Row],[Avalúo Afecto Dic-2025]]-VENDIDOS[[#This Row],[Avalúo Afecto Dic-2024]]</f>
        <v>0</v>
      </c>
      <c r="X9" s="83">
        <f>+VENDIDOS[[#This Row],[Avalúo Exento Dic-2025]]-VENDIDOS[[#This Row],[Avalúo Exento Dic-2024]]</f>
        <v>0</v>
      </c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</row>
    <row r="10" spans="1:48" x14ac:dyDescent="0.3">
      <c r="A10" s="30" t="s">
        <v>89</v>
      </c>
      <c r="B10" s="31" t="s">
        <v>80</v>
      </c>
      <c r="C10" s="31" t="s">
        <v>119</v>
      </c>
      <c r="D10" s="42">
        <v>10359.56</v>
      </c>
      <c r="E10" s="31" t="s">
        <v>73</v>
      </c>
      <c r="F10" s="32">
        <v>42731</v>
      </c>
      <c r="G10" s="31" t="s">
        <v>120</v>
      </c>
      <c r="H10" s="31">
        <v>1.5000028958758869</v>
      </c>
      <c r="I10" s="83"/>
      <c r="J10" s="83"/>
      <c r="K10" s="83"/>
      <c r="L10" s="83"/>
      <c r="M10" s="83"/>
      <c r="N10" s="83"/>
      <c r="O10" s="31" t="s">
        <v>96</v>
      </c>
      <c r="P10" s="31" t="s">
        <v>121</v>
      </c>
      <c r="Q10" s="31" t="e">
        <f>_xlfn.XLOOKUP(VENDIDOS[[#This Row],[Rol Matriz]],[1]!BBDD_Terrenos[Rol Pagador2],[1]!BBDD_Terrenos[Rol Pagador2],"no")</f>
        <v>#REF!</v>
      </c>
      <c r="R10" s="31"/>
      <c r="S10" s="31"/>
      <c r="T10" s="31"/>
      <c r="U10" s="117">
        <v>0</v>
      </c>
      <c r="V10" s="83">
        <f>+VENDIDOS[[#This Row],[Avalúo Total 2025]]-VENDIDOS[[#This Row],[Avalúo Diciembre 2024]]</f>
        <v>0</v>
      </c>
      <c r="W10" s="83">
        <f>+VENDIDOS[[#This Row],[Avalúo Afecto Dic-2025]]-VENDIDOS[[#This Row],[Avalúo Afecto Dic-2024]]</f>
        <v>0</v>
      </c>
      <c r="X10" s="83">
        <f>+VENDIDOS[[#This Row],[Avalúo Exento Dic-2025]]-VENDIDOS[[#This Row],[Avalúo Exento Dic-2024]]</f>
        <v>0</v>
      </c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</row>
    <row r="11" spans="1:48" x14ac:dyDescent="0.3">
      <c r="A11" s="30" t="s">
        <v>89</v>
      </c>
      <c r="B11" s="31" t="s">
        <v>80</v>
      </c>
      <c r="C11" s="31" t="s">
        <v>122</v>
      </c>
      <c r="D11" s="42">
        <v>10359.574000000001</v>
      </c>
      <c r="E11" s="31" t="s">
        <v>73</v>
      </c>
      <c r="F11" s="32">
        <v>42731</v>
      </c>
      <c r="G11" s="31" t="s">
        <v>120</v>
      </c>
      <c r="H11" s="31">
        <v>1.500000868761592</v>
      </c>
      <c r="I11" s="83"/>
      <c r="J11" s="83"/>
      <c r="K11" s="83"/>
      <c r="L11" s="83"/>
      <c r="M11" s="83"/>
      <c r="N11" s="83"/>
      <c r="O11" s="31" t="s">
        <v>96</v>
      </c>
      <c r="P11" s="31" t="s">
        <v>123</v>
      </c>
      <c r="Q11" s="31" t="e">
        <f>_xlfn.XLOOKUP(VENDIDOS[[#This Row],[Rol Matriz]],[1]!BBDD_Terrenos[Rol Pagador2],[1]!BBDD_Terrenos[Rol Pagador2],"no")</f>
        <v>#REF!</v>
      </c>
      <c r="R11" s="31"/>
      <c r="S11" s="31"/>
      <c r="T11" s="31"/>
      <c r="U11" s="117">
        <v>0</v>
      </c>
      <c r="V11" s="83">
        <f>+VENDIDOS[[#This Row],[Avalúo Total 2025]]-VENDIDOS[[#This Row],[Avalúo Diciembre 2024]]</f>
        <v>0</v>
      </c>
      <c r="W11" s="83">
        <f>+VENDIDOS[[#This Row],[Avalúo Afecto Dic-2025]]-VENDIDOS[[#This Row],[Avalúo Afecto Dic-2024]]</f>
        <v>0</v>
      </c>
      <c r="X11" s="83">
        <f>+VENDIDOS[[#This Row],[Avalúo Exento Dic-2025]]-VENDIDOS[[#This Row],[Avalúo Exento Dic-2024]]</f>
        <v>0</v>
      </c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</row>
    <row r="12" spans="1:48" x14ac:dyDescent="0.3">
      <c r="A12" s="30" t="s">
        <v>89</v>
      </c>
      <c r="B12" s="31" t="s">
        <v>80</v>
      </c>
      <c r="C12" s="31" t="s">
        <v>124</v>
      </c>
      <c r="D12" s="42">
        <v>70694.350000000006</v>
      </c>
      <c r="E12" s="31" t="s">
        <v>73</v>
      </c>
      <c r="F12" s="32">
        <v>42223</v>
      </c>
      <c r="G12" s="31" t="s">
        <v>125</v>
      </c>
      <c r="H12" s="31">
        <v>1</v>
      </c>
      <c r="I12" s="83"/>
      <c r="J12" s="83"/>
      <c r="K12" s="83"/>
      <c r="L12" s="83"/>
      <c r="M12" s="83"/>
      <c r="N12" s="83"/>
      <c r="O12" s="31" t="s">
        <v>96</v>
      </c>
      <c r="P12" s="31"/>
      <c r="Q12" s="31" t="e">
        <f>_xlfn.XLOOKUP(VENDIDOS[[#This Row],[Rol Matriz]],[1]!BBDD_Terrenos[Rol Pagador2],[1]!BBDD_Terrenos[Rol Pagador2],"no")</f>
        <v>#REF!</v>
      </c>
      <c r="R12" s="31"/>
      <c r="S12" s="31"/>
      <c r="T12" s="31"/>
      <c r="U12" s="117">
        <v>0</v>
      </c>
      <c r="V12" s="83">
        <f>+VENDIDOS[[#This Row],[Avalúo Total 2025]]-VENDIDOS[[#This Row],[Avalúo Diciembre 2024]]</f>
        <v>0</v>
      </c>
      <c r="W12" s="83">
        <f>+VENDIDOS[[#This Row],[Avalúo Afecto Dic-2025]]-VENDIDOS[[#This Row],[Avalúo Afecto Dic-2024]]</f>
        <v>0</v>
      </c>
      <c r="X12" s="83">
        <f>+VENDIDOS[[#This Row],[Avalúo Exento Dic-2025]]-VENDIDOS[[#This Row],[Avalúo Exento Dic-2024]]</f>
        <v>0</v>
      </c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</row>
    <row r="13" spans="1:48" x14ac:dyDescent="0.3">
      <c r="A13" s="30" t="s">
        <v>126</v>
      </c>
      <c r="B13" s="31" t="s">
        <v>80</v>
      </c>
      <c r="C13" s="31" t="s">
        <v>127</v>
      </c>
      <c r="D13" s="42">
        <v>7585.68</v>
      </c>
      <c r="E13" s="31" t="s">
        <v>73</v>
      </c>
      <c r="F13" s="32">
        <v>45838</v>
      </c>
      <c r="G13" s="31" t="s">
        <v>128</v>
      </c>
      <c r="H13" s="31"/>
      <c r="I13" s="83">
        <v>376767997</v>
      </c>
      <c r="J13" s="83">
        <v>0</v>
      </c>
      <c r="K13" s="83">
        <v>376767997</v>
      </c>
      <c r="L13" s="83"/>
      <c r="M13" s="83"/>
      <c r="N13" s="83"/>
      <c r="O13" s="31" t="s">
        <v>129</v>
      </c>
      <c r="P13" s="31" t="s">
        <v>130</v>
      </c>
      <c r="Q13" s="31" t="s">
        <v>130</v>
      </c>
      <c r="R13" s="31"/>
      <c r="S13" s="31" t="s">
        <v>77</v>
      </c>
      <c r="T13" s="31" t="s">
        <v>78</v>
      </c>
      <c r="U13" s="117">
        <v>0</v>
      </c>
      <c r="V13" s="83">
        <f>+VENDIDOS[[#This Row],[Avalúo Total 2025]]-VENDIDOS[[#This Row],[Avalúo Diciembre 2024]]</f>
        <v>-376767997</v>
      </c>
      <c r="W13" s="83">
        <f>+VENDIDOS[[#This Row],[Avalúo Afecto Dic-2025]]-VENDIDOS[[#This Row],[Avalúo Afecto Dic-2024]]</f>
        <v>-376767997</v>
      </c>
      <c r="X13" s="83">
        <f>+VENDIDOS[[#This Row],[Avalúo Exento Dic-2025]]-VENDIDOS[[#This Row],[Avalúo Exento Dic-2024]]</f>
        <v>0</v>
      </c>
      <c r="Y13" s="31">
        <v>7585.68</v>
      </c>
      <c r="Z13" s="31" t="s">
        <v>131</v>
      </c>
      <c r="AA13" s="31">
        <v>44103</v>
      </c>
      <c r="AB13" s="31" t="s">
        <v>132</v>
      </c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>
        <v>2.1770769041531008</v>
      </c>
      <c r="AN13" s="31">
        <v>16514.608730296095</v>
      </c>
      <c r="AO13" s="31">
        <v>2.1770769041531008</v>
      </c>
      <c r="AP13" s="31">
        <v>16514.608730296095</v>
      </c>
      <c r="AQ13" s="31"/>
      <c r="AR13" s="31">
        <v>43525</v>
      </c>
      <c r="AS13" s="31" t="s">
        <v>101</v>
      </c>
      <c r="AT13" s="31">
        <v>16514.608730296095</v>
      </c>
      <c r="AU13" s="31" t="s">
        <v>88</v>
      </c>
      <c r="AV13" s="31"/>
    </row>
    <row r="14" spans="1:48" x14ac:dyDescent="0.3">
      <c r="A14" s="30" t="s">
        <v>133</v>
      </c>
      <c r="B14" s="31" t="s">
        <v>80</v>
      </c>
      <c r="C14" s="31" t="s">
        <v>134</v>
      </c>
      <c r="D14" s="42">
        <v>5207.8999999999996</v>
      </c>
      <c r="E14" s="31" t="s">
        <v>73</v>
      </c>
      <c r="F14" s="32">
        <v>44925</v>
      </c>
      <c r="G14" s="31" t="s">
        <v>135</v>
      </c>
      <c r="H14" s="31">
        <v>3</v>
      </c>
      <c r="I14" s="83"/>
      <c r="J14" s="83"/>
      <c r="K14" s="83"/>
      <c r="L14" s="83"/>
      <c r="M14" s="83"/>
      <c r="N14" s="83"/>
      <c r="O14" s="31" t="s">
        <v>129</v>
      </c>
      <c r="P14" s="31" t="s">
        <v>136</v>
      </c>
      <c r="Q14" s="31" t="s">
        <v>136</v>
      </c>
      <c r="R14" s="31"/>
      <c r="S14" s="31" t="s">
        <v>77</v>
      </c>
      <c r="T14" s="31" t="s">
        <v>78</v>
      </c>
      <c r="U14" s="117">
        <v>0</v>
      </c>
      <c r="V14" s="83">
        <f>+VENDIDOS[[#This Row],[Avalúo Total 2025]]-VENDIDOS[[#This Row],[Avalúo Diciembre 2024]]</f>
        <v>0</v>
      </c>
      <c r="W14" s="83">
        <f>+VENDIDOS[[#This Row],[Avalúo Afecto Dic-2025]]-VENDIDOS[[#This Row],[Avalúo Afecto Dic-2024]]</f>
        <v>0</v>
      </c>
      <c r="X14" s="83">
        <f>+VENDIDOS[[#This Row],[Avalúo Exento Dic-2025]]-VENDIDOS[[#This Row],[Avalúo Exento Dic-2024]]</f>
        <v>0</v>
      </c>
      <c r="Y14" s="31">
        <v>5207.8999999999996</v>
      </c>
      <c r="Z14" s="31" t="s">
        <v>131</v>
      </c>
      <c r="AA14" s="31">
        <v>44103</v>
      </c>
      <c r="AB14" s="31" t="s">
        <v>137</v>
      </c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>
        <v>2.1770769041531008</v>
      </c>
      <c r="AN14" s="31">
        <v>11337.998809138933</v>
      </c>
      <c r="AO14" s="31">
        <v>2.1770769041531008</v>
      </c>
      <c r="AP14" s="31">
        <v>11337.998809138933</v>
      </c>
      <c r="AQ14" s="31"/>
      <c r="AR14" s="31">
        <v>43525</v>
      </c>
      <c r="AS14" s="31" t="s">
        <v>101</v>
      </c>
      <c r="AT14" s="31"/>
      <c r="AU14" s="31" t="s">
        <v>88</v>
      </c>
      <c r="AV14" s="31"/>
    </row>
    <row r="15" spans="1:48" x14ac:dyDescent="0.3">
      <c r="A15" s="30" t="s">
        <v>133</v>
      </c>
      <c r="B15" s="31" t="s">
        <v>80</v>
      </c>
      <c r="C15" s="31" t="s">
        <v>127</v>
      </c>
      <c r="D15" s="42">
        <v>7585.68</v>
      </c>
      <c r="E15" s="31" t="s">
        <v>73</v>
      </c>
      <c r="F15" s="32">
        <v>45134</v>
      </c>
      <c r="G15" s="31" t="s">
        <v>138</v>
      </c>
      <c r="H15" s="31">
        <v>3</v>
      </c>
      <c r="I15" s="83"/>
      <c r="J15" s="83"/>
      <c r="K15" s="83"/>
      <c r="L15" s="83"/>
      <c r="M15" s="83"/>
      <c r="N15" s="83"/>
      <c r="O15" s="31" t="s">
        <v>129</v>
      </c>
      <c r="P15" s="31" t="s">
        <v>130</v>
      </c>
      <c r="Q15" s="31" t="s">
        <v>130</v>
      </c>
      <c r="R15" s="31"/>
      <c r="S15" s="31" t="s">
        <v>77</v>
      </c>
      <c r="T15" s="31" t="s">
        <v>78</v>
      </c>
      <c r="U15" s="117">
        <v>0</v>
      </c>
      <c r="V15" s="83">
        <f>+VENDIDOS[[#This Row],[Avalúo Total 2025]]-VENDIDOS[[#This Row],[Avalúo Diciembre 2024]]</f>
        <v>0</v>
      </c>
      <c r="W15" s="83">
        <f>+VENDIDOS[[#This Row],[Avalúo Afecto Dic-2025]]-VENDIDOS[[#This Row],[Avalúo Afecto Dic-2024]]</f>
        <v>0</v>
      </c>
      <c r="X15" s="83">
        <f>+VENDIDOS[[#This Row],[Avalúo Exento Dic-2025]]-VENDIDOS[[#This Row],[Avalúo Exento Dic-2024]]</f>
        <v>0</v>
      </c>
      <c r="Y15" s="31">
        <v>7585.68</v>
      </c>
      <c r="Z15" s="31" t="s">
        <v>131</v>
      </c>
      <c r="AA15" s="31">
        <v>44103</v>
      </c>
      <c r="AB15" s="31" t="s">
        <v>132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>
        <v>2.1770769041531008</v>
      </c>
      <c r="AN15" s="31">
        <v>16514.608730296095</v>
      </c>
      <c r="AO15" s="31">
        <v>2.1770769041531008</v>
      </c>
      <c r="AP15" s="31">
        <v>16514.608730296095</v>
      </c>
      <c r="AQ15" s="31"/>
      <c r="AR15" s="31">
        <v>43525</v>
      </c>
      <c r="AS15" s="31" t="s">
        <v>101</v>
      </c>
      <c r="AT15" s="31"/>
      <c r="AU15" s="31" t="s">
        <v>88</v>
      </c>
      <c r="AV15" s="31"/>
    </row>
    <row r="16" spans="1:48" x14ac:dyDescent="0.3">
      <c r="A16" s="30" t="s">
        <v>89</v>
      </c>
      <c r="B16" s="31" t="s">
        <v>80</v>
      </c>
      <c r="C16" s="31" t="s">
        <v>139</v>
      </c>
      <c r="D16" s="42">
        <v>1311.15</v>
      </c>
      <c r="E16" s="31" t="s">
        <v>73</v>
      </c>
      <c r="F16" s="32">
        <v>45740</v>
      </c>
      <c r="G16" s="31" t="s">
        <v>140</v>
      </c>
      <c r="H16" s="31">
        <v>1.7999466117530412</v>
      </c>
      <c r="I16" s="83"/>
      <c r="J16" s="83"/>
      <c r="K16" s="83"/>
      <c r="L16" s="83"/>
      <c r="M16" s="83"/>
      <c r="N16" s="83"/>
      <c r="O16" s="31" t="s">
        <v>141</v>
      </c>
      <c r="P16" s="31" t="s">
        <v>142</v>
      </c>
      <c r="Q16" s="31" t="e">
        <f>_xlfn.XLOOKUP(VENDIDOS[[#This Row],[Rol Matriz]],[1]!BBDD_Terrenos[Rol Pagador2],[1]!BBDD_Terrenos[Rol Pagador2],"no")</f>
        <v>#REF!</v>
      </c>
      <c r="R16" s="31" t="s">
        <v>143</v>
      </c>
      <c r="S16" s="31" t="s">
        <v>106</v>
      </c>
      <c r="T16" s="31" t="s">
        <v>144</v>
      </c>
      <c r="U16" s="117">
        <v>2090.1998137325331</v>
      </c>
      <c r="V16" s="83">
        <f>+VENDIDOS[[#This Row],[Avalúo Total 2025]]-VENDIDOS[[#This Row],[Avalúo Diciembre 2024]]</f>
        <v>0</v>
      </c>
      <c r="W16" s="83">
        <f>+VENDIDOS[[#This Row],[Avalúo Afecto Dic-2025]]-VENDIDOS[[#This Row],[Avalúo Afecto Dic-2024]]</f>
        <v>0</v>
      </c>
      <c r="X16" s="83">
        <f>+VENDIDOS[[#This Row],[Avalúo Exento Dic-2025]]-VENDIDOS[[#This Row],[Avalúo Exento Dic-2024]]</f>
        <v>0</v>
      </c>
      <c r="Y16" s="31">
        <v>1311.15</v>
      </c>
      <c r="Z16" s="31" t="s">
        <v>145</v>
      </c>
      <c r="AA16" s="31">
        <v>43633</v>
      </c>
      <c r="AB16" s="31" t="s">
        <v>146</v>
      </c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>
        <v>1.6</v>
      </c>
      <c r="AN16" s="31">
        <v>2097.84</v>
      </c>
      <c r="AO16" s="31">
        <v>0.4</v>
      </c>
      <c r="AP16" s="31">
        <v>524.46</v>
      </c>
      <c r="AQ16" s="31"/>
      <c r="AR16" s="31"/>
      <c r="AS16" s="31"/>
      <c r="AT16" s="31"/>
      <c r="AU16" s="31" t="s">
        <v>88</v>
      </c>
      <c r="AV16" s="31"/>
    </row>
    <row r="17" spans="1:48" x14ac:dyDescent="0.3">
      <c r="A17" s="30" t="s">
        <v>79</v>
      </c>
      <c r="B17" s="31" t="s">
        <v>80</v>
      </c>
      <c r="C17" s="31" t="s">
        <v>147</v>
      </c>
      <c r="D17" s="42">
        <v>17999.099999999999</v>
      </c>
      <c r="E17" s="31" t="s">
        <v>148</v>
      </c>
      <c r="F17" s="32"/>
      <c r="G17" s="31" t="s">
        <v>82</v>
      </c>
      <c r="H17" s="31"/>
      <c r="I17" s="83">
        <v>2880851856</v>
      </c>
      <c r="J17" s="83">
        <v>0</v>
      </c>
      <c r="K17" s="83">
        <v>2880851856</v>
      </c>
      <c r="L17" s="83"/>
      <c r="M17" s="83"/>
      <c r="N17" s="83"/>
      <c r="O17" s="31" t="s">
        <v>149</v>
      </c>
      <c r="P17" s="31" t="s">
        <v>150</v>
      </c>
      <c r="Q17" s="31" t="e">
        <f>_xlfn.XLOOKUP(VENDIDOS[[#This Row],[Rol Matriz]],[1]!BBDD_Terrenos[Rol Pagador2],[1]!BBDD_Terrenos[Rol Pagador2],"no")</f>
        <v>#REF!</v>
      </c>
      <c r="R17" s="31"/>
      <c r="S17" s="31" t="s">
        <v>77</v>
      </c>
      <c r="T17" s="31" t="s">
        <v>151</v>
      </c>
      <c r="U17" s="117">
        <v>16349.857305975096</v>
      </c>
      <c r="V17" s="83">
        <f>+VENDIDOS[[#This Row],[Avalúo Total 2025]]-VENDIDOS[[#This Row],[Avalúo Diciembre 2024]]</f>
        <v>-2880851856</v>
      </c>
      <c r="W17" s="83">
        <f>+VENDIDOS[[#This Row],[Avalúo Afecto Dic-2025]]-VENDIDOS[[#This Row],[Avalúo Afecto Dic-2024]]</f>
        <v>-2880851856</v>
      </c>
      <c r="X17" s="83">
        <f>+VENDIDOS[[#This Row],[Avalúo Exento Dic-2025]]-VENDIDOS[[#This Row],[Avalúo Exento Dic-2024]]</f>
        <v>0</v>
      </c>
      <c r="Y17" s="31">
        <v>17999.099999999999</v>
      </c>
      <c r="Z17" s="31" t="s">
        <v>152</v>
      </c>
      <c r="AA17" s="31">
        <v>43357</v>
      </c>
      <c r="AB17" s="31" t="s">
        <v>153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>
        <v>3.5</v>
      </c>
      <c r="AN17" s="31">
        <v>62996.849999999991</v>
      </c>
      <c r="AO17" s="31">
        <v>3.4500000136028515</v>
      </c>
      <c r="AP17" s="31">
        <v>62096.895244839077</v>
      </c>
      <c r="AQ17" s="31"/>
      <c r="AR17" s="31">
        <v>45251</v>
      </c>
      <c r="AS17" s="31" t="s">
        <v>154</v>
      </c>
      <c r="AT17" s="31">
        <v>62996.849999999991</v>
      </c>
      <c r="AU17" s="31" t="s">
        <v>154</v>
      </c>
      <c r="AV17" s="31" t="s">
        <v>155</v>
      </c>
    </row>
    <row r="18" spans="1:48" x14ac:dyDescent="0.3">
      <c r="A18" s="30" t="s">
        <v>89</v>
      </c>
      <c r="B18" s="31" t="s">
        <v>80</v>
      </c>
      <c r="C18" s="31" t="s">
        <v>156</v>
      </c>
      <c r="D18" s="42">
        <v>19722.749</v>
      </c>
      <c r="E18" s="31" t="s">
        <v>73</v>
      </c>
      <c r="F18" s="32"/>
      <c r="G18" s="31" t="s">
        <v>157</v>
      </c>
      <c r="H18" s="31">
        <v>3</v>
      </c>
      <c r="I18" s="83"/>
      <c r="J18" s="83"/>
      <c r="K18" s="83"/>
      <c r="L18" s="83"/>
      <c r="M18" s="83"/>
      <c r="N18" s="83"/>
      <c r="O18" s="31" t="s">
        <v>158</v>
      </c>
      <c r="P18" s="31" t="s">
        <v>159</v>
      </c>
      <c r="Q18" s="31" t="e">
        <f>_xlfn.XLOOKUP(VENDIDOS[[#This Row],[Rol Matriz]],[1]!BBDD_Terrenos[Rol Pagador2],[1]!BBDD_Terrenos[Rol Pagador2],"no")</f>
        <v>#REF!</v>
      </c>
      <c r="R18" s="31"/>
      <c r="S18" s="31" t="s">
        <v>77</v>
      </c>
      <c r="T18" s="31" t="s">
        <v>78</v>
      </c>
      <c r="U18" s="117">
        <v>0</v>
      </c>
      <c r="V18" s="83">
        <f>+VENDIDOS[[#This Row],[Avalúo Total 2025]]-VENDIDOS[[#This Row],[Avalúo Diciembre 2024]]</f>
        <v>0</v>
      </c>
      <c r="W18" s="83">
        <f>+VENDIDOS[[#This Row],[Avalúo Afecto Dic-2025]]-VENDIDOS[[#This Row],[Avalúo Afecto Dic-2024]]</f>
        <v>0</v>
      </c>
      <c r="X18" s="83">
        <f>+VENDIDOS[[#This Row],[Avalúo Exento Dic-2025]]-VENDIDOS[[#This Row],[Avalúo Exento Dic-2024]]</f>
        <v>0</v>
      </c>
      <c r="Y18" s="31">
        <v>19722.75</v>
      </c>
      <c r="Z18" s="31" t="s">
        <v>160</v>
      </c>
      <c r="AA18" s="31">
        <v>43731</v>
      </c>
      <c r="AB18" s="31" t="s">
        <v>161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>
        <v>2.7</v>
      </c>
      <c r="AN18" s="31">
        <v>53251.422300000006</v>
      </c>
      <c r="AO18" s="31">
        <v>1.49</v>
      </c>
      <c r="AP18" s="31">
        <v>29386.89601</v>
      </c>
      <c r="AQ18" s="31"/>
      <c r="AR18" s="31">
        <v>43525</v>
      </c>
      <c r="AS18" s="31" t="s">
        <v>101</v>
      </c>
      <c r="AT18" s="31"/>
      <c r="AU18" s="31"/>
      <c r="AV18" s="31"/>
    </row>
    <row r="19" spans="1:48" x14ac:dyDescent="0.3">
      <c r="A19" s="30" t="s">
        <v>89</v>
      </c>
      <c r="B19" s="31" t="s">
        <v>80</v>
      </c>
      <c r="C19" s="31" t="s">
        <v>162</v>
      </c>
      <c r="D19" s="42">
        <v>10213.209000000001</v>
      </c>
      <c r="E19" s="31" t="s">
        <v>73</v>
      </c>
      <c r="F19" s="32"/>
      <c r="G19" s="31"/>
      <c r="H19" s="31"/>
      <c r="I19" s="83"/>
      <c r="J19" s="83"/>
      <c r="K19" s="83"/>
      <c r="L19" s="83"/>
      <c r="M19" s="83"/>
      <c r="N19" s="83"/>
      <c r="O19" s="31" t="s">
        <v>158</v>
      </c>
      <c r="P19" s="31" t="s">
        <v>163</v>
      </c>
      <c r="Q19" s="31" t="e">
        <f>_xlfn.XLOOKUP(VENDIDOS[[#This Row],[Rol Matriz]],[1]!BBDD_Terrenos[Rol Pagador2],[1]!BBDD_Terrenos[Rol Pagador2],"no")</f>
        <v>#REF!</v>
      </c>
      <c r="R19" s="31"/>
      <c r="S19" s="31" t="s">
        <v>106</v>
      </c>
      <c r="T19" s="31" t="s">
        <v>78</v>
      </c>
      <c r="U19" s="117">
        <v>7776.2253924900024</v>
      </c>
      <c r="V19" s="83">
        <f>+VENDIDOS[[#This Row],[Avalúo Total 2025]]-VENDIDOS[[#This Row],[Avalúo Diciembre 2024]]</f>
        <v>0</v>
      </c>
      <c r="W19" s="83">
        <f>+VENDIDOS[[#This Row],[Avalúo Afecto Dic-2025]]-VENDIDOS[[#This Row],[Avalúo Afecto Dic-2024]]</f>
        <v>0</v>
      </c>
      <c r="X19" s="83">
        <f>+VENDIDOS[[#This Row],[Avalúo Exento Dic-2025]]-VENDIDOS[[#This Row],[Avalúo Exento Dic-2024]]</f>
        <v>0</v>
      </c>
      <c r="Y19" s="31">
        <v>10213.209999999999</v>
      </c>
      <c r="Z19" s="31" t="s">
        <v>160</v>
      </c>
      <c r="AA19" s="31">
        <v>43731</v>
      </c>
      <c r="AB19" s="31" t="s">
        <v>164</v>
      </c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>
        <v>2.8</v>
      </c>
      <c r="AN19" s="31">
        <v>28596.985199999999</v>
      </c>
      <c r="AO19" s="31">
        <v>2.4999485013904623</v>
      </c>
      <c r="AP19" s="31">
        <v>25532.496533937585</v>
      </c>
      <c r="AQ19" s="31"/>
      <c r="AR19" s="31">
        <v>44235</v>
      </c>
      <c r="AS19" s="31" t="s">
        <v>108</v>
      </c>
      <c r="AT19" s="31">
        <v>25532.496533937585</v>
      </c>
      <c r="AU19" s="31" t="s">
        <v>88</v>
      </c>
      <c r="AV19" s="31"/>
    </row>
    <row r="20" spans="1:48" x14ac:dyDescent="0.3">
      <c r="A20" s="30" t="s">
        <v>89</v>
      </c>
      <c r="B20" s="31" t="s">
        <v>80</v>
      </c>
      <c r="C20" s="31" t="s">
        <v>165</v>
      </c>
      <c r="D20" s="42">
        <v>19310</v>
      </c>
      <c r="E20" s="31" t="s">
        <v>73</v>
      </c>
      <c r="F20" s="32">
        <v>45657</v>
      </c>
      <c r="G20" s="31" t="s">
        <v>166</v>
      </c>
      <c r="H20" s="31">
        <v>3.33</v>
      </c>
      <c r="I20" s="83">
        <v>741087832</v>
      </c>
      <c r="J20" s="83">
        <v>0</v>
      </c>
      <c r="K20" s="83">
        <v>741087832</v>
      </c>
      <c r="L20" s="83"/>
      <c r="M20" s="83"/>
      <c r="N20" s="83"/>
      <c r="O20" s="31" t="s">
        <v>167</v>
      </c>
      <c r="P20" s="31"/>
      <c r="Q20" s="31" t="e">
        <f>_xlfn.XLOOKUP(VENDIDOS[[#This Row],[Rol Matriz]],[1]!BBDD_Terrenos[Rol Pagador2],[1]!BBDD_Terrenos[Rol Pagador2],"no")</f>
        <v>#REF!</v>
      </c>
      <c r="R20" s="31"/>
      <c r="S20" s="31" t="s">
        <v>77</v>
      </c>
      <c r="T20" s="31" t="s">
        <v>78</v>
      </c>
      <c r="U20" s="117">
        <v>0</v>
      </c>
      <c r="V20" s="83">
        <f>+VENDIDOS[[#This Row],[Avalúo Total 2025]]-VENDIDOS[[#This Row],[Avalúo Diciembre 2024]]</f>
        <v>-741087832</v>
      </c>
      <c r="W20" s="83">
        <f>+VENDIDOS[[#This Row],[Avalúo Afecto Dic-2025]]-VENDIDOS[[#This Row],[Avalúo Afecto Dic-2024]]</f>
        <v>-741087832</v>
      </c>
      <c r="X20" s="83">
        <f>+VENDIDOS[[#This Row],[Avalúo Exento Dic-2025]]-VENDIDOS[[#This Row],[Avalúo Exento Dic-2024]]</f>
        <v>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>
        <v>3.3</v>
      </c>
      <c r="AN20" s="31">
        <v>63723</v>
      </c>
      <c r="AO20" s="31">
        <v>3.2236011519851204</v>
      </c>
      <c r="AP20" s="31">
        <v>46317.172870001981</v>
      </c>
      <c r="AQ20" s="31"/>
      <c r="AR20" s="31">
        <v>45496</v>
      </c>
      <c r="AS20" s="31" t="s">
        <v>154</v>
      </c>
      <c r="AT20" s="31">
        <v>63181</v>
      </c>
      <c r="AU20" s="31" t="s">
        <v>88</v>
      </c>
      <c r="AV20" s="31"/>
    </row>
    <row r="21" spans="1:48" x14ac:dyDescent="0.3">
      <c r="A21" s="30" t="s">
        <v>168</v>
      </c>
      <c r="B21" s="31" t="s">
        <v>169</v>
      </c>
      <c r="C21" s="31" t="s">
        <v>170</v>
      </c>
      <c r="D21" s="42">
        <v>778.6</v>
      </c>
      <c r="E21" s="31" t="s">
        <v>73</v>
      </c>
      <c r="F21" s="32">
        <v>44316</v>
      </c>
      <c r="G21" s="31" t="s">
        <v>171</v>
      </c>
      <c r="H21" s="31">
        <v>2.8088877472386335</v>
      </c>
      <c r="I21" s="83"/>
      <c r="J21" s="83"/>
      <c r="K21" s="83"/>
      <c r="L21" s="83"/>
      <c r="M21" s="83"/>
      <c r="N21" s="83"/>
      <c r="O21" s="31" t="s">
        <v>172</v>
      </c>
      <c r="P21" s="31" t="s">
        <v>173</v>
      </c>
      <c r="Q21" s="31"/>
      <c r="R21" s="31"/>
      <c r="S21" s="31"/>
      <c r="T21" s="31"/>
      <c r="U21" s="117">
        <v>0</v>
      </c>
      <c r="V21" s="83">
        <f>+VENDIDOS[[#This Row],[Avalúo Total 2025]]-VENDIDOS[[#This Row],[Avalúo Diciembre 2024]]</f>
        <v>0</v>
      </c>
      <c r="W21" s="83">
        <f>+VENDIDOS[[#This Row],[Avalúo Afecto Dic-2025]]-VENDIDOS[[#This Row],[Avalúo Afecto Dic-2024]]</f>
        <v>0</v>
      </c>
      <c r="X21" s="83">
        <f>+VENDIDOS[[#This Row],[Avalúo Exento Dic-2025]]-VENDIDOS[[#This Row],[Avalúo Exento Dic-2024]]</f>
        <v>0</v>
      </c>
      <c r="Y21" s="31">
        <v>778.6</v>
      </c>
      <c r="Z21" s="31" t="s">
        <v>174</v>
      </c>
      <c r="AA21" s="31">
        <v>44085</v>
      </c>
      <c r="AB21" s="31" t="s">
        <v>175</v>
      </c>
      <c r="AC21" s="31" t="s">
        <v>176</v>
      </c>
      <c r="AD21" s="31" t="s">
        <v>177</v>
      </c>
      <c r="AE21" s="31" t="s">
        <v>178</v>
      </c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</row>
    <row r="22" spans="1:48" x14ac:dyDescent="0.3">
      <c r="A22" s="30" t="s">
        <v>168</v>
      </c>
      <c r="B22" s="31" t="s">
        <v>169</v>
      </c>
      <c r="C22" s="31" t="s">
        <v>179</v>
      </c>
      <c r="D22" s="42">
        <v>794.7</v>
      </c>
      <c r="E22" s="31" t="s">
        <v>73</v>
      </c>
      <c r="F22" s="32">
        <v>44407</v>
      </c>
      <c r="G22" s="31" t="s">
        <v>180</v>
      </c>
      <c r="H22" s="31">
        <v>0.52975965773247768</v>
      </c>
      <c r="I22" s="83"/>
      <c r="J22" s="83"/>
      <c r="K22" s="83"/>
      <c r="L22" s="83"/>
      <c r="M22" s="83"/>
      <c r="N22" s="83"/>
      <c r="O22" s="31" t="s">
        <v>172</v>
      </c>
      <c r="P22" s="31" t="s">
        <v>181</v>
      </c>
      <c r="Q22" s="31"/>
      <c r="R22" s="31"/>
      <c r="S22" s="31"/>
      <c r="T22" s="31"/>
      <c r="U22" s="117">
        <v>0</v>
      </c>
      <c r="V22" s="83">
        <f>+VENDIDOS[[#This Row],[Avalúo Total 2025]]-VENDIDOS[[#This Row],[Avalúo Diciembre 2024]]</f>
        <v>0</v>
      </c>
      <c r="W22" s="83">
        <f>+VENDIDOS[[#This Row],[Avalúo Afecto Dic-2025]]-VENDIDOS[[#This Row],[Avalúo Afecto Dic-2024]]</f>
        <v>0</v>
      </c>
      <c r="X22" s="83">
        <f>+VENDIDOS[[#This Row],[Avalúo Exento Dic-2025]]-VENDIDOS[[#This Row],[Avalúo Exento Dic-2024]]</f>
        <v>0</v>
      </c>
      <c r="Y22" s="31">
        <v>794.7</v>
      </c>
      <c r="Z22" s="31" t="s">
        <v>174</v>
      </c>
      <c r="AA22" s="31">
        <v>44085</v>
      </c>
      <c r="AB22" s="31" t="s">
        <v>182</v>
      </c>
      <c r="AC22" s="31" t="s">
        <v>176</v>
      </c>
      <c r="AD22" s="31" t="s">
        <v>177</v>
      </c>
      <c r="AE22" s="31" t="s">
        <v>178</v>
      </c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</row>
    <row r="23" spans="1:48" x14ac:dyDescent="0.3">
      <c r="A23" s="30" t="s">
        <v>168</v>
      </c>
      <c r="B23" s="31" t="s">
        <v>169</v>
      </c>
      <c r="C23" s="31" t="s">
        <v>183</v>
      </c>
      <c r="D23" s="42">
        <v>774.6</v>
      </c>
      <c r="E23" s="31" t="s">
        <v>73</v>
      </c>
      <c r="F23" s="32">
        <v>44351</v>
      </c>
      <c r="G23" s="31" t="s">
        <v>184</v>
      </c>
      <c r="H23" s="31">
        <v>2.5006454944487477</v>
      </c>
      <c r="I23" s="83"/>
      <c r="J23" s="83"/>
      <c r="K23" s="83"/>
      <c r="L23" s="83"/>
      <c r="M23" s="83"/>
      <c r="N23" s="83"/>
      <c r="O23" s="31" t="s">
        <v>172</v>
      </c>
      <c r="P23" s="31" t="s">
        <v>185</v>
      </c>
      <c r="Q23" s="31"/>
      <c r="R23" s="31"/>
      <c r="S23" s="31"/>
      <c r="T23" s="31"/>
      <c r="U23" s="117">
        <v>0</v>
      </c>
      <c r="V23" s="83">
        <f>+VENDIDOS[[#This Row],[Avalúo Total 2025]]-VENDIDOS[[#This Row],[Avalúo Diciembre 2024]]</f>
        <v>0</v>
      </c>
      <c r="W23" s="83">
        <f>+VENDIDOS[[#This Row],[Avalúo Afecto Dic-2025]]-VENDIDOS[[#This Row],[Avalúo Afecto Dic-2024]]</f>
        <v>0</v>
      </c>
      <c r="X23" s="83">
        <f>+VENDIDOS[[#This Row],[Avalúo Exento Dic-2025]]-VENDIDOS[[#This Row],[Avalúo Exento Dic-2024]]</f>
        <v>0</v>
      </c>
      <c r="Y23" s="31">
        <v>774.6</v>
      </c>
      <c r="Z23" s="31" t="s">
        <v>174</v>
      </c>
      <c r="AA23" s="31">
        <v>44085</v>
      </c>
      <c r="AB23" s="31" t="s">
        <v>186</v>
      </c>
      <c r="AC23" s="31" t="s">
        <v>176</v>
      </c>
      <c r="AD23" s="31" t="s">
        <v>177</v>
      </c>
      <c r="AE23" s="31" t="s">
        <v>178</v>
      </c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spans="1:48" x14ac:dyDescent="0.3">
      <c r="A24" s="30" t="s">
        <v>168</v>
      </c>
      <c r="B24" s="31" t="s">
        <v>169</v>
      </c>
      <c r="C24" s="31" t="s">
        <v>187</v>
      </c>
      <c r="D24" s="42">
        <v>756.9</v>
      </c>
      <c r="E24" s="31" t="s">
        <v>73</v>
      </c>
      <c r="F24" s="32">
        <v>44405</v>
      </c>
      <c r="G24" s="31" t="s">
        <v>188</v>
      </c>
      <c r="H24" s="31">
        <v>2.3246928260007929</v>
      </c>
      <c r="I24" s="83"/>
      <c r="J24" s="83"/>
      <c r="K24" s="83"/>
      <c r="L24" s="83"/>
      <c r="M24" s="83"/>
      <c r="N24" s="83"/>
      <c r="O24" s="31" t="s">
        <v>172</v>
      </c>
      <c r="P24" s="31" t="s">
        <v>189</v>
      </c>
      <c r="Q24" s="31"/>
      <c r="R24" s="31"/>
      <c r="S24" s="31"/>
      <c r="T24" s="31"/>
      <c r="U24" s="117">
        <v>0</v>
      </c>
      <c r="V24" s="83">
        <f>+VENDIDOS[[#This Row],[Avalúo Total 2025]]-VENDIDOS[[#This Row],[Avalúo Diciembre 2024]]</f>
        <v>0</v>
      </c>
      <c r="W24" s="83">
        <f>+VENDIDOS[[#This Row],[Avalúo Afecto Dic-2025]]-VENDIDOS[[#This Row],[Avalúo Afecto Dic-2024]]</f>
        <v>0</v>
      </c>
      <c r="X24" s="83">
        <f>+VENDIDOS[[#This Row],[Avalúo Exento Dic-2025]]-VENDIDOS[[#This Row],[Avalúo Exento Dic-2024]]</f>
        <v>0</v>
      </c>
      <c r="Y24" s="31">
        <v>756.9</v>
      </c>
      <c r="Z24" s="31" t="s">
        <v>174</v>
      </c>
      <c r="AA24" s="31">
        <v>44085</v>
      </c>
      <c r="AB24" s="31" t="s">
        <v>190</v>
      </c>
      <c r="AC24" s="31" t="s">
        <v>176</v>
      </c>
      <c r="AD24" s="31" t="s">
        <v>177</v>
      </c>
      <c r="AE24" s="31" t="s">
        <v>178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</row>
    <row r="25" spans="1:48" x14ac:dyDescent="0.3">
      <c r="A25" s="30" t="s">
        <v>168</v>
      </c>
      <c r="B25" s="31" t="s">
        <v>169</v>
      </c>
      <c r="C25" s="31" t="s">
        <v>191</v>
      </c>
      <c r="D25" s="42">
        <v>865</v>
      </c>
      <c r="E25" s="31" t="s">
        <v>73</v>
      </c>
      <c r="F25" s="32">
        <v>44319</v>
      </c>
      <c r="G25" s="31" t="s">
        <v>192</v>
      </c>
      <c r="H25" s="31">
        <v>2.5005780346820807</v>
      </c>
      <c r="I25" s="83"/>
      <c r="J25" s="83"/>
      <c r="K25" s="83"/>
      <c r="L25" s="83"/>
      <c r="M25" s="83"/>
      <c r="N25" s="83"/>
      <c r="O25" s="31" t="s">
        <v>172</v>
      </c>
      <c r="P25" s="31" t="s">
        <v>193</v>
      </c>
      <c r="Q25" s="31"/>
      <c r="R25" s="31"/>
      <c r="S25" s="31"/>
      <c r="T25" s="31"/>
      <c r="U25" s="117">
        <v>0</v>
      </c>
      <c r="V25" s="83">
        <f>+VENDIDOS[[#This Row],[Avalúo Total 2025]]-VENDIDOS[[#This Row],[Avalúo Diciembre 2024]]</f>
        <v>0</v>
      </c>
      <c r="W25" s="83">
        <f>+VENDIDOS[[#This Row],[Avalúo Afecto Dic-2025]]-VENDIDOS[[#This Row],[Avalúo Afecto Dic-2024]]</f>
        <v>0</v>
      </c>
      <c r="X25" s="83">
        <f>+VENDIDOS[[#This Row],[Avalúo Exento Dic-2025]]-VENDIDOS[[#This Row],[Avalúo Exento Dic-2024]]</f>
        <v>0</v>
      </c>
      <c r="Y25" s="31">
        <v>865</v>
      </c>
      <c r="Z25" s="31" t="s">
        <v>174</v>
      </c>
      <c r="AA25" s="31">
        <v>44085</v>
      </c>
      <c r="AB25" s="31" t="s">
        <v>194</v>
      </c>
      <c r="AC25" s="31" t="s">
        <v>176</v>
      </c>
      <c r="AD25" s="31" t="s">
        <v>177</v>
      </c>
      <c r="AE25" s="31" t="s">
        <v>178</v>
      </c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spans="1:48" x14ac:dyDescent="0.3">
      <c r="A26" s="30" t="s">
        <v>168</v>
      </c>
      <c r="B26" s="31" t="s">
        <v>169</v>
      </c>
      <c r="C26" s="31" t="s">
        <v>195</v>
      </c>
      <c r="D26" s="42">
        <v>846</v>
      </c>
      <c r="E26" s="31" t="s">
        <v>73</v>
      </c>
      <c r="F26" s="32">
        <v>44326</v>
      </c>
      <c r="G26" s="31" t="s">
        <v>196</v>
      </c>
      <c r="H26" s="31">
        <v>2.3687943262411348</v>
      </c>
      <c r="I26" s="83"/>
      <c r="J26" s="83"/>
      <c r="K26" s="83"/>
      <c r="L26" s="83"/>
      <c r="M26" s="83"/>
      <c r="N26" s="83"/>
      <c r="O26" s="31" t="s">
        <v>172</v>
      </c>
      <c r="P26" s="31" t="s">
        <v>197</v>
      </c>
      <c r="Q26" s="31"/>
      <c r="R26" s="31"/>
      <c r="S26" s="31"/>
      <c r="T26" s="31"/>
      <c r="U26" s="117">
        <v>0</v>
      </c>
      <c r="V26" s="83">
        <f>+VENDIDOS[[#This Row],[Avalúo Total 2025]]-VENDIDOS[[#This Row],[Avalúo Diciembre 2024]]</f>
        <v>0</v>
      </c>
      <c r="W26" s="83">
        <f>+VENDIDOS[[#This Row],[Avalúo Afecto Dic-2025]]-VENDIDOS[[#This Row],[Avalúo Afecto Dic-2024]]</f>
        <v>0</v>
      </c>
      <c r="X26" s="83">
        <f>+VENDIDOS[[#This Row],[Avalúo Exento Dic-2025]]-VENDIDOS[[#This Row],[Avalúo Exento Dic-2024]]</f>
        <v>0</v>
      </c>
      <c r="Y26" s="31">
        <v>846</v>
      </c>
      <c r="Z26" s="31" t="s">
        <v>174</v>
      </c>
      <c r="AA26" s="31">
        <v>44085</v>
      </c>
      <c r="AB26" s="31" t="s">
        <v>198</v>
      </c>
      <c r="AC26" s="31" t="s">
        <v>176</v>
      </c>
      <c r="AD26" s="31" t="s">
        <v>177</v>
      </c>
      <c r="AE26" s="31" t="s">
        <v>178</v>
      </c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spans="1:48" x14ac:dyDescent="0.3">
      <c r="A27" s="30" t="s">
        <v>168</v>
      </c>
      <c r="B27" s="31" t="s">
        <v>169</v>
      </c>
      <c r="C27" s="31" t="s">
        <v>199</v>
      </c>
      <c r="D27" s="42">
        <v>767.5</v>
      </c>
      <c r="E27" s="31" t="s">
        <v>73</v>
      </c>
      <c r="F27" s="32">
        <v>44259</v>
      </c>
      <c r="G27" s="31" t="s">
        <v>200</v>
      </c>
      <c r="H27" s="31">
        <v>2.4351791530944626</v>
      </c>
      <c r="I27" s="83"/>
      <c r="J27" s="83"/>
      <c r="K27" s="83"/>
      <c r="L27" s="83"/>
      <c r="M27" s="83"/>
      <c r="N27" s="83"/>
      <c r="O27" s="31" t="s">
        <v>172</v>
      </c>
      <c r="P27" s="31" t="s">
        <v>201</v>
      </c>
      <c r="Q27" s="31"/>
      <c r="R27" s="31"/>
      <c r="S27" s="31"/>
      <c r="T27" s="31"/>
      <c r="U27" s="117">
        <v>0</v>
      </c>
      <c r="V27" s="83">
        <f>+VENDIDOS[[#This Row],[Avalúo Total 2025]]-VENDIDOS[[#This Row],[Avalúo Diciembre 2024]]</f>
        <v>0</v>
      </c>
      <c r="W27" s="83">
        <f>+VENDIDOS[[#This Row],[Avalúo Afecto Dic-2025]]-VENDIDOS[[#This Row],[Avalúo Afecto Dic-2024]]</f>
        <v>0</v>
      </c>
      <c r="X27" s="83">
        <f>+VENDIDOS[[#This Row],[Avalúo Exento Dic-2025]]-VENDIDOS[[#This Row],[Avalúo Exento Dic-2024]]</f>
        <v>0</v>
      </c>
      <c r="Y27" s="31">
        <v>767.5</v>
      </c>
      <c r="Z27" s="31" t="s">
        <v>174</v>
      </c>
      <c r="AA27" s="31">
        <v>44085</v>
      </c>
      <c r="AB27" s="31" t="s">
        <v>202</v>
      </c>
      <c r="AC27" s="31" t="s">
        <v>176</v>
      </c>
      <c r="AD27" s="31" t="s">
        <v>177</v>
      </c>
      <c r="AE27" s="31" t="s">
        <v>178</v>
      </c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spans="1:48" x14ac:dyDescent="0.3">
      <c r="A28" s="30" t="s">
        <v>168</v>
      </c>
      <c r="B28" s="31" t="s">
        <v>169</v>
      </c>
      <c r="C28" s="31" t="s">
        <v>203</v>
      </c>
      <c r="D28" s="42">
        <v>989.5</v>
      </c>
      <c r="E28" s="31" t="s">
        <v>73</v>
      </c>
      <c r="F28" s="32">
        <v>44407</v>
      </c>
      <c r="G28" s="31" t="s">
        <v>204</v>
      </c>
      <c r="H28" s="31">
        <v>0.52956038403233952</v>
      </c>
      <c r="I28" s="83"/>
      <c r="J28" s="83"/>
      <c r="K28" s="83"/>
      <c r="L28" s="83"/>
      <c r="M28" s="83"/>
      <c r="N28" s="83"/>
      <c r="O28" s="31" t="s">
        <v>172</v>
      </c>
      <c r="P28" s="31" t="s">
        <v>205</v>
      </c>
      <c r="Q28" s="31"/>
      <c r="R28" s="31"/>
      <c r="S28" s="31"/>
      <c r="T28" s="31"/>
      <c r="U28" s="117">
        <v>0</v>
      </c>
      <c r="V28" s="83">
        <f>+VENDIDOS[[#This Row],[Avalúo Total 2025]]-VENDIDOS[[#This Row],[Avalúo Diciembre 2024]]</f>
        <v>0</v>
      </c>
      <c r="W28" s="83">
        <f>+VENDIDOS[[#This Row],[Avalúo Afecto Dic-2025]]-VENDIDOS[[#This Row],[Avalúo Afecto Dic-2024]]</f>
        <v>0</v>
      </c>
      <c r="X28" s="83">
        <f>+VENDIDOS[[#This Row],[Avalúo Exento Dic-2025]]-VENDIDOS[[#This Row],[Avalúo Exento Dic-2024]]</f>
        <v>0</v>
      </c>
      <c r="Y28" s="31">
        <v>989.5</v>
      </c>
      <c r="Z28" s="31" t="s">
        <v>174</v>
      </c>
      <c r="AA28" s="31">
        <v>44085</v>
      </c>
      <c r="AB28" s="31" t="s">
        <v>206</v>
      </c>
      <c r="AC28" s="31" t="s">
        <v>176</v>
      </c>
      <c r="AD28" s="31" t="s">
        <v>177</v>
      </c>
      <c r="AE28" s="31" t="s">
        <v>178</v>
      </c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spans="1:48" x14ac:dyDescent="0.3">
      <c r="A29" s="30" t="s">
        <v>168</v>
      </c>
      <c r="B29" s="31" t="s">
        <v>169</v>
      </c>
      <c r="C29" s="31" t="s">
        <v>207</v>
      </c>
      <c r="D29" s="42">
        <v>840</v>
      </c>
      <c r="E29" s="31" t="s">
        <v>73</v>
      </c>
      <c r="F29" s="32">
        <v>44309</v>
      </c>
      <c r="G29" s="31" t="s">
        <v>208</v>
      </c>
      <c r="H29" s="31">
        <v>2.8952380952380952</v>
      </c>
      <c r="I29" s="83"/>
      <c r="J29" s="83"/>
      <c r="K29" s="83"/>
      <c r="L29" s="83"/>
      <c r="M29" s="83"/>
      <c r="N29" s="83"/>
      <c r="O29" s="31" t="s">
        <v>172</v>
      </c>
      <c r="P29" s="31" t="s">
        <v>209</v>
      </c>
      <c r="Q29" s="31"/>
      <c r="R29" s="31"/>
      <c r="S29" s="31"/>
      <c r="T29" s="31"/>
      <c r="U29" s="117">
        <v>0</v>
      </c>
      <c r="V29" s="83">
        <f>+VENDIDOS[[#This Row],[Avalúo Total 2025]]-VENDIDOS[[#This Row],[Avalúo Diciembre 2024]]</f>
        <v>0</v>
      </c>
      <c r="W29" s="83">
        <f>+VENDIDOS[[#This Row],[Avalúo Afecto Dic-2025]]-VENDIDOS[[#This Row],[Avalúo Afecto Dic-2024]]</f>
        <v>0</v>
      </c>
      <c r="X29" s="83">
        <f>+VENDIDOS[[#This Row],[Avalúo Exento Dic-2025]]-VENDIDOS[[#This Row],[Avalúo Exento Dic-2024]]</f>
        <v>0</v>
      </c>
      <c r="Y29" s="31">
        <v>840</v>
      </c>
      <c r="Z29" s="31" t="s">
        <v>174</v>
      </c>
      <c r="AA29" s="31">
        <v>44085</v>
      </c>
      <c r="AB29" s="31" t="s">
        <v>210</v>
      </c>
      <c r="AC29" s="31" t="s">
        <v>176</v>
      </c>
      <c r="AD29" s="31" t="s">
        <v>177</v>
      </c>
      <c r="AE29" s="31" t="s">
        <v>178</v>
      </c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spans="1:48" x14ac:dyDescent="0.3">
      <c r="A30" s="30" t="s">
        <v>168</v>
      </c>
      <c r="B30" s="31" t="s">
        <v>169</v>
      </c>
      <c r="C30" s="31" t="s">
        <v>211</v>
      </c>
      <c r="D30" s="42">
        <v>835.5</v>
      </c>
      <c r="E30" s="31" t="s">
        <v>73</v>
      </c>
      <c r="F30" s="32">
        <v>44468</v>
      </c>
      <c r="G30" s="31" t="s">
        <v>212</v>
      </c>
      <c r="H30" s="31">
        <v>2.7504488330341115</v>
      </c>
      <c r="I30" s="83"/>
      <c r="J30" s="83"/>
      <c r="K30" s="83"/>
      <c r="L30" s="83"/>
      <c r="M30" s="83"/>
      <c r="N30" s="83"/>
      <c r="O30" s="31" t="s">
        <v>172</v>
      </c>
      <c r="P30" s="31" t="s">
        <v>213</v>
      </c>
      <c r="Q30" s="31"/>
      <c r="R30" s="31"/>
      <c r="S30" s="31"/>
      <c r="T30" s="31"/>
      <c r="U30" s="117">
        <v>0</v>
      </c>
      <c r="V30" s="83">
        <f>+VENDIDOS[[#This Row],[Avalúo Total 2025]]-VENDIDOS[[#This Row],[Avalúo Diciembre 2024]]</f>
        <v>0</v>
      </c>
      <c r="W30" s="83">
        <f>+VENDIDOS[[#This Row],[Avalúo Afecto Dic-2025]]-VENDIDOS[[#This Row],[Avalúo Afecto Dic-2024]]</f>
        <v>0</v>
      </c>
      <c r="X30" s="83">
        <f>+VENDIDOS[[#This Row],[Avalúo Exento Dic-2025]]-VENDIDOS[[#This Row],[Avalúo Exento Dic-2024]]</f>
        <v>0</v>
      </c>
      <c r="Y30" s="31">
        <v>835.5</v>
      </c>
      <c r="Z30" s="31" t="s">
        <v>174</v>
      </c>
      <c r="AA30" s="31">
        <v>44085</v>
      </c>
      <c r="AB30" s="31" t="s">
        <v>214</v>
      </c>
      <c r="AC30" s="31" t="s">
        <v>176</v>
      </c>
      <c r="AD30" s="31" t="s">
        <v>177</v>
      </c>
      <c r="AE30" s="31" t="s">
        <v>178</v>
      </c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</row>
    <row r="31" spans="1:48" x14ac:dyDescent="0.3">
      <c r="A31" s="30" t="s">
        <v>168</v>
      </c>
      <c r="B31" s="31" t="s">
        <v>169</v>
      </c>
      <c r="C31" s="31" t="s">
        <v>215</v>
      </c>
      <c r="D31" s="42">
        <v>740</v>
      </c>
      <c r="E31" s="31" t="s">
        <v>73</v>
      </c>
      <c r="F31" s="32">
        <v>44364</v>
      </c>
      <c r="G31" s="31" t="s">
        <v>216</v>
      </c>
      <c r="H31" s="31">
        <v>0.6</v>
      </c>
      <c r="I31" s="83"/>
      <c r="J31" s="83"/>
      <c r="K31" s="83"/>
      <c r="L31" s="83"/>
      <c r="M31" s="83"/>
      <c r="N31" s="83"/>
      <c r="O31" s="31" t="s">
        <v>172</v>
      </c>
      <c r="P31" s="31" t="s">
        <v>217</v>
      </c>
      <c r="Q31" s="31"/>
      <c r="R31" s="31"/>
      <c r="S31" s="31"/>
      <c r="T31" s="31"/>
      <c r="U31" s="117">
        <v>0</v>
      </c>
      <c r="V31" s="83">
        <f>+VENDIDOS[[#This Row],[Avalúo Total 2025]]-VENDIDOS[[#This Row],[Avalúo Diciembre 2024]]</f>
        <v>0</v>
      </c>
      <c r="W31" s="83">
        <f>+VENDIDOS[[#This Row],[Avalúo Afecto Dic-2025]]-VENDIDOS[[#This Row],[Avalúo Afecto Dic-2024]]</f>
        <v>0</v>
      </c>
      <c r="X31" s="83">
        <f>+VENDIDOS[[#This Row],[Avalúo Exento Dic-2025]]-VENDIDOS[[#This Row],[Avalúo Exento Dic-2024]]</f>
        <v>0</v>
      </c>
      <c r="Y31" s="31">
        <v>740</v>
      </c>
      <c r="Z31" s="31" t="s">
        <v>174</v>
      </c>
      <c r="AA31" s="31">
        <v>44085</v>
      </c>
      <c r="AB31" s="31" t="s">
        <v>218</v>
      </c>
      <c r="AC31" s="31" t="s">
        <v>176</v>
      </c>
      <c r="AD31" s="31" t="s">
        <v>177</v>
      </c>
      <c r="AE31" s="31" t="s">
        <v>178</v>
      </c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r="32" spans="1:48" x14ac:dyDescent="0.3">
      <c r="A32" s="30" t="s">
        <v>168</v>
      </c>
      <c r="B32" s="31" t="s">
        <v>169</v>
      </c>
      <c r="C32" s="31" t="s">
        <v>219</v>
      </c>
      <c r="D32" s="42">
        <v>842.1</v>
      </c>
      <c r="E32" s="31" t="s">
        <v>73</v>
      </c>
      <c r="F32" s="32">
        <v>44438</v>
      </c>
      <c r="G32" s="31" t="s">
        <v>220</v>
      </c>
      <c r="H32" s="31">
        <v>2.3678897993112455</v>
      </c>
      <c r="I32" s="83"/>
      <c r="J32" s="83"/>
      <c r="K32" s="83"/>
      <c r="L32" s="83"/>
      <c r="M32" s="83"/>
      <c r="N32" s="83"/>
      <c r="O32" s="31" t="s">
        <v>172</v>
      </c>
      <c r="P32" s="31" t="s">
        <v>221</v>
      </c>
      <c r="Q32" s="31"/>
      <c r="R32" s="31"/>
      <c r="S32" s="31"/>
      <c r="T32" s="31"/>
      <c r="U32" s="117">
        <v>0</v>
      </c>
      <c r="V32" s="83">
        <f>+VENDIDOS[[#This Row],[Avalúo Total 2025]]-VENDIDOS[[#This Row],[Avalúo Diciembre 2024]]</f>
        <v>0</v>
      </c>
      <c r="W32" s="83">
        <f>+VENDIDOS[[#This Row],[Avalúo Afecto Dic-2025]]-VENDIDOS[[#This Row],[Avalúo Afecto Dic-2024]]</f>
        <v>0</v>
      </c>
      <c r="X32" s="83">
        <f>+VENDIDOS[[#This Row],[Avalúo Exento Dic-2025]]-VENDIDOS[[#This Row],[Avalúo Exento Dic-2024]]</f>
        <v>0</v>
      </c>
      <c r="Y32" s="31">
        <v>842.1</v>
      </c>
      <c r="Z32" s="31" t="s">
        <v>174</v>
      </c>
      <c r="AA32" s="31">
        <v>44085</v>
      </c>
      <c r="AB32" s="31" t="s">
        <v>222</v>
      </c>
      <c r="AC32" s="31" t="s">
        <v>176</v>
      </c>
      <c r="AD32" s="31" t="s">
        <v>177</v>
      </c>
      <c r="AE32" s="31" t="s">
        <v>178</v>
      </c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</row>
    <row r="33" spans="1:48" x14ac:dyDescent="0.3">
      <c r="A33" s="30" t="s">
        <v>168</v>
      </c>
      <c r="B33" s="31" t="s">
        <v>169</v>
      </c>
      <c r="C33" s="31" t="s">
        <v>223</v>
      </c>
      <c r="D33" s="42">
        <v>761.2</v>
      </c>
      <c r="E33" s="31" t="s">
        <v>73</v>
      </c>
      <c r="F33" s="32">
        <v>44315</v>
      </c>
      <c r="G33" s="31" t="s">
        <v>224</v>
      </c>
      <c r="H33" s="31">
        <v>2.425118234366789</v>
      </c>
      <c r="I33" s="83"/>
      <c r="J33" s="83"/>
      <c r="K33" s="83"/>
      <c r="L33" s="83"/>
      <c r="M33" s="83"/>
      <c r="N33" s="83"/>
      <c r="O33" s="31" t="s">
        <v>172</v>
      </c>
      <c r="P33" s="31" t="s">
        <v>225</v>
      </c>
      <c r="Q33" s="31"/>
      <c r="R33" s="31"/>
      <c r="S33" s="31"/>
      <c r="T33" s="31"/>
      <c r="U33" s="117">
        <v>0</v>
      </c>
      <c r="V33" s="83">
        <f>+VENDIDOS[[#This Row],[Avalúo Total 2025]]-VENDIDOS[[#This Row],[Avalúo Diciembre 2024]]</f>
        <v>0</v>
      </c>
      <c r="W33" s="83">
        <f>+VENDIDOS[[#This Row],[Avalúo Afecto Dic-2025]]-VENDIDOS[[#This Row],[Avalúo Afecto Dic-2024]]</f>
        <v>0</v>
      </c>
      <c r="X33" s="83">
        <f>+VENDIDOS[[#This Row],[Avalúo Exento Dic-2025]]-VENDIDOS[[#This Row],[Avalúo Exento Dic-2024]]</f>
        <v>0</v>
      </c>
      <c r="Y33" s="31">
        <v>761.2</v>
      </c>
      <c r="Z33" s="31" t="s">
        <v>174</v>
      </c>
      <c r="AA33" s="31">
        <v>44085</v>
      </c>
      <c r="AB33" s="31" t="s">
        <v>226</v>
      </c>
      <c r="AC33" s="31" t="s">
        <v>176</v>
      </c>
      <c r="AD33" s="31" t="s">
        <v>177</v>
      </c>
      <c r="AE33" s="31" t="s">
        <v>178</v>
      </c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</row>
    <row r="34" spans="1:48" x14ac:dyDescent="0.3">
      <c r="A34" s="30" t="s">
        <v>168</v>
      </c>
      <c r="B34" s="31" t="s">
        <v>169</v>
      </c>
      <c r="C34" s="31" t="s">
        <v>227</v>
      </c>
      <c r="D34" s="42">
        <v>761.2</v>
      </c>
      <c r="E34" s="31" t="s">
        <v>73</v>
      </c>
      <c r="F34" s="32">
        <v>44426</v>
      </c>
      <c r="G34" s="31" t="s">
        <v>228</v>
      </c>
      <c r="H34" s="31">
        <v>2.5</v>
      </c>
      <c r="I34" s="83"/>
      <c r="J34" s="83"/>
      <c r="K34" s="83"/>
      <c r="L34" s="83"/>
      <c r="M34" s="83"/>
      <c r="N34" s="83"/>
      <c r="O34" s="31" t="s">
        <v>172</v>
      </c>
      <c r="P34" s="31" t="s">
        <v>229</v>
      </c>
      <c r="Q34" s="31"/>
      <c r="R34" s="31"/>
      <c r="S34" s="31"/>
      <c r="T34" s="31"/>
      <c r="U34" s="117">
        <v>0</v>
      </c>
      <c r="V34" s="83">
        <f>+VENDIDOS[[#This Row],[Avalúo Total 2025]]-VENDIDOS[[#This Row],[Avalúo Diciembre 2024]]</f>
        <v>0</v>
      </c>
      <c r="W34" s="83">
        <f>+VENDIDOS[[#This Row],[Avalúo Afecto Dic-2025]]-VENDIDOS[[#This Row],[Avalúo Afecto Dic-2024]]</f>
        <v>0</v>
      </c>
      <c r="X34" s="83">
        <f>+VENDIDOS[[#This Row],[Avalúo Exento Dic-2025]]-VENDIDOS[[#This Row],[Avalúo Exento Dic-2024]]</f>
        <v>0</v>
      </c>
      <c r="Y34" s="31">
        <v>761.2</v>
      </c>
      <c r="Z34" s="31" t="s">
        <v>174</v>
      </c>
      <c r="AA34" s="31">
        <v>44085</v>
      </c>
      <c r="AB34" s="31" t="s">
        <v>230</v>
      </c>
      <c r="AC34" s="31" t="s">
        <v>176</v>
      </c>
      <c r="AD34" s="31" t="s">
        <v>177</v>
      </c>
      <c r="AE34" s="31" t="s">
        <v>178</v>
      </c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 spans="1:48" x14ac:dyDescent="0.3">
      <c r="A35" s="30" t="s">
        <v>168</v>
      </c>
      <c r="B35" s="31" t="s">
        <v>169</v>
      </c>
      <c r="C35" s="31" t="s">
        <v>231</v>
      </c>
      <c r="D35" s="42">
        <v>842.1</v>
      </c>
      <c r="E35" s="31" t="s">
        <v>73</v>
      </c>
      <c r="F35" s="32">
        <v>44433</v>
      </c>
      <c r="G35" s="31" t="s">
        <v>232</v>
      </c>
      <c r="H35" s="31">
        <v>2.3678897993112455</v>
      </c>
      <c r="I35" s="83"/>
      <c r="J35" s="83"/>
      <c r="K35" s="83"/>
      <c r="L35" s="83"/>
      <c r="M35" s="83"/>
      <c r="N35" s="83"/>
      <c r="O35" s="31" t="s">
        <v>172</v>
      </c>
      <c r="P35" s="31" t="s">
        <v>233</v>
      </c>
      <c r="Q35" s="31"/>
      <c r="R35" s="31"/>
      <c r="S35" s="31"/>
      <c r="T35" s="31"/>
      <c r="U35" s="117">
        <v>0</v>
      </c>
      <c r="V35" s="83">
        <f>+VENDIDOS[[#This Row],[Avalúo Total 2025]]-VENDIDOS[[#This Row],[Avalúo Diciembre 2024]]</f>
        <v>0</v>
      </c>
      <c r="W35" s="83">
        <f>+VENDIDOS[[#This Row],[Avalúo Afecto Dic-2025]]-VENDIDOS[[#This Row],[Avalúo Afecto Dic-2024]]</f>
        <v>0</v>
      </c>
      <c r="X35" s="83">
        <f>+VENDIDOS[[#This Row],[Avalúo Exento Dic-2025]]-VENDIDOS[[#This Row],[Avalúo Exento Dic-2024]]</f>
        <v>0</v>
      </c>
      <c r="Y35" s="31">
        <v>842.1</v>
      </c>
      <c r="Z35" s="31" t="s">
        <v>174</v>
      </c>
      <c r="AA35" s="31">
        <v>44085</v>
      </c>
      <c r="AB35" s="31" t="s">
        <v>234</v>
      </c>
      <c r="AC35" s="31" t="s">
        <v>176</v>
      </c>
      <c r="AD35" s="31" t="s">
        <v>177</v>
      </c>
      <c r="AE35" s="31" t="s">
        <v>178</v>
      </c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</row>
    <row r="36" spans="1:48" x14ac:dyDescent="0.3">
      <c r="A36" s="30" t="s">
        <v>168</v>
      </c>
      <c r="B36" s="31" t="s">
        <v>169</v>
      </c>
      <c r="C36" s="31" t="s">
        <v>235</v>
      </c>
      <c r="D36" s="42">
        <v>740</v>
      </c>
      <c r="E36" s="31" t="s">
        <v>73</v>
      </c>
      <c r="F36" s="32">
        <v>44268</v>
      </c>
      <c r="G36" s="31" t="s">
        <v>236</v>
      </c>
      <c r="H36" s="31">
        <v>2.631081081081081</v>
      </c>
      <c r="I36" s="83"/>
      <c r="J36" s="83"/>
      <c r="K36" s="83"/>
      <c r="L36" s="83"/>
      <c r="M36" s="83"/>
      <c r="N36" s="83"/>
      <c r="O36" s="31" t="s">
        <v>172</v>
      </c>
      <c r="P36" s="31" t="s">
        <v>237</v>
      </c>
      <c r="Q36" s="31"/>
      <c r="R36" s="31"/>
      <c r="S36" s="31"/>
      <c r="T36" s="31"/>
      <c r="U36" s="117">
        <v>0</v>
      </c>
      <c r="V36" s="83">
        <f>+VENDIDOS[[#This Row],[Avalúo Total 2025]]-VENDIDOS[[#This Row],[Avalúo Diciembre 2024]]</f>
        <v>0</v>
      </c>
      <c r="W36" s="83">
        <f>+VENDIDOS[[#This Row],[Avalúo Afecto Dic-2025]]-VENDIDOS[[#This Row],[Avalúo Afecto Dic-2024]]</f>
        <v>0</v>
      </c>
      <c r="X36" s="83">
        <f>+VENDIDOS[[#This Row],[Avalúo Exento Dic-2025]]-VENDIDOS[[#This Row],[Avalúo Exento Dic-2024]]</f>
        <v>0</v>
      </c>
      <c r="Y36" s="31">
        <v>740</v>
      </c>
      <c r="Z36" s="31" t="s">
        <v>174</v>
      </c>
      <c r="AA36" s="31">
        <v>44085</v>
      </c>
      <c r="AB36" s="31" t="s">
        <v>238</v>
      </c>
      <c r="AC36" s="31" t="s">
        <v>176</v>
      </c>
      <c r="AD36" s="31" t="s">
        <v>177</v>
      </c>
      <c r="AE36" s="31" t="s">
        <v>178</v>
      </c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</row>
    <row r="37" spans="1:48" x14ac:dyDescent="0.3">
      <c r="A37" s="30" t="s">
        <v>168</v>
      </c>
      <c r="B37" s="31" t="s">
        <v>169</v>
      </c>
      <c r="C37" s="31" t="s">
        <v>239</v>
      </c>
      <c r="D37" s="42">
        <v>735.5</v>
      </c>
      <c r="E37" s="31" t="s">
        <v>73</v>
      </c>
      <c r="F37" s="32">
        <v>44237</v>
      </c>
      <c r="G37" s="31" t="s">
        <v>240</v>
      </c>
      <c r="H37" s="31">
        <v>2.8076138681169271</v>
      </c>
      <c r="I37" s="83"/>
      <c r="J37" s="83"/>
      <c r="K37" s="83"/>
      <c r="L37" s="83"/>
      <c r="M37" s="83"/>
      <c r="N37" s="83"/>
      <c r="O37" s="31" t="s">
        <v>172</v>
      </c>
      <c r="P37" s="31" t="s">
        <v>241</v>
      </c>
      <c r="Q37" s="31"/>
      <c r="R37" s="31"/>
      <c r="S37" s="31"/>
      <c r="T37" s="31"/>
      <c r="U37" s="117">
        <v>0</v>
      </c>
      <c r="V37" s="83">
        <f>+VENDIDOS[[#This Row],[Avalúo Total 2025]]-VENDIDOS[[#This Row],[Avalúo Diciembre 2024]]</f>
        <v>0</v>
      </c>
      <c r="W37" s="83">
        <f>+VENDIDOS[[#This Row],[Avalúo Afecto Dic-2025]]-VENDIDOS[[#This Row],[Avalúo Afecto Dic-2024]]</f>
        <v>0</v>
      </c>
      <c r="X37" s="83">
        <f>+VENDIDOS[[#This Row],[Avalúo Exento Dic-2025]]-VENDIDOS[[#This Row],[Avalúo Exento Dic-2024]]</f>
        <v>0</v>
      </c>
      <c r="Y37" s="31">
        <v>735.5</v>
      </c>
      <c r="Z37" s="31" t="s">
        <v>174</v>
      </c>
      <c r="AA37" s="31">
        <v>44085</v>
      </c>
      <c r="AB37" s="31" t="s">
        <v>242</v>
      </c>
      <c r="AC37" s="31" t="s">
        <v>176</v>
      </c>
      <c r="AD37" s="31" t="s">
        <v>177</v>
      </c>
      <c r="AE37" s="31" t="s">
        <v>178</v>
      </c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</row>
    <row r="38" spans="1:48" x14ac:dyDescent="0.3">
      <c r="A38" s="30" t="s">
        <v>168</v>
      </c>
      <c r="B38" s="31" t="s">
        <v>169</v>
      </c>
      <c r="C38" s="31" t="s">
        <v>243</v>
      </c>
      <c r="D38" s="42">
        <v>740</v>
      </c>
      <c r="E38" s="31" t="s">
        <v>73</v>
      </c>
      <c r="F38" s="32">
        <v>44335</v>
      </c>
      <c r="G38" s="31" t="s">
        <v>244</v>
      </c>
      <c r="H38" s="31">
        <v>2.6918918918918919</v>
      </c>
      <c r="I38" s="83"/>
      <c r="J38" s="83"/>
      <c r="K38" s="83"/>
      <c r="L38" s="83"/>
      <c r="M38" s="83"/>
      <c r="N38" s="83"/>
      <c r="O38" s="31" t="s">
        <v>172</v>
      </c>
      <c r="P38" s="31" t="s">
        <v>245</v>
      </c>
      <c r="Q38" s="31"/>
      <c r="R38" s="31"/>
      <c r="S38" s="31"/>
      <c r="T38" s="31"/>
      <c r="U38" s="117">
        <v>0</v>
      </c>
      <c r="V38" s="83">
        <f>+VENDIDOS[[#This Row],[Avalúo Total 2025]]-VENDIDOS[[#This Row],[Avalúo Diciembre 2024]]</f>
        <v>0</v>
      </c>
      <c r="W38" s="83">
        <f>+VENDIDOS[[#This Row],[Avalúo Afecto Dic-2025]]-VENDIDOS[[#This Row],[Avalúo Afecto Dic-2024]]</f>
        <v>0</v>
      </c>
      <c r="X38" s="83">
        <f>+VENDIDOS[[#This Row],[Avalúo Exento Dic-2025]]-VENDIDOS[[#This Row],[Avalúo Exento Dic-2024]]</f>
        <v>0</v>
      </c>
      <c r="Y38" s="31">
        <v>740</v>
      </c>
      <c r="Z38" s="31" t="s">
        <v>174</v>
      </c>
      <c r="AA38" s="31">
        <v>44085</v>
      </c>
      <c r="AB38" s="31" t="s">
        <v>246</v>
      </c>
      <c r="AC38" s="31" t="s">
        <v>176</v>
      </c>
      <c r="AD38" s="31" t="s">
        <v>177</v>
      </c>
      <c r="AE38" s="31" t="s">
        <v>178</v>
      </c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</row>
    <row r="39" spans="1:48" x14ac:dyDescent="0.3">
      <c r="A39" s="30" t="s">
        <v>168</v>
      </c>
      <c r="B39" s="31" t="s">
        <v>169</v>
      </c>
      <c r="C39" s="31" t="s">
        <v>247</v>
      </c>
      <c r="D39" s="42">
        <v>740</v>
      </c>
      <c r="E39" s="31" t="s">
        <v>73</v>
      </c>
      <c r="F39" s="32">
        <v>44419</v>
      </c>
      <c r="G39" s="31" t="s">
        <v>248</v>
      </c>
      <c r="H39" s="31">
        <v>2.8945945945945946</v>
      </c>
      <c r="I39" s="83"/>
      <c r="J39" s="83"/>
      <c r="K39" s="83"/>
      <c r="L39" s="83"/>
      <c r="M39" s="83"/>
      <c r="N39" s="83"/>
      <c r="O39" s="31" t="s">
        <v>172</v>
      </c>
      <c r="P39" s="31" t="s">
        <v>249</v>
      </c>
      <c r="Q39" s="31"/>
      <c r="R39" s="31"/>
      <c r="S39" s="31"/>
      <c r="T39" s="31"/>
      <c r="U39" s="117">
        <v>0</v>
      </c>
      <c r="V39" s="83">
        <f>+VENDIDOS[[#This Row],[Avalúo Total 2025]]-VENDIDOS[[#This Row],[Avalúo Diciembre 2024]]</f>
        <v>0</v>
      </c>
      <c r="W39" s="83">
        <f>+VENDIDOS[[#This Row],[Avalúo Afecto Dic-2025]]-VENDIDOS[[#This Row],[Avalúo Afecto Dic-2024]]</f>
        <v>0</v>
      </c>
      <c r="X39" s="83">
        <f>+VENDIDOS[[#This Row],[Avalúo Exento Dic-2025]]-VENDIDOS[[#This Row],[Avalúo Exento Dic-2024]]</f>
        <v>0</v>
      </c>
      <c r="Y39" s="31">
        <v>740</v>
      </c>
      <c r="Z39" s="31" t="s">
        <v>174</v>
      </c>
      <c r="AA39" s="31">
        <v>44085</v>
      </c>
      <c r="AB39" s="31" t="s">
        <v>250</v>
      </c>
      <c r="AC39" s="31" t="s">
        <v>176</v>
      </c>
      <c r="AD39" s="31" t="s">
        <v>177</v>
      </c>
      <c r="AE39" s="31" t="s">
        <v>178</v>
      </c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</row>
    <row r="40" spans="1:48" x14ac:dyDescent="0.3">
      <c r="A40" s="30" t="s">
        <v>168</v>
      </c>
      <c r="B40" s="31" t="s">
        <v>169</v>
      </c>
      <c r="C40" s="31" t="s">
        <v>251</v>
      </c>
      <c r="D40" s="42">
        <v>735.5</v>
      </c>
      <c r="E40" s="31" t="s">
        <v>73</v>
      </c>
      <c r="F40" s="32">
        <v>44280</v>
      </c>
      <c r="G40" s="31" t="s">
        <v>252</v>
      </c>
      <c r="H40" s="31">
        <v>2.8266485384092452</v>
      </c>
      <c r="I40" s="83"/>
      <c r="J40" s="83"/>
      <c r="K40" s="83"/>
      <c r="L40" s="83"/>
      <c r="M40" s="83"/>
      <c r="N40" s="83"/>
      <c r="O40" s="31" t="s">
        <v>172</v>
      </c>
      <c r="P40" s="31" t="s">
        <v>253</v>
      </c>
      <c r="Q40" s="31"/>
      <c r="R40" s="31"/>
      <c r="S40" s="31"/>
      <c r="T40" s="31"/>
      <c r="U40" s="117">
        <v>0</v>
      </c>
      <c r="V40" s="83">
        <f>+VENDIDOS[[#This Row],[Avalúo Total 2025]]-VENDIDOS[[#This Row],[Avalúo Diciembre 2024]]</f>
        <v>0</v>
      </c>
      <c r="W40" s="83">
        <f>+VENDIDOS[[#This Row],[Avalúo Afecto Dic-2025]]-VENDIDOS[[#This Row],[Avalúo Afecto Dic-2024]]</f>
        <v>0</v>
      </c>
      <c r="X40" s="83">
        <f>+VENDIDOS[[#This Row],[Avalúo Exento Dic-2025]]-VENDIDOS[[#This Row],[Avalúo Exento Dic-2024]]</f>
        <v>0</v>
      </c>
      <c r="Y40" s="31">
        <v>735.5</v>
      </c>
      <c r="Z40" s="31" t="s">
        <v>174</v>
      </c>
      <c r="AA40" s="31">
        <v>44085</v>
      </c>
      <c r="AB40" s="31" t="s">
        <v>254</v>
      </c>
      <c r="AC40" s="31" t="s">
        <v>176</v>
      </c>
      <c r="AD40" s="31" t="s">
        <v>177</v>
      </c>
      <c r="AE40" s="31" t="s">
        <v>178</v>
      </c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</row>
    <row r="41" spans="1:48" x14ac:dyDescent="0.3">
      <c r="A41" s="30" t="s">
        <v>168</v>
      </c>
      <c r="B41" s="31" t="s">
        <v>169</v>
      </c>
      <c r="C41" s="31" t="s">
        <v>255</v>
      </c>
      <c r="D41" s="42">
        <v>740</v>
      </c>
      <c r="E41" s="31" t="s">
        <v>73</v>
      </c>
      <c r="F41" s="32">
        <v>44363</v>
      </c>
      <c r="G41" s="31" t="s">
        <v>256</v>
      </c>
      <c r="H41" s="31">
        <v>2.8040540540540539</v>
      </c>
      <c r="I41" s="83"/>
      <c r="J41" s="83"/>
      <c r="K41" s="83"/>
      <c r="L41" s="83"/>
      <c r="M41" s="83"/>
      <c r="N41" s="83"/>
      <c r="O41" s="31" t="s">
        <v>172</v>
      </c>
      <c r="P41" s="31" t="s">
        <v>257</v>
      </c>
      <c r="Q41" s="31"/>
      <c r="R41" s="31"/>
      <c r="S41" s="31"/>
      <c r="T41" s="31"/>
      <c r="U41" s="117">
        <v>0</v>
      </c>
      <c r="V41" s="83">
        <f>+VENDIDOS[[#This Row],[Avalúo Total 2025]]-VENDIDOS[[#This Row],[Avalúo Diciembre 2024]]</f>
        <v>0</v>
      </c>
      <c r="W41" s="83">
        <f>+VENDIDOS[[#This Row],[Avalúo Afecto Dic-2025]]-VENDIDOS[[#This Row],[Avalúo Afecto Dic-2024]]</f>
        <v>0</v>
      </c>
      <c r="X41" s="83">
        <f>+VENDIDOS[[#This Row],[Avalúo Exento Dic-2025]]-VENDIDOS[[#This Row],[Avalúo Exento Dic-2024]]</f>
        <v>0</v>
      </c>
      <c r="Y41" s="31">
        <v>740</v>
      </c>
      <c r="Z41" s="31" t="s">
        <v>174</v>
      </c>
      <c r="AA41" s="31">
        <v>44085</v>
      </c>
      <c r="AB41" s="31" t="s">
        <v>258</v>
      </c>
      <c r="AC41" s="31" t="s">
        <v>176</v>
      </c>
      <c r="AD41" s="31" t="s">
        <v>177</v>
      </c>
      <c r="AE41" s="31" t="s">
        <v>178</v>
      </c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</row>
    <row r="42" spans="1:48" x14ac:dyDescent="0.3">
      <c r="A42" s="30" t="s">
        <v>168</v>
      </c>
      <c r="B42" s="31" t="s">
        <v>169</v>
      </c>
      <c r="C42" s="31" t="s">
        <v>259</v>
      </c>
      <c r="D42" s="42">
        <v>842.1</v>
      </c>
      <c r="E42" s="31" t="s">
        <v>73</v>
      </c>
      <c r="F42" s="32">
        <v>44342</v>
      </c>
      <c r="G42" s="31" t="s">
        <v>260</v>
      </c>
      <c r="H42" s="31">
        <v>2.3678897993112455</v>
      </c>
      <c r="I42" s="83"/>
      <c r="J42" s="83"/>
      <c r="K42" s="83"/>
      <c r="L42" s="83"/>
      <c r="M42" s="83"/>
      <c r="N42" s="83"/>
      <c r="O42" s="31" t="s">
        <v>172</v>
      </c>
      <c r="P42" s="31" t="s">
        <v>261</v>
      </c>
      <c r="Q42" s="31"/>
      <c r="R42" s="31"/>
      <c r="S42" s="31"/>
      <c r="T42" s="31"/>
      <c r="U42" s="117">
        <v>0</v>
      </c>
      <c r="V42" s="83">
        <f>+VENDIDOS[[#This Row],[Avalúo Total 2025]]-VENDIDOS[[#This Row],[Avalúo Diciembre 2024]]</f>
        <v>0</v>
      </c>
      <c r="W42" s="83">
        <f>+VENDIDOS[[#This Row],[Avalúo Afecto Dic-2025]]-VENDIDOS[[#This Row],[Avalúo Afecto Dic-2024]]</f>
        <v>0</v>
      </c>
      <c r="X42" s="83">
        <f>+VENDIDOS[[#This Row],[Avalúo Exento Dic-2025]]-VENDIDOS[[#This Row],[Avalúo Exento Dic-2024]]</f>
        <v>0</v>
      </c>
      <c r="Y42" s="31">
        <v>842.1</v>
      </c>
      <c r="Z42" s="31" t="s">
        <v>174</v>
      </c>
      <c r="AA42" s="31">
        <v>44085</v>
      </c>
      <c r="AB42" s="31" t="s">
        <v>262</v>
      </c>
      <c r="AC42" s="31" t="s">
        <v>176</v>
      </c>
      <c r="AD42" s="31" t="s">
        <v>177</v>
      </c>
      <c r="AE42" s="31" t="s">
        <v>178</v>
      </c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spans="1:48" x14ac:dyDescent="0.3">
      <c r="A43" s="30" t="s">
        <v>168</v>
      </c>
      <c r="B43" s="31" t="s">
        <v>169</v>
      </c>
      <c r="C43" s="31" t="s">
        <v>263</v>
      </c>
      <c r="D43" s="42">
        <v>761.2</v>
      </c>
      <c r="E43" s="31" t="s">
        <v>73</v>
      </c>
      <c r="F43" s="32">
        <v>44278</v>
      </c>
      <c r="G43" s="31" t="s">
        <v>264</v>
      </c>
      <c r="H43" s="31">
        <v>2.4343142406726219</v>
      </c>
      <c r="I43" s="83"/>
      <c r="J43" s="83"/>
      <c r="K43" s="83"/>
      <c r="L43" s="83"/>
      <c r="M43" s="83"/>
      <c r="N43" s="83"/>
      <c r="O43" s="31" t="s">
        <v>172</v>
      </c>
      <c r="P43" s="31" t="s">
        <v>265</v>
      </c>
      <c r="Q43" s="31"/>
      <c r="R43" s="31"/>
      <c r="S43" s="31"/>
      <c r="T43" s="31"/>
      <c r="U43" s="117">
        <v>0</v>
      </c>
      <c r="V43" s="83">
        <f>+VENDIDOS[[#This Row],[Avalúo Total 2025]]-VENDIDOS[[#This Row],[Avalúo Diciembre 2024]]</f>
        <v>0</v>
      </c>
      <c r="W43" s="83">
        <f>+VENDIDOS[[#This Row],[Avalúo Afecto Dic-2025]]-VENDIDOS[[#This Row],[Avalúo Afecto Dic-2024]]</f>
        <v>0</v>
      </c>
      <c r="X43" s="83">
        <f>+VENDIDOS[[#This Row],[Avalúo Exento Dic-2025]]-VENDIDOS[[#This Row],[Avalúo Exento Dic-2024]]</f>
        <v>0</v>
      </c>
      <c r="Y43" s="31">
        <v>761.2</v>
      </c>
      <c r="Z43" s="31" t="s">
        <v>174</v>
      </c>
      <c r="AA43" s="31">
        <v>44085</v>
      </c>
      <c r="AB43" s="31" t="s">
        <v>266</v>
      </c>
      <c r="AC43" s="31" t="s">
        <v>176</v>
      </c>
      <c r="AD43" s="31" t="s">
        <v>177</v>
      </c>
      <c r="AE43" s="31" t="s">
        <v>178</v>
      </c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r="44" spans="1:48" x14ac:dyDescent="0.3">
      <c r="A44" s="30" t="s">
        <v>168</v>
      </c>
      <c r="B44" s="31" t="s">
        <v>169</v>
      </c>
      <c r="C44" s="31" t="s">
        <v>267</v>
      </c>
      <c r="D44" s="42">
        <v>761.2</v>
      </c>
      <c r="E44" s="31" t="s">
        <v>73</v>
      </c>
      <c r="F44" s="32">
        <v>44376</v>
      </c>
      <c r="G44" s="31" t="s">
        <v>268</v>
      </c>
      <c r="H44" s="31">
        <v>2.5</v>
      </c>
      <c r="I44" s="83"/>
      <c r="J44" s="83"/>
      <c r="K44" s="83"/>
      <c r="L44" s="83"/>
      <c r="M44" s="83"/>
      <c r="N44" s="83"/>
      <c r="O44" s="31" t="s">
        <v>172</v>
      </c>
      <c r="P44" s="31" t="s">
        <v>269</v>
      </c>
      <c r="Q44" s="31"/>
      <c r="R44" s="31"/>
      <c r="S44" s="31"/>
      <c r="T44" s="31"/>
      <c r="U44" s="117">
        <v>0</v>
      </c>
      <c r="V44" s="83">
        <f>+VENDIDOS[[#This Row],[Avalúo Total 2025]]-VENDIDOS[[#This Row],[Avalúo Diciembre 2024]]</f>
        <v>0</v>
      </c>
      <c r="W44" s="83">
        <f>+VENDIDOS[[#This Row],[Avalúo Afecto Dic-2025]]-VENDIDOS[[#This Row],[Avalúo Afecto Dic-2024]]</f>
        <v>0</v>
      </c>
      <c r="X44" s="83">
        <f>+VENDIDOS[[#This Row],[Avalúo Exento Dic-2025]]-VENDIDOS[[#This Row],[Avalúo Exento Dic-2024]]</f>
        <v>0</v>
      </c>
      <c r="Y44" s="31">
        <v>761.2</v>
      </c>
      <c r="Z44" s="31" t="s">
        <v>174</v>
      </c>
      <c r="AA44" s="31">
        <v>44085</v>
      </c>
      <c r="AB44" s="31" t="s">
        <v>270</v>
      </c>
      <c r="AC44" s="31" t="s">
        <v>176</v>
      </c>
      <c r="AD44" s="31" t="s">
        <v>177</v>
      </c>
      <c r="AE44" s="31" t="s">
        <v>178</v>
      </c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</row>
    <row r="45" spans="1:48" x14ac:dyDescent="0.3">
      <c r="A45" s="30" t="s">
        <v>168</v>
      </c>
      <c r="B45" s="31" t="s">
        <v>169</v>
      </c>
      <c r="C45" s="31" t="s">
        <v>271</v>
      </c>
      <c r="D45" s="42">
        <v>843.6</v>
      </c>
      <c r="E45" s="31" t="s">
        <v>73</v>
      </c>
      <c r="F45" s="32">
        <v>44505</v>
      </c>
      <c r="G45" s="31" t="s">
        <v>272</v>
      </c>
      <c r="H45" s="31">
        <v>2.0376955903271692</v>
      </c>
      <c r="I45" s="83"/>
      <c r="J45" s="83"/>
      <c r="K45" s="83"/>
      <c r="L45" s="83"/>
      <c r="M45" s="83"/>
      <c r="N45" s="83"/>
      <c r="O45" s="31" t="s">
        <v>172</v>
      </c>
      <c r="P45" s="31" t="s">
        <v>273</v>
      </c>
      <c r="Q45" s="31"/>
      <c r="R45" s="31"/>
      <c r="S45" s="31"/>
      <c r="T45" s="31"/>
      <c r="U45" s="117">
        <v>0</v>
      </c>
      <c r="V45" s="83">
        <f>+VENDIDOS[[#This Row],[Avalúo Total 2025]]-VENDIDOS[[#This Row],[Avalúo Diciembre 2024]]</f>
        <v>0</v>
      </c>
      <c r="W45" s="83">
        <f>+VENDIDOS[[#This Row],[Avalúo Afecto Dic-2025]]-VENDIDOS[[#This Row],[Avalúo Afecto Dic-2024]]</f>
        <v>0</v>
      </c>
      <c r="X45" s="83">
        <f>+VENDIDOS[[#This Row],[Avalúo Exento Dic-2025]]-VENDIDOS[[#This Row],[Avalúo Exento Dic-2024]]</f>
        <v>0</v>
      </c>
      <c r="Y45" s="31">
        <v>843.6</v>
      </c>
      <c r="Z45" s="31" t="s">
        <v>174</v>
      </c>
      <c r="AA45" s="31">
        <v>44085</v>
      </c>
      <c r="AB45" s="31" t="s">
        <v>274</v>
      </c>
      <c r="AC45" s="31" t="s">
        <v>176</v>
      </c>
      <c r="AD45" s="31" t="s">
        <v>177</v>
      </c>
      <c r="AE45" s="31" t="s">
        <v>178</v>
      </c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</row>
    <row r="46" spans="1:48" x14ac:dyDescent="0.3">
      <c r="A46" s="30" t="s">
        <v>168</v>
      </c>
      <c r="B46" s="31" t="s">
        <v>169</v>
      </c>
      <c r="C46" s="31" t="s">
        <v>275</v>
      </c>
      <c r="D46" s="42">
        <v>779.4</v>
      </c>
      <c r="E46" s="31" t="s">
        <v>73</v>
      </c>
      <c r="F46" s="32">
        <v>44390</v>
      </c>
      <c r="G46" s="31" t="s">
        <v>276</v>
      </c>
      <c r="H46" s="31">
        <v>2.3684885809597125</v>
      </c>
      <c r="I46" s="83"/>
      <c r="J46" s="83"/>
      <c r="K46" s="83"/>
      <c r="L46" s="83"/>
      <c r="M46" s="83"/>
      <c r="N46" s="83"/>
      <c r="O46" s="31" t="s">
        <v>172</v>
      </c>
      <c r="P46" s="31" t="s">
        <v>277</v>
      </c>
      <c r="Q46" s="31"/>
      <c r="R46" s="31"/>
      <c r="S46" s="31"/>
      <c r="T46" s="31"/>
      <c r="U46" s="117">
        <v>0</v>
      </c>
      <c r="V46" s="83">
        <f>+VENDIDOS[[#This Row],[Avalúo Total 2025]]-VENDIDOS[[#This Row],[Avalúo Diciembre 2024]]</f>
        <v>0</v>
      </c>
      <c r="W46" s="83">
        <f>+VENDIDOS[[#This Row],[Avalúo Afecto Dic-2025]]-VENDIDOS[[#This Row],[Avalúo Afecto Dic-2024]]</f>
        <v>0</v>
      </c>
      <c r="X46" s="83">
        <f>+VENDIDOS[[#This Row],[Avalúo Exento Dic-2025]]-VENDIDOS[[#This Row],[Avalúo Exento Dic-2024]]</f>
        <v>0</v>
      </c>
      <c r="Y46" s="31">
        <v>779.4</v>
      </c>
      <c r="Z46" s="31" t="s">
        <v>174</v>
      </c>
      <c r="AA46" s="31">
        <v>44085</v>
      </c>
      <c r="AB46" s="31" t="s">
        <v>278</v>
      </c>
      <c r="AC46" s="31" t="s">
        <v>176</v>
      </c>
      <c r="AD46" s="31" t="s">
        <v>177</v>
      </c>
      <c r="AE46" s="31" t="s">
        <v>178</v>
      </c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</row>
    <row r="47" spans="1:48" x14ac:dyDescent="0.3">
      <c r="A47" s="30" t="s">
        <v>168</v>
      </c>
      <c r="B47" s="31" t="s">
        <v>169</v>
      </c>
      <c r="C47" s="31" t="s">
        <v>279</v>
      </c>
      <c r="D47" s="42">
        <v>801.7</v>
      </c>
      <c r="E47" s="31" t="s">
        <v>73</v>
      </c>
      <c r="F47" s="32">
        <v>44377</v>
      </c>
      <c r="G47" s="31" t="s">
        <v>280</v>
      </c>
      <c r="H47" s="31">
        <v>2.3687164774853433</v>
      </c>
      <c r="I47" s="83"/>
      <c r="J47" s="83"/>
      <c r="K47" s="83"/>
      <c r="L47" s="83"/>
      <c r="M47" s="83"/>
      <c r="N47" s="83"/>
      <c r="O47" s="31" t="s">
        <v>172</v>
      </c>
      <c r="P47" s="31" t="s">
        <v>281</v>
      </c>
      <c r="Q47" s="31"/>
      <c r="R47" s="31"/>
      <c r="S47" s="31"/>
      <c r="T47" s="31"/>
      <c r="U47" s="117">
        <v>0</v>
      </c>
      <c r="V47" s="83">
        <f>+VENDIDOS[[#This Row],[Avalúo Total 2025]]-VENDIDOS[[#This Row],[Avalúo Diciembre 2024]]</f>
        <v>0</v>
      </c>
      <c r="W47" s="83">
        <f>+VENDIDOS[[#This Row],[Avalúo Afecto Dic-2025]]-VENDIDOS[[#This Row],[Avalúo Afecto Dic-2024]]</f>
        <v>0</v>
      </c>
      <c r="X47" s="83">
        <f>+VENDIDOS[[#This Row],[Avalúo Exento Dic-2025]]-VENDIDOS[[#This Row],[Avalúo Exento Dic-2024]]</f>
        <v>0</v>
      </c>
      <c r="Y47" s="31">
        <v>801.7</v>
      </c>
      <c r="Z47" s="31" t="s">
        <v>174</v>
      </c>
      <c r="AA47" s="31">
        <v>44085</v>
      </c>
      <c r="AB47" s="31" t="s">
        <v>282</v>
      </c>
      <c r="AC47" s="31" t="s">
        <v>176</v>
      </c>
      <c r="AD47" s="31" t="s">
        <v>177</v>
      </c>
      <c r="AE47" s="31" t="s">
        <v>178</v>
      </c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</row>
    <row r="48" spans="1:48" x14ac:dyDescent="0.3">
      <c r="A48" s="30" t="s">
        <v>168</v>
      </c>
      <c r="B48" s="31" t="s">
        <v>169</v>
      </c>
      <c r="C48" s="31" t="s">
        <v>283</v>
      </c>
      <c r="D48" s="42">
        <v>802.3</v>
      </c>
      <c r="E48" s="31" t="s">
        <v>73</v>
      </c>
      <c r="F48" s="32">
        <v>44459</v>
      </c>
      <c r="G48" s="31" t="s">
        <v>284</v>
      </c>
      <c r="H48" s="31">
        <v>2.3681914495824508</v>
      </c>
      <c r="I48" s="83"/>
      <c r="J48" s="83"/>
      <c r="K48" s="83"/>
      <c r="L48" s="83"/>
      <c r="M48" s="83"/>
      <c r="N48" s="83"/>
      <c r="O48" s="31" t="s">
        <v>172</v>
      </c>
      <c r="P48" s="31" t="s">
        <v>285</v>
      </c>
      <c r="Q48" s="31"/>
      <c r="R48" s="31"/>
      <c r="S48" s="31"/>
      <c r="T48" s="31"/>
      <c r="U48" s="117">
        <v>0</v>
      </c>
      <c r="V48" s="83">
        <f>+VENDIDOS[[#This Row],[Avalúo Total 2025]]-VENDIDOS[[#This Row],[Avalúo Diciembre 2024]]</f>
        <v>0</v>
      </c>
      <c r="W48" s="83">
        <f>+VENDIDOS[[#This Row],[Avalúo Afecto Dic-2025]]-VENDIDOS[[#This Row],[Avalúo Afecto Dic-2024]]</f>
        <v>0</v>
      </c>
      <c r="X48" s="83">
        <f>+VENDIDOS[[#This Row],[Avalúo Exento Dic-2025]]-VENDIDOS[[#This Row],[Avalúo Exento Dic-2024]]</f>
        <v>0</v>
      </c>
      <c r="Y48" s="31">
        <v>802.3</v>
      </c>
      <c r="Z48" s="31" t="s">
        <v>174</v>
      </c>
      <c r="AA48" s="31">
        <v>44085</v>
      </c>
      <c r="AB48" s="31" t="s">
        <v>286</v>
      </c>
      <c r="AC48" s="31" t="s">
        <v>176</v>
      </c>
      <c r="AD48" s="31" t="s">
        <v>177</v>
      </c>
      <c r="AE48" s="31" t="s">
        <v>178</v>
      </c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</row>
    <row r="49" spans="1:48" x14ac:dyDescent="0.3">
      <c r="A49" s="30" t="s">
        <v>168</v>
      </c>
      <c r="B49" s="31" t="s">
        <v>169</v>
      </c>
      <c r="C49" s="31" t="s">
        <v>287</v>
      </c>
      <c r="D49" s="42">
        <v>1115.8</v>
      </c>
      <c r="E49" s="31" t="s">
        <v>73</v>
      </c>
      <c r="F49" s="32">
        <v>44519</v>
      </c>
      <c r="G49" s="31" t="s">
        <v>288</v>
      </c>
      <c r="H49" s="31">
        <v>2.6312959311704609</v>
      </c>
      <c r="I49" s="83"/>
      <c r="J49" s="83"/>
      <c r="K49" s="83"/>
      <c r="L49" s="83"/>
      <c r="M49" s="83"/>
      <c r="N49" s="83"/>
      <c r="O49" s="31" t="s">
        <v>172</v>
      </c>
      <c r="P49" s="31" t="s">
        <v>289</v>
      </c>
      <c r="Q49" s="31"/>
      <c r="R49" s="31"/>
      <c r="S49" s="31"/>
      <c r="T49" s="31"/>
      <c r="U49" s="117">
        <v>0</v>
      </c>
      <c r="V49" s="83">
        <f>+VENDIDOS[[#This Row],[Avalúo Total 2025]]-VENDIDOS[[#This Row],[Avalúo Diciembre 2024]]</f>
        <v>0</v>
      </c>
      <c r="W49" s="83">
        <f>+VENDIDOS[[#This Row],[Avalúo Afecto Dic-2025]]-VENDIDOS[[#This Row],[Avalúo Afecto Dic-2024]]</f>
        <v>0</v>
      </c>
      <c r="X49" s="83">
        <f>+VENDIDOS[[#This Row],[Avalúo Exento Dic-2025]]-VENDIDOS[[#This Row],[Avalúo Exento Dic-2024]]</f>
        <v>0</v>
      </c>
      <c r="Y49" s="31">
        <v>1115.8</v>
      </c>
      <c r="Z49" s="31" t="s">
        <v>174</v>
      </c>
      <c r="AA49" s="31">
        <v>44085</v>
      </c>
      <c r="AB49" s="31" t="s">
        <v>290</v>
      </c>
      <c r="AC49" s="31" t="s">
        <v>176</v>
      </c>
      <c r="AD49" s="31" t="s">
        <v>177</v>
      </c>
      <c r="AE49" s="31" t="s">
        <v>178</v>
      </c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</row>
    <row r="50" spans="1:48" x14ac:dyDescent="0.3">
      <c r="A50" s="30" t="s">
        <v>168</v>
      </c>
      <c r="B50" s="31" t="s">
        <v>169</v>
      </c>
      <c r="C50" s="31" t="s">
        <v>291</v>
      </c>
      <c r="D50" s="42">
        <v>704</v>
      </c>
      <c r="E50" s="31" t="s">
        <v>73</v>
      </c>
      <c r="F50" s="32">
        <v>44369</v>
      </c>
      <c r="G50" s="31" t="s">
        <v>292</v>
      </c>
      <c r="H50" s="31">
        <v>0.80113636363636365</v>
      </c>
      <c r="I50" s="83"/>
      <c r="J50" s="83"/>
      <c r="K50" s="83"/>
      <c r="L50" s="83"/>
      <c r="M50" s="83"/>
      <c r="N50" s="83"/>
      <c r="O50" s="31" t="s">
        <v>172</v>
      </c>
      <c r="P50" s="31" t="s">
        <v>293</v>
      </c>
      <c r="Q50" s="31"/>
      <c r="R50" s="31"/>
      <c r="S50" s="31"/>
      <c r="T50" s="31"/>
      <c r="U50" s="117">
        <v>0</v>
      </c>
      <c r="V50" s="83">
        <f>+VENDIDOS[[#This Row],[Avalúo Total 2025]]-VENDIDOS[[#This Row],[Avalúo Diciembre 2024]]</f>
        <v>0</v>
      </c>
      <c r="W50" s="83">
        <f>+VENDIDOS[[#This Row],[Avalúo Afecto Dic-2025]]-VENDIDOS[[#This Row],[Avalúo Afecto Dic-2024]]</f>
        <v>0</v>
      </c>
      <c r="X50" s="83">
        <f>+VENDIDOS[[#This Row],[Avalúo Exento Dic-2025]]-VENDIDOS[[#This Row],[Avalúo Exento Dic-2024]]</f>
        <v>0</v>
      </c>
      <c r="Y50" s="31">
        <v>704</v>
      </c>
      <c r="Z50" s="31" t="s">
        <v>174</v>
      </c>
      <c r="AA50" s="31">
        <v>44085</v>
      </c>
      <c r="AB50" s="31" t="s">
        <v>294</v>
      </c>
      <c r="AC50" s="31" t="s">
        <v>176</v>
      </c>
      <c r="AD50" s="31" t="s">
        <v>177</v>
      </c>
      <c r="AE50" s="31" t="s">
        <v>178</v>
      </c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</row>
    <row r="51" spans="1:48" x14ac:dyDescent="0.3">
      <c r="A51" s="30" t="s">
        <v>168</v>
      </c>
      <c r="B51" s="31" t="s">
        <v>169</v>
      </c>
      <c r="C51" s="31" t="s">
        <v>295</v>
      </c>
      <c r="D51" s="42">
        <v>785.3</v>
      </c>
      <c r="E51" s="31" t="s">
        <v>73</v>
      </c>
      <c r="F51" s="32">
        <v>44369</v>
      </c>
      <c r="G51" s="31" t="s">
        <v>296</v>
      </c>
      <c r="H51" s="31">
        <v>2.422004329555584</v>
      </c>
      <c r="I51" s="83"/>
      <c r="J51" s="83"/>
      <c r="K51" s="83"/>
      <c r="L51" s="83"/>
      <c r="M51" s="83"/>
      <c r="N51" s="83"/>
      <c r="O51" s="31" t="s">
        <v>172</v>
      </c>
      <c r="P51" s="31" t="s">
        <v>297</v>
      </c>
      <c r="Q51" s="31"/>
      <c r="R51" s="31"/>
      <c r="S51" s="31"/>
      <c r="T51" s="31"/>
      <c r="U51" s="117">
        <v>0</v>
      </c>
      <c r="V51" s="83">
        <f>+VENDIDOS[[#This Row],[Avalúo Total 2025]]-VENDIDOS[[#This Row],[Avalúo Diciembre 2024]]</f>
        <v>0</v>
      </c>
      <c r="W51" s="83">
        <f>+VENDIDOS[[#This Row],[Avalúo Afecto Dic-2025]]-VENDIDOS[[#This Row],[Avalúo Afecto Dic-2024]]</f>
        <v>0</v>
      </c>
      <c r="X51" s="83">
        <f>+VENDIDOS[[#This Row],[Avalúo Exento Dic-2025]]-VENDIDOS[[#This Row],[Avalúo Exento Dic-2024]]</f>
        <v>0</v>
      </c>
      <c r="Y51" s="31">
        <v>785.3</v>
      </c>
      <c r="Z51" s="31" t="s">
        <v>174</v>
      </c>
      <c r="AA51" s="31">
        <v>44085</v>
      </c>
      <c r="AB51" s="31" t="s">
        <v>298</v>
      </c>
      <c r="AC51" s="31" t="s">
        <v>176</v>
      </c>
      <c r="AD51" s="31" t="s">
        <v>177</v>
      </c>
      <c r="AE51" s="31" t="s">
        <v>178</v>
      </c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</row>
    <row r="52" spans="1:48" x14ac:dyDescent="0.3">
      <c r="A52" s="30" t="s">
        <v>168</v>
      </c>
      <c r="B52" s="31" t="s">
        <v>169</v>
      </c>
      <c r="C52" s="31" t="s">
        <v>299</v>
      </c>
      <c r="D52" s="42">
        <v>1019.8</v>
      </c>
      <c r="E52" s="31" t="s">
        <v>73</v>
      </c>
      <c r="F52" s="32">
        <v>44407</v>
      </c>
      <c r="G52" s="31" t="s">
        <v>300</v>
      </c>
      <c r="H52" s="31">
        <v>2.5004902922141596</v>
      </c>
      <c r="I52" s="83"/>
      <c r="J52" s="83"/>
      <c r="K52" s="83"/>
      <c r="L52" s="83"/>
      <c r="M52" s="83"/>
      <c r="N52" s="83"/>
      <c r="O52" s="31" t="s">
        <v>172</v>
      </c>
      <c r="P52" s="31" t="s">
        <v>301</v>
      </c>
      <c r="Q52" s="31"/>
      <c r="R52" s="31"/>
      <c r="S52" s="31"/>
      <c r="T52" s="31"/>
      <c r="U52" s="117">
        <v>0</v>
      </c>
      <c r="V52" s="83">
        <f>+VENDIDOS[[#This Row],[Avalúo Total 2025]]-VENDIDOS[[#This Row],[Avalúo Diciembre 2024]]</f>
        <v>0</v>
      </c>
      <c r="W52" s="83">
        <f>+VENDIDOS[[#This Row],[Avalúo Afecto Dic-2025]]-VENDIDOS[[#This Row],[Avalúo Afecto Dic-2024]]</f>
        <v>0</v>
      </c>
      <c r="X52" s="83">
        <f>+VENDIDOS[[#This Row],[Avalúo Exento Dic-2025]]-VENDIDOS[[#This Row],[Avalúo Exento Dic-2024]]</f>
        <v>0</v>
      </c>
      <c r="Y52" s="31">
        <v>1019.8</v>
      </c>
      <c r="Z52" s="31" t="s">
        <v>174</v>
      </c>
      <c r="AA52" s="31">
        <v>44085</v>
      </c>
      <c r="AB52" s="31" t="s">
        <v>302</v>
      </c>
      <c r="AC52" s="31" t="s">
        <v>176</v>
      </c>
      <c r="AD52" s="31" t="s">
        <v>177</v>
      </c>
      <c r="AE52" s="31" t="s">
        <v>178</v>
      </c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</row>
    <row r="53" spans="1:48" x14ac:dyDescent="0.3">
      <c r="A53" s="30" t="s">
        <v>70</v>
      </c>
      <c r="B53" s="31" t="s">
        <v>303</v>
      </c>
      <c r="C53" s="31" t="s">
        <v>304</v>
      </c>
      <c r="D53" s="42">
        <v>5237.49</v>
      </c>
      <c r="E53" s="31" t="s">
        <v>73</v>
      </c>
      <c r="F53" s="32">
        <v>40599</v>
      </c>
      <c r="G53" s="31" t="s">
        <v>305</v>
      </c>
      <c r="H53" s="31">
        <v>3.7699355989223848</v>
      </c>
      <c r="I53" s="83"/>
      <c r="J53" s="83"/>
      <c r="K53" s="83"/>
      <c r="L53" s="83"/>
      <c r="M53" s="83"/>
      <c r="N53" s="83"/>
      <c r="O53" s="31"/>
      <c r="P53" s="31"/>
      <c r="Q53" s="31"/>
      <c r="R53" s="31"/>
      <c r="S53" s="31"/>
      <c r="T53" s="31"/>
      <c r="U53" s="117">
        <v>0</v>
      </c>
      <c r="V53" s="83">
        <f>+VENDIDOS[[#This Row],[Avalúo Total 2025]]-VENDIDOS[[#This Row],[Avalúo Diciembre 2024]]</f>
        <v>0</v>
      </c>
      <c r="W53" s="83">
        <f>+VENDIDOS[[#This Row],[Avalúo Afecto Dic-2025]]-VENDIDOS[[#This Row],[Avalúo Afecto Dic-2024]]</f>
        <v>0</v>
      </c>
      <c r="X53" s="83">
        <f>+VENDIDOS[[#This Row],[Avalúo Exento Dic-2025]]-VENDIDOS[[#This Row],[Avalúo Exento Dic-2024]]</f>
        <v>0</v>
      </c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>
        <v>3404.3685</v>
      </c>
      <c r="AU53" s="31"/>
      <c r="AV53" s="31"/>
    </row>
    <row r="54" spans="1:48" x14ac:dyDescent="0.3">
      <c r="A54" s="30" t="s">
        <v>70</v>
      </c>
      <c r="B54" s="31" t="s">
        <v>71</v>
      </c>
      <c r="C54" s="31" t="s">
        <v>306</v>
      </c>
      <c r="D54" s="42">
        <v>6535.5</v>
      </c>
      <c r="E54" s="31" t="s">
        <v>73</v>
      </c>
      <c r="F54" s="32">
        <v>43592</v>
      </c>
      <c r="G54" s="31" t="s">
        <v>307</v>
      </c>
      <c r="H54" s="31">
        <v>1.033738811108561</v>
      </c>
      <c r="I54" s="83"/>
      <c r="J54" s="83"/>
      <c r="K54" s="83"/>
      <c r="L54" s="83"/>
      <c r="M54" s="83"/>
      <c r="N54" s="83"/>
      <c r="O54" s="31"/>
      <c r="P54" s="31"/>
      <c r="Q54" s="31"/>
      <c r="R54" s="31"/>
      <c r="S54" s="31"/>
      <c r="T54" s="31"/>
      <c r="U54" s="117">
        <v>0</v>
      </c>
      <c r="V54" s="83">
        <f>+VENDIDOS[[#This Row],[Avalúo Total 2025]]-VENDIDOS[[#This Row],[Avalúo Diciembre 2024]]</f>
        <v>0</v>
      </c>
      <c r="W54" s="83">
        <f>+VENDIDOS[[#This Row],[Avalúo Afecto Dic-2025]]-VENDIDOS[[#This Row],[Avalúo Afecto Dic-2024]]</f>
        <v>0</v>
      </c>
      <c r="X54" s="83">
        <f>+VENDIDOS[[#This Row],[Avalúo Exento Dic-2025]]-VENDIDOS[[#This Row],[Avalúo Exento Dic-2024]]</f>
        <v>0</v>
      </c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>
        <v>4248.0749999999998</v>
      </c>
      <c r="AU54" s="31"/>
      <c r="AV54" s="31"/>
    </row>
    <row r="55" spans="1:48" x14ac:dyDescent="0.3">
      <c r="A55" s="30" t="s">
        <v>70</v>
      </c>
      <c r="B55" s="31" t="s">
        <v>71</v>
      </c>
      <c r="C55" s="31" t="s">
        <v>308</v>
      </c>
      <c r="D55" s="42">
        <v>7132</v>
      </c>
      <c r="E55" s="31" t="s">
        <v>73</v>
      </c>
      <c r="F55" s="32">
        <v>43980</v>
      </c>
      <c r="G55" s="31" t="s">
        <v>309</v>
      </c>
      <c r="H55" s="31">
        <v>4.37</v>
      </c>
      <c r="I55" s="83"/>
      <c r="J55" s="83"/>
      <c r="K55" s="83"/>
      <c r="L55" s="83"/>
      <c r="M55" s="83"/>
      <c r="N55" s="83"/>
      <c r="O55" s="31"/>
      <c r="P55" s="31"/>
      <c r="Q55" s="31"/>
      <c r="R55" s="31"/>
      <c r="S55" s="31"/>
      <c r="T55" s="31"/>
      <c r="U55" s="117">
        <v>0</v>
      </c>
      <c r="V55" s="83">
        <f>+VENDIDOS[[#This Row],[Avalúo Total 2025]]-VENDIDOS[[#This Row],[Avalúo Diciembre 2024]]</f>
        <v>0</v>
      </c>
      <c r="W55" s="83">
        <f>+VENDIDOS[[#This Row],[Avalúo Afecto Dic-2025]]-VENDIDOS[[#This Row],[Avalúo Afecto Dic-2024]]</f>
        <v>0</v>
      </c>
      <c r="X55" s="83">
        <f>+VENDIDOS[[#This Row],[Avalúo Exento Dic-2025]]-VENDIDOS[[#This Row],[Avalúo Exento Dic-2024]]</f>
        <v>0</v>
      </c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>
        <v>4635.8</v>
      </c>
      <c r="AU55" s="31"/>
      <c r="AV55" s="31"/>
    </row>
    <row r="56" spans="1:48" x14ac:dyDescent="0.3">
      <c r="A56" s="30" t="s">
        <v>70</v>
      </c>
      <c r="B56" s="31" t="s">
        <v>71</v>
      </c>
      <c r="C56" s="31" t="s">
        <v>310</v>
      </c>
      <c r="D56" s="42">
        <v>19963</v>
      </c>
      <c r="E56" s="31" t="s">
        <v>73</v>
      </c>
      <c r="F56" s="32">
        <v>43164</v>
      </c>
      <c r="G56" s="31" t="s">
        <v>311</v>
      </c>
      <c r="H56" s="31">
        <v>0.55803235986575161</v>
      </c>
      <c r="I56" s="83"/>
      <c r="J56" s="83"/>
      <c r="K56" s="83"/>
      <c r="L56" s="83"/>
      <c r="M56" s="83"/>
      <c r="N56" s="83"/>
      <c r="O56" s="31"/>
      <c r="P56" s="31"/>
      <c r="Q56" s="31"/>
      <c r="R56" s="31"/>
      <c r="S56" s="31"/>
      <c r="T56" s="31"/>
      <c r="U56" s="117">
        <v>0</v>
      </c>
      <c r="V56" s="83">
        <f>+VENDIDOS[[#This Row],[Avalúo Total 2025]]-VENDIDOS[[#This Row],[Avalúo Diciembre 2024]]</f>
        <v>0</v>
      </c>
      <c r="W56" s="83">
        <f>+VENDIDOS[[#This Row],[Avalúo Afecto Dic-2025]]-VENDIDOS[[#This Row],[Avalúo Afecto Dic-2024]]</f>
        <v>0</v>
      </c>
      <c r="X56" s="83">
        <f>+VENDIDOS[[#This Row],[Avalúo Exento Dic-2025]]-VENDIDOS[[#This Row],[Avalúo Exento Dic-2024]]</f>
        <v>0</v>
      </c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</row>
    <row r="57" spans="1:48" x14ac:dyDescent="0.3">
      <c r="A57" s="30" t="s">
        <v>70</v>
      </c>
      <c r="B57" s="31" t="s">
        <v>71</v>
      </c>
      <c r="C57" s="31" t="s">
        <v>312</v>
      </c>
      <c r="D57" s="42">
        <v>20000</v>
      </c>
      <c r="E57" s="31" t="s">
        <v>73</v>
      </c>
      <c r="F57" s="32">
        <v>43005</v>
      </c>
      <c r="G57" s="31" t="s">
        <v>311</v>
      </c>
      <c r="H57" s="31">
        <v>0.65</v>
      </c>
      <c r="I57" s="83"/>
      <c r="J57" s="83"/>
      <c r="K57" s="83"/>
      <c r="L57" s="83"/>
      <c r="M57" s="83"/>
      <c r="N57" s="83"/>
      <c r="O57" s="31"/>
      <c r="P57" s="31"/>
      <c r="Q57" s="31"/>
      <c r="R57" s="31"/>
      <c r="S57" s="31"/>
      <c r="T57" s="31"/>
      <c r="U57" s="117">
        <v>0</v>
      </c>
      <c r="V57" s="83">
        <f>+VENDIDOS[[#This Row],[Avalúo Total 2025]]-VENDIDOS[[#This Row],[Avalúo Diciembre 2024]]</f>
        <v>0</v>
      </c>
      <c r="W57" s="83">
        <f>+VENDIDOS[[#This Row],[Avalúo Afecto Dic-2025]]-VENDIDOS[[#This Row],[Avalúo Afecto Dic-2024]]</f>
        <v>0</v>
      </c>
      <c r="X57" s="83">
        <f>+VENDIDOS[[#This Row],[Avalúo Exento Dic-2025]]-VENDIDOS[[#This Row],[Avalúo Exento Dic-2024]]</f>
        <v>0</v>
      </c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</row>
    <row r="58" spans="1:48" x14ac:dyDescent="0.3">
      <c r="A58" s="30" t="s">
        <v>70</v>
      </c>
      <c r="B58" s="31" t="s">
        <v>71</v>
      </c>
      <c r="C58" s="31" t="s">
        <v>313</v>
      </c>
      <c r="D58" s="42">
        <v>25000</v>
      </c>
      <c r="E58" s="31" t="s">
        <v>73</v>
      </c>
      <c r="F58" s="32">
        <v>42358</v>
      </c>
      <c r="G58" s="31" t="s">
        <v>314</v>
      </c>
      <c r="H58" s="31">
        <v>0.39944000000000002</v>
      </c>
      <c r="I58" s="83"/>
      <c r="J58" s="83"/>
      <c r="K58" s="83"/>
      <c r="L58" s="83"/>
      <c r="M58" s="83"/>
      <c r="N58" s="83"/>
      <c r="O58" s="31"/>
      <c r="P58" s="31"/>
      <c r="Q58" s="31"/>
      <c r="R58" s="31"/>
      <c r="S58" s="31"/>
      <c r="T58" s="31"/>
      <c r="U58" s="117">
        <v>0</v>
      </c>
      <c r="V58" s="83">
        <f>+VENDIDOS[[#This Row],[Avalúo Total 2025]]-VENDIDOS[[#This Row],[Avalúo Diciembre 2024]]</f>
        <v>0</v>
      </c>
      <c r="W58" s="83">
        <f>+VENDIDOS[[#This Row],[Avalúo Afecto Dic-2025]]-VENDIDOS[[#This Row],[Avalúo Afecto Dic-2024]]</f>
        <v>0</v>
      </c>
      <c r="X58" s="83">
        <f>+VENDIDOS[[#This Row],[Avalúo Exento Dic-2025]]-VENDIDOS[[#This Row],[Avalúo Exento Dic-2024]]</f>
        <v>0</v>
      </c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</row>
    <row r="59" spans="1:48" x14ac:dyDescent="0.3">
      <c r="A59" s="30" t="s">
        <v>70</v>
      </c>
      <c r="B59" s="31" t="s">
        <v>71</v>
      </c>
      <c r="C59" s="31" t="s">
        <v>315</v>
      </c>
      <c r="D59" s="42">
        <v>25000</v>
      </c>
      <c r="E59" s="31" t="s">
        <v>73</v>
      </c>
      <c r="F59" s="32">
        <v>43164</v>
      </c>
      <c r="G59" s="31" t="s">
        <v>311</v>
      </c>
      <c r="H59" s="31">
        <v>0.97755999999999998</v>
      </c>
      <c r="I59" s="83"/>
      <c r="J59" s="83"/>
      <c r="K59" s="83"/>
      <c r="L59" s="83"/>
      <c r="M59" s="83"/>
      <c r="N59" s="83"/>
      <c r="O59" s="31"/>
      <c r="P59" s="31"/>
      <c r="Q59" s="31"/>
      <c r="R59" s="31"/>
      <c r="S59" s="31"/>
      <c r="T59" s="31"/>
      <c r="U59" s="117">
        <v>0</v>
      </c>
      <c r="V59" s="83">
        <f>+VENDIDOS[[#This Row],[Avalúo Total 2025]]-VENDIDOS[[#This Row],[Avalúo Diciembre 2024]]</f>
        <v>0</v>
      </c>
      <c r="W59" s="83">
        <f>+VENDIDOS[[#This Row],[Avalúo Afecto Dic-2025]]-VENDIDOS[[#This Row],[Avalúo Afecto Dic-2024]]</f>
        <v>0</v>
      </c>
      <c r="X59" s="83">
        <f>+VENDIDOS[[#This Row],[Avalúo Exento Dic-2025]]-VENDIDOS[[#This Row],[Avalúo Exento Dic-2024]]</f>
        <v>0</v>
      </c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</row>
    <row r="60" spans="1:48" x14ac:dyDescent="0.3">
      <c r="A60" s="30" t="s">
        <v>70</v>
      </c>
      <c r="B60" s="31" t="s">
        <v>71</v>
      </c>
      <c r="C60" s="31" t="s">
        <v>316</v>
      </c>
      <c r="D60" s="42">
        <v>27280</v>
      </c>
      <c r="E60" s="31" t="s">
        <v>73</v>
      </c>
      <c r="F60" s="32">
        <v>43164</v>
      </c>
      <c r="G60" s="31" t="s">
        <v>311</v>
      </c>
      <c r="H60" s="31">
        <v>0.55700146627565983</v>
      </c>
      <c r="I60" s="83"/>
      <c r="J60" s="83"/>
      <c r="K60" s="83"/>
      <c r="L60" s="83"/>
      <c r="M60" s="83"/>
      <c r="N60" s="83"/>
      <c r="O60" s="31"/>
      <c r="P60" s="31"/>
      <c r="Q60" s="31"/>
      <c r="R60" s="31"/>
      <c r="S60" s="31"/>
      <c r="T60" s="31"/>
      <c r="U60" s="117">
        <v>0</v>
      </c>
      <c r="V60" s="83">
        <f>+VENDIDOS[[#This Row],[Avalúo Total 2025]]-VENDIDOS[[#This Row],[Avalúo Diciembre 2024]]</f>
        <v>0</v>
      </c>
      <c r="W60" s="83">
        <f>+VENDIDOS[[#This Row],[Avalúo Afecto Dic-2025]]-VENDIDOS[[#This Row],[Avalúo Afecto Dic-2024]]</f>
        <v>0</v>
      </c>
      <c r="X60" s="83">
        <f>+VENDIDOS[[#This Row],[Avalúo Exento Dic-2025]]-VENDIDOS[[#This Row],[Avalúo Exento Dic-2024]]</f>
        <v>0</v>
      </c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</row>
    <row r="61" spans="1:48" x14ac:dyDescent="0.3">
      <c r="A61" s="30" t="s">
        <v>70</v>
      </c>
      <c r="B61" s="31" t="s">
        <v>80</v>
      </c>
      <c r="C61" s="31" t="s">
        <v>317</v>
      </c>
      <c r="D61" s="42">
        <v>20936.939999999999</v>
      </c>
      <c r="E61" s="31" t="s">
        <v>73</v>
      </c>
      <c r="F61" s="32">
        <v>42744</v>
      </c>
      <c r="G61" s="31" t="s">
        <v>117</v>
      </c>
      <c r="H61" s="31">
        <v>1.0014933720609394</v>
      </c>
      <c r="I61" s="83"/>
      <c r="J61" s="83"/>
      <c r="K61" s="83"/>
      <c r="L61" s="83"/>
      <c r="M61" s="83"/>
      <c r="N61" s="83"/>
      <c r="O61" s="31"/>
      <c r="P61" s="31"/>
      <c r="Q61" s="31"/>
      <c r="R61" s="31"/>
      <c r="S61" s="31"/>
      <c r="T61" s="31"/>
      <c r="U61" s="117">
        <v>0</v>
      </c>
      <c r="V61" s="83">
        <f>+VENDIDOS[[#This Row],[Avalúo Total 2025]]-VENDIDOS[[#This Row],[Avalúo Diciembre 2024]]</f>
        <v>0</v>
      </c>
      <c r="W61" s="83">
        <f>+VENDIDOS[[#This Row],[Avalúo Afecto Dic-2025]]-VENDIDOS[[#This Row],[Avalúo Afecto Dic-2024]]</f>
        <v>0</v>
      </c>
      <c r="X61" s="83">
        <f>+VENDIDOS[[#This Row],[Avalúo Exento Dic-2025]]-VENDIDOS[[#This Row],[Avalúo Exento Dic-2024]]</f>
        <v>0</v>
      </c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</row>
    <row r="62" spans="1:48" x14ac:dyDescent="0.3">
      <c r="A62" s="30" t="s">
        <v>70</v>
      </c>
      <c r="B62" s="31" t="s">
        <v>80</v>
      </c>
      <c r="C62" s="31" t="s">
        <v>318</v>
      </c>
      <c r="D62" s="42">
        <v>43065.4</v>
      </c>
      <c r="E62" s="31" t="s">
        <v>73</v>
      </c>
      <c r="F62" s="32">
        <v>43395</v>
      </c>
      <c r="G62" s="31" t="s">
        <v>319</v>
      </c>
      <c r="H62" s="97">
        <v>0.81000060373292715</v>
      </c>
      <c r="I62" s="83"/>
      <c r="J62" s="83"/>
      <c r="K62" s="83"/>
      <c r="L62" s="83"/>
      <c r="M62" s="83"/>
      <c r="N62" s="83"/>
      <c r="O62" s="31"/>
      <c r="P62" s="31"/>
      <c r="Q62" s="31"/>
      <c r="R62" s="31"/>
      <c r="S62" s="31"/>
      <c r="T62" s="31"/>
      <c r="U62" s="117">
        <v>0</v>
      </c>
      <c r="V62" s="83">
        <f>+VENDIDOS[[#This Row],[Avalúo Total 2025]]-VENDIDOS[[#This Row],[Avalúo Diciembre 2024]]</f>
        <v>0</v>
      </c>
      <c r="W62" s="83">
        <f>+VENDIDOS[[#This Row],[Avalúo Afecto Dic-2025]]-VENDIDOS[[#This Row],[Avalúo Afecto Dic-2024]]</f>
        <v>0</v>
      </c>
      <c r="X62" s="83">
        <f>+VENDIDOS[[#This Row],[Avalúo Exento Dic-2025]]-VENDIDOS[[#This Row],[Avalúo Exento Dic-2024]]</f>
        <v>0</v>
      </c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</row>
    <row r="63" spans="1:48" x14ac:dyDescent="0.3">
      <c r="A63" s="30" t="s">
        <v>70</v>
      </c>
      <c r="B63" s="31" t="s">
        <v>71</v>
      </c>
      <c r="C63" s="31" t="s">
        <v>320</v>
      </c>
      <c r="D63" s="42">
        <v>29525</v>
      </c>
      <c r="E63" s="31" t="s">
        <v>73</v>
      </c>
      <c r="F63" s="32">
        <v>41271</v>
      </c>
      <c r="G63" s="31" t="s">
        <v>321</v>
      </c>
      <c r="H63" s="31">
        <v>0.54904318374259098</v>
      </c>
      <c r="I63" s="83"/>
      <c r="J63" s="83"/>
      <c r="K63" s="83"/>
      <c r="L63" s="83"/>
      <c r="M63" s="83"/>
      <c r="N63" s="83"/>
      <c r="O63" s="31"/>
      <c r="P63" s="31"/>
      <c r="Q63" s="31"/>
      <c r="R63" s="31"/>
      <c r="S63" s="31"/>
      <c r="T63" s="31"/>
      <c r="U63" s="117">
        <v>0</v>
      </c>
      <c r="V63" s="83">
        <f>+VENDIDOS[[#This Row],[Avalúo Total 2025]]-VENDIDOS[[#This Row],[Avalúo Diciembre 2024]]</f>
        <v>0</v>
      </c>
      <c r="W63" s="83">
        <f>+VENDIDOS[[#This Row],[Avalúo Afecto Dic-2025]]-VENDIDOS[[#This Row],[Avalúo Afecto Dic-2024]]</f>
        <v>0</v>
      </c>
      <c r="X63" s="83">
        <f>+VENDIDOS[[#This Row],[Avalúo Exento Dic-2025]]-VENDIDOS[[#This Row],[Avalúo Exento Dic-2024]]</f>
        <v>0</v>
      </c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</row>
    <row r="64" spans="1:48" x14ac:dyDescent="0.3">
      <c r="A64" s="30" t="s">
        <v>70</v>
      </c>
      <c r="B64" s="31" t="s">
        <v>71</v>
      </c>
      <c r="C64" s="31" t="s">
        <v>322</v>
      </c>
      <c r="D64" s="42">
        <v>34753</v>
      </c>
      <c r="E64" s="31" t="s">
        <v>73</v>
      </c>
      <c r="F64" s="32">
        <v>42279</v>
      </c>
      <c r="G64" s="31" t="s">
        <v>323</v>
      </c>
      <c r="H64" s="31">
        <v>0.60018835608845111</v>
      </c>
      <c r="I64" s="83"/>
      <c r="J64" s="83"/>
      <c r="K64" s="83"/>
      <c r="L64" s="83"/>
      <c r="M64" s="83"/>
      <c r="N64" s="83"/>
      <c r="O64" s="31"/>
      <c r="P64" s="31"/>
      <c r="Q64" s="31"/>
      <c r="R64" s="31"/>
      <c r="S64" s="31"/>
      <c r="T64" s="31"/>
      <c r="U64" s="117">
        <v>0</v>
      </c>
      <c r="V64" s="83">
        <f>+VENDIDOS[[#This Row],[Avalúo Total 2025]]-VENDIDOS[[#This Row],[Avalúo Diciembre 2024]]</f>
        <v>0</v>
      </c>
      <c r="W64" s="83">
        <f>+VENDIDOS[[#This Row],[Avalúo Afecto Dic-2025]]-VENDIDOS[[#This Row],[Avalúo Afecto Dic-2024]]</f>
        <v>0</v>
      </c>
      <c r="X64" s="83">
        <f>+VENDIDOS[[#This Row],[Avalúo Exento Dic-2025]]-VENDIDOS[[#This Row],[Avalúo Exento Dic-2024]]</f>
        <v>0</v>
      </c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</row>
    <row r="65" spans="1:48" x14ac:dyDescent="0.3">
      <c r="A65" s="30" t="s">
        <v>70</v>
      </c>
      <c r="B65" s="31" t="s">
        <v>71</v>
      </c>
      <c r="C65" s="31" t="s">
        <v>324</v>
      </c>
      <c r="D65" s="42">
        <v>50000</v>
      </c>
      <c r="E65" s="31" t="s">
        <v>73</v>
      </c>
      <c r="F65" s="32">
        <v>39647</v>
      </c>
      <c r="G65" s="31" t="s">
        <v>325</v>
      </c>
      <c r="H65" s="31">
        <v>0.46710000000000002</v>
      </c>
      <c r="I65" s="83"/>
      <c r="J65" s="83"/>
      <c r="K65" s="83"/>
      <c r="L65" s="83"/>
      <c r="M65" s="83"/>
      <c r="N65" s="83"/>
      <c r="O65" s="31"/>
      <c r="P65" s="31"/>
      <c r="Q65" s="31"/>
      <c r="R65" s="31"/>
      <c r="S65" s="31"/>
      <c r="T65" s="31"/>
      <c r="U65" s="117">
        <v>0</v>
      </c>
      <c r="V65" s="83">
        <f>+VENDIDOS[[#This Row],[Avalúo Total 2025]]-VENDIDOS[[#This Row],[Avalúo Diciembre 2024]]</f>
        <v>0</v>
      </c>
      <c r="W65" s="83">
        <f>+VENDIDOS[[#This Row],[Avalúo Afecto Dic-2025]]-VENDIDOS[[#This Row],[Avalúo Afecto Dic-2024]]</f>
        <v>0</v>
      </c>
      <c r="X65" s="83">
        <f>+VENDIDOS[[#This Row],[Avalúo Exento Dic-2025]]-VENDIDOS[[#This Row],[Avalúo Exento Dic-2024]]</f>
        <v>0</v>
      </c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</row>
    <row r="66" spans="1:48" x14ac:dyDescent="0.3">
      <c r="A66" s="30" t="s">
        <v>70</v>
      </c>
      <c r="B66" s="31" t="s">
        <v>71</v>
      </c>
      <c r="C66" s="31" t="s">
        <v>326</v>
      </c>
      <c r="D66" s="42">
        <v>161800</v>
      </c>
      <c r="E66" s="31" t="s">
        <v>73</v>
      </c>
      <c r="F66" s="32">
        <v>42358</v>
      </c>
      <c r="G66" s="31" t="s">
        <v>314</v>
      </c>
      <c r="H66" s="31">
        <v>0.39203955500618048</v>
      </c>
      <c r="I66" s="83"/>
      <c r="J66" s="83"/>
      <c r="K66" s="83"/>
      <c r="L66" s="83"/>
      <c r="M66" s="83"/>
      <c r="N66" s="83"/>
      <c r="O66" s="31"/>
      <c r="P66" s="31"/>
      <c r="Q66" s="31"/>
      <c r="R66" s="31"/>
      <c r="S66" s="31"/>
      <c r="T66" s="31"/>
      <c r="U66" s="117">
        <v>0</v>
      </c>
      <c r="V66" s="83">
        <f>+VENDIDOS[[#This Row],[Avalúo Total 2025]]-VENDIDOS[[#This Row],[Avalúo Diciembre 2024]]</f>
        <v>0</v>
      </c>
      <c r="W66" s="83">
        <f>+VENDIDOS[[#This Row],[Avalúo Afecto Dic-2025]]-VENDIDOS[[#This Row],[Avalúo Afecto Dic-2024]]</f>
        <v>0</v>
      </c>
      <c r="X66" s="83">
        <f>+VENDIDOS[[#This Row],[Avalúo Exento Dic-2025]]-VENDIDOS[[#This Row],[Avalúo Exento Dic-2024]]</f>
        <v>0</v>
      </c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</row>
    <row r="67" spans="1:48" x14ac:dyDescent="0.3">
      <c r="A67" s="30" t="s">
        <v>327</v>
      </c>
      <c r="B67" s="31" t="s">
        <v>80</v>
      </c>
      <c r="C67" s="31" t="s">
        <v>328</v>
      </c>
      <c r="D67" s="42">
        <v>45268.31</v>
      </c>
      <c r="E67" s="31" t="s">
        <v>73</v>
      </c>
      <c r="F67" s="32">
        <v>37027</v>
      </c>
      <c r="G67" s="31" t="s">
        <v>329</v>
      </c>
      <c r="H67" s="31">
        <v>0.69999984536643856</v>
      </c>
      <c r="I67" s="83"/>
      <c r="J67" s="83"/>
      <c r="K67" s="83"/>
      <c r="L67" s="83"/>
      <c r="M67" s="83"/>
      <c r="N67" s="83"/>
      <c r="O67" s="31"/>
      <c r="P67" s="31"/>
      <c r="Q67" s="31"/>
      <c r="R67" s="31"/>
      <c r="S67" s="31"/>
      <c r="T67" s="31"/>
      <c r="U67" s="117">
        <v>0</v>
      </c>
      <c r="V67" s="83">
        <f>+VENDIDOS[[#This Row],[Avalúo Total 2025]]-VENDIDOS[[#This Row],[Avalúo Diciembre 2024]]</f>
        <v>0</v>
      </c>
      <c r="W67" s="83">
        <f>+VENDIDOS[[#This Row],[Avalúo Afecto Dic-2025]]-VENDIDOS[[#This Row],[Avalúo Afecto Dic-2024]]</f>
        <v>0</v>
      </c>
      <c r="X67" s="83">
        <f>+VENDIDOS[[#This Row],[Avalúo Exento Dic-2025]]-VENDIDOS[[#This Row],[Avalúo Exento Dic-2024]]</f>
        <v>0</v>
      </c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</row>
    <row r="68" spans="1:48" x14ac:dyDescent="0.3">
      <c r="A68" s="30" t="s">
        <v>327</v>
      </c>
      <c r="B68" s="31" t="s">
        <v>80</v>
      </c>
      <c r="C68" s="31" t="s">
        <v>330</v>
      </c>
      <c r="D68" s="42">
        <v>301215.86</v>
      </c>
      <c r="E68" s="31" t="s">
        <v>73</v>
      </c>
      <c r="F68" s="32">
        <v>35580</v>
      </c>
      <c r="G68" s="31" t="s">
        <v>125</v>
      </c>
      <c r="H68" s="31">
        <v>0.49798174637949011</v>
      </c>
      <c r="I68" s="83"/>
      <c r="J68" s="83"/>
      <c r="K68" s="83"/>
      <c r="L68" s="83"/>
      <c r="M68" s="83"/>
      <c r="N68" s="83"/>
      <c r="O68" s="31"/>
      <c r="P68" s="31"/>
      <c r="Q68" s="31"/>
      <c r="R68" s="31"/>
      <c r="S68" s="31"/>
      <c r="T68" s="31"/>
      <c r="U68" s="117">
        <v>0</v>
      </c>
      <c r="V68" s="83">
        <f>+VENDIDOS[[#This Row],[Avalúo Total 2025]]-VENDIDOS[[#This Row],[Avalúo Diciembre 2024]]</f>
        <v>0</v>
      </c>
      <c r="W68" s="83">
        <f>+VENDIDOS[[#This Row],[Avalúo Afecto Dic-2025]]-VENDIDOS[[#This Row],[Avalúo Afecto Dic-2024]]</f>
        <v>0</v>
      </c>
      <c r="X68" s="83">
        <f>+VENDIDOS[[#This Row],[Avalúo Exento Dic-2025]]-VENDIDOS[[#This Row],[Avalúo Exento Dic-2024]]</f>
        <v>0</v>
      </c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</row>
    <row r="69" spans="1:48" x14ac:dyDescent="0.3">
      <c r="A69" s="30" t="s">
        <v>331</v>
      </c>
      <c r="B69" s="31" t="s">
        <v>80</v>
      </c>
      <c r="C69" s="31" t="s">
        <v>332</v>
      </c>
      <c r="D69" s="42">
        <v>25035.8</v>
      </c>
      <c r="E69" s="31" t="s">
        <v>73</v>
      </c>
      <c r="F69" s="32">
        <v>40046</v>
      </c>
      <c r="G69" s="31" t="s">
        <v>333</v>
      </c>
      <c r="H69" s="31">
        <v>0.57728572739641781</v>
      </c>
      <c r="I69" s="83"/>
      <c r="J69" s="83"/>
      <c r="K69" s="83"/>
      <c r="L69" s="83"/>
      <c r="M69" s="83"/>
      <c r="N69" s="83"/>
      <c r="O69" s="31"/>
      <c r="P69" s="31"/>
      <c r="Q69" s="31"/>
      <c r="R69" s="31"/>
      <c r="S69" s="31"/>
      <c r="T69" s="31"/>
      <c r="U69" s="117">
        <v>0</v>
      </c>
      <c r="V69" s="83">
        <f>+VENDIDOS[[#This Row],[Avalúo Total 2025]]-VENDIDOS[[#This Row],[Avalúo Diciembre 2024]]</f>
        <v>0</v>
      </c>
      <c r="W69" s="83">
        <f>+VENDIDOS[[#This Row],[Avalúo Afecto Dic-2025]]-VENDIDOS[[#This Row],[Avalúo Afecto Dic-2024]]</f>
        <v>0</v>
      </c>
      <c r="X69" s="83">
        <f>+VENDIDOS[[#This Row],[Avalúo Exento Dic-2025]]-VENDIDOS[[#This Row],[Avalúo Exento Dic-2024]]</f>
        <v>0</v>
      </c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</row>
    <row r="70" spans="1:48" x14ac:dyDescent="0.3">
      <c r="A70" s="30" t="s">
        <v>331</v>
      </c>
      <c r="B70" s="31" t="s">
        <v>80</v>
      </c>
      <c r="C70" s="31" t="s">
        <v>334</v>
      </c>
      <c r="D70" s="42">
        <v>5023</v>
      </c>
      <c r="E70" s="31" t="s">
        <v>73</v>
      </c>
      <c r="F70" s="32">
        <v>38456</v>
      </c>
      <c r="G70" s="31" t="s">
        <v>335</v>
      </c>
      <c r="H70" s="31">
        <v>0.54545454907425839</v>
      </c>
      <c r="I70" s="83"/>
      <c r="J70" s="83"/>
      <c r="K70" s="83"/>
      <c r="L70" s="83"/>
      <c r="M70" s="83"/>
      <c r="N70" s="83"/>
      <c r="O70" s="31"/>
      <c r="P70" s="31"/>
      <c r="Q70" s="31"/>
      <c r="R70" s="31"/>
      <c r="S70" s="31"/>
      <c r="T70" s="31"/>
      <c r="U70" s="117">
        <v>0</v>
      </c>
      <c r="V70" s="83">
        <f>+VENDIDOS[[#This Row],[Avalúo Total 2025]]-VENDIDOS[[#This Row],[Avalúo Diciembre 2024]]</f>
        <v>0</v>
      </c>
      <c r="W70" s="83">
        <f>+VENDIDOS[[#This Row],[Avalúo Afecto Dic-2025]]-VENDIDOS[[#This Row],[Avalúo Afecto Dic-2024]]</f>
        <v>0</v>
      </c>
      <c r="X70" s="83">
        <f>+VENDIDOS[[#This Row],[Avalúo Exento Dic-2025]]-VENDIDOS[[#This Row],[Avalúo Exento Dic-2024]]</f>
        <v>0</v>
      </c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</row>
    <row r="71" spans="1:48" x14ac:dyDescent="0.3">
      <c r="A71" s="30" t="s">
        <v>336</v>
      </c>
      <c r="B71" s="31" t="s">
        <v>71</v>
      </c>
      <c r="C71" s="31" t="s">
        <v>337</v>
      </c>
      <c r="D71" s="42">
        <v>17163</v>
      </c>
      <c r="E71" s="31" t="s">
        <v>73</v>
      </c>
      <c r="F71" s="32">
        <v>43171</v>
      </c>
      <c r="G71" s="31" t="s">
        <v>311</v>
      </c>
      <c r="H71" s="31">
        <v>0.72819437161335432</v>
      </c>
      <c r="I71" s="83"/>
      <c r="J71" s="83"/>
      <c r="K71" s="83"/>
      <c r="L71" s="83"/>
      <c r="M71" s="83"/>
      <c r="N71" s="83"/>
      <c r="O71" s="31"/>
      <c r="P71" s="31"/>
      <c r="Q71" s="31"/>
      <c r="R71" s="31"/>
      <c r="S71" s="31"/>
      <c r="T71" s="31"/>
      <c r="U71" s="117">
        <v>0</v>
      </c>
      <c r="V71" s="83">
        <f>+VENDIDOS[[#This Row],[Avalúo Total 2025]]-VENDIDOS[[#This Row],[Avalúo Diciembre 2024]]</f>
        <v>0</v>
      </c>
      <c r="W71" s="83">
        <f>+VENDIDOS[[#This Row],[Avalúo Afecto Dic-2025]]-VENDIDOS[[#This Row],[Avalúo Afecto Dic-2024]]</f>
        <v>0</v>
      </c>
      <c r="X71" s="83">
        <f>+VENDIDOS[[#This Row],[Avalúo Exento Dic-2025]]-VENDIDOS[[#This Row],[Avalúo Exento Dic-2024]]</f>
        <v>0</v>
      </c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</row>
    <row r="72" spans="1:48" x14ac:dyDescent="0.3">
      <c r="A72" s="30" t="s">
        <v>336</v>
      </c>
      <c r="B72" s="31" t="s">
        <v>71</v>
      </c>
      <c r="C72" s="31" t="s">
        <v>338</v>
      </c>
      <c r="D72" s="42">
        <v>22438</v>
      </c>
      <c r="E72" s="31" t="s">
        <v>73</v>
      </c>
      <c r="F72" s="32">
        <v>43171</v>
      </c>
      <c r="G72" s="31" t="s">
        <v>311</v>
      </c>
      <c r="H72" s="31">
        <v>0.42356716284873874</v>
      </c>
      <c r="I72" s="83"/>
      <c r="J72" s="83"/>
      <c r="K72" s="83"/>
      <c r="L72" s="83"/>
      <c r="M72" s="83"/>
      <c r="N72" s="83"/>
      <c r="O72" s="31"/>
      <c r="P72" s="31"/>
      <c r="Q72" s="31"/>
      <c r="R72" s="31"/>
      <c r="S72" s="31"/>
      <c r="T72" s="31"/>
      <c r="U72" s="117">
        <v>0</v>
      </c>
      <c r="V72" s="83">
        <f>+VENDIDOS[[#This Row],[Avalúo Total 2025]]-VENDIDOS[[#This Row],[Avalúo Diciembre 2024]]</f>
        <v>0</v>
      </c>
      <c r="W72" s="83">
        <f>+VENDIDOS[[#This Row],[Avalúo Afecto Dic-2025]]-VENDIDOS[[#This Row],[Avalúo Afecto Dic-2024]]</f>
        <v>0</v>
      </c>
      <c r="X72" s="83">
        <f>+VENDIDOS[[#This Row],[Avalúo Exento Dic-2025]]-VENDIDOS[[#This Row],[Avalúo Exento Dic-2024]]</f>
        <v>0</v>
      </c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</row>
    <row r="73" spans="1:48" x14ac:dyDescent="0.3">
      <c r="A73" s="30" t="s">
        <v>336</v>
      </c>
      <c r="B73" s="31" t="s">
        <v>80</v>
      </c>
      <c r="C73" s="31" t="s">
        <v>339</v>
      </c>
      <c r="D73" s="42">
        <v>4510</v>
      </c>
      <c r="E73" s="31" t="s">
        <v>73</v>
      </c>
      <c r="F73" s="32">
        <v>44133</v>
      </c>
      <c r="G73" s="31" t="s">
        <v>340</v>
      </c>
      <c r="H73" s="31">
        <v>4</v>
      </c>
      <c r="I73" s="83"/>
      <c r="J73" s="83"/>
      <c r="K73" s="83"/>
      <c r="L73" s="83"/>
      <c r="M73" s="83"/>
      <c r="N73" s="83"/>
      <c r="O73" s="31"/>
      <c r="P73" s="31"/>
      <c r="Q73" s="31"/>
      <c r="R73" s="31"/>
      <c r="S73" s="31"/>
      <c r="T73" s="31"/>
      <c r="U73" s="117">
        <v>0</v>
      </c>
      <c r="V73" s="83">
        <f>+VENDIDOS[[#This Row],[Avalúo Total 2025]]-VENDIDOS[[#This Row],[Avalúo Diciembre 2024]]</f>
        <v>0</v>
      </c>
      <c r="W73" s="83">
        <f>+VENDIDOS[[#This Row],[Avalúo Afecto Dic-2025]]-VENDIDOS[[#This Row],[Avalúo Afecto Dic-2024]]</f>
        <v>0</v>
      </c>
      <c r="X73" s="83">
        <f>+VENDIDOS[[#This Row],[Avalúo Exento Dic-2025]]-VENDIDOS[[#This Row],[Avalúo Exento Dic-2024]]</f>
        <v>0</v>
      </c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</row>
    <row r="74" spans="1:48" x14ac:dyDescent="0.3">
      <c r="A74" s="30" t="s">
        <v>341</v>
      </c>
      <c r="B74" s="31" t="s">
        <v>80</v>
      </c>
      <c r="C74" s="31" t="s">
        <v>342</v>
      </c>
      <c r="D74" s="42">
        <v>15354.64</v>
      </c>
      <c r="E74" s="31" t="s">
        <v>73</v>
      </c>
      <c r="F74" s="32">
        <v>39308</v>
      </c>
      <c r="G74" s="31" t="s">
        <v>343</v>
      </c>
      <c r="H74" s="31">
        <v>4</v>
      </c>
      <c r="I74" s="83"/>
      <c r="J74" s="83"/>
      <c r="K74" s="83"/>
      <c r="L74" s="83"/>
      <c r="M74" s="83"/>
      <c r="N74" s="83"/>
      <c r="O74" s="31"/>
      <c r="P74" s="31"/>
      <c r="Q74" s="31"/>
      <c r="R74" s="31"/>
      <c r="S74" s="31"/>
      <c r="T74" s="31"/>
      <c r="U74" s="117">
        <v>0</v>
      </c>
      <c r="V74" s="83">
        <f>+VENDIDOS[[#This Row],[Avalúo Total 2025]]-VENDIDOS[[#This Row],[Avalúo Diciembre 2024]]</f>
        <v>0</v>
      </c>
      <c r="W74" s="83">
        <f>+VENDIDOS[[#This Row],[Avalúo Afecto Dic-2025]]-VENDIDOS[[#This Row],[Avalúo Afecto Dic-2024]]</f>
        <v>0</v>
      </c>
      <c r="X74" s="83">
        <f>+VENDIDOS[[#This Row],[Avalúo Exento Dic-2025]]-VENDIDOS[[#This Row],[Avalúo Exento Dic-2024]]</f>
        <v>0</v>
      </c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</row>
    <row r="75" spans="1:48" x14ac:dyDescent="0.3">
      <c r="A75" s="30" t="s">
        <v>341</v>
      </c>
      <c r="B75" s="31" t="s">
        <v>80</v>
      </c>
      <c r="C75" s="31" t="s">
        <v>344</v>
      </c>
      <c r="D75" s="42">
        <v>13847.23</v>
      </c>
      <c r="E75" s="31" t="s">
        <v>73</v>
      </c>
      <c r="F75" s="32">
        <v>40127</v>
      </c>
      <c r="G75" s="31" t="s">
        <v>345</v>
      </c>
      <c r="H75" s="31">
        <v>1.9499928866639755</v>
      </c>
      <c r="I75" s="83"/>
      <c r="J75" s="83"/>
      <c r="K75" s="83"/>
      <c r="L75" s="83"/>
      <c r="M75" s="83"/>
      <c r="N75" s="83"/>
      <c r="O75" s="31"/>
      <c r="P75" s="31"/>
      <c r="Q75" s="31"/>
      <c r="R75" s="31"/>
      <c r="S75" s="31"/>
      <c r="T75" s="31"/>
      <c r="U75" s="117">
        <v>0</v>
      </c>
      <c r="V75" s="83">
        <f>+VENDIDOS[[#This Row],[Avalúo Total 2025]]-VENDIDOS[[#This Row],[Avalúo Diciembre 2024]]</f>
        <v>0</v>
      </c>
      <c r="W75" s="83">
        <f>+VENDIDOS[[#This Row],[Avalúo Afecto Dic-2025]]-VENDIDOS[[#This Row],[Avalúo Afecto Dic-2024]]</f>
        <v>0</v>
      </c>
      <c r="X75" s="83">
        <f>+VENDIDOS[[#This Row],[Avalúo Exento Dic-2025]]-VENDIDOS[[#This Row],[Avalúo Exento Dic-2024]]</f>
        <v>0</v>
      </c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</row>
    <row r="76" spans="1:48" x14ac:dyDescent="0.3">
      <c r="A76" s="30" t="s">
        <v>341</v>
      </c>
      <c r="B76" s="31" t="s">
        <v>80</v>
      </c>
      <c r="C76" s="31" t="s">
        <v>346</v>
      </c>
      <c r="D76" s="42">
        <v>23997</v>
      </c>
      <c r="E76" s="31" t="s">
        <v>73</v>
      </c>
      <c r="F76" s="32">
        <v>38639</v>
      </c>
      <c r="G76" s="31" t="s">
        <v>347</v>
      </c>
      <c r="H76" s="31">
        <v>1.0657503021210986</v>
      </c>
      <c r="I76" s="83"/>
      <c r="J76" s="83"/>
      <c r="K76" s="83"/>
      <c r="L76" s="83"/>
      <c r="M76" s="83"/>
      <c r="N76" s="83"/>
      <c r="O76" s="31"/>
      <c r="P76" s="31"/>
      <c r="Q76" s="31"/>
      <c r="R76" s="31"/>
      <c r="S76" s="31"/>
      <c r="T76" s="31"/>
      <c r="U76" s="117">
        <v>0</v>
      </c>
      <c r="V76" s="83">
        <f>+VENDIDOS[[#This Row],[Avalúo Total 2025]]-VENDIDOS[[#This Row],[Avalúo Diciembre 2024]]</f>
        <v>0</v>
      </c>
      <c r="W76" s="83">
        <f>+VENDIDOS[[#This Row],[Avalúo Afecto Dic-2025]]-VENDIDOS[[#This Row],[Avalúo Afecto Dic-2024]]</f>
        <v>0</v>
      </c>
      <c r="X76" s="83">
        <f>+VENDIDOS[[#This Row],[Avalúo Exento Dic-2025]]-VENDIDOS[[#This Row],[Avalúo Exento Dic-2024]]</f>
        <v>0</v>
      </c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</row>
    <row r="77" spans="1:48" x14ac:dyDescent="0.3">
      <c r="A77" s="30" t="s">
        <v>341</v>
      </c>
      <c r="B77" s="31" t="s">
        <v>80</v>
      </c>
      <c r="C77" s="31" t="s">
        <v>348</v>
      </c>
      <c r="D77" s="42">
        <v>68550.820000000007</v>
      </c>
      <c r="E77" s="31" t="s">
        <v>73</v>
      </c>
      <c r="F77" s="32">
        <v>40088</v>
      </c>
      <c r="G77" s="31" t="s">
        <v>349</v>
      </c>
      <c r="H77" s="31">
        <v>1.0211402285195128</v>
      </c>
      <c r="I77" s="83"/>
      <c r="J77" s="83"/>
      <c r="K77" s="83"/>
      <c r="L77" s="83"/>
      <c r="M77" s="83"/>
      <c r="N77" s="83"/>
      <c r="O77" s="31"/>
      <c r="P77" s="31"/>
      <c r="Q77" s="31"/>
      <c r="R77" s="31"/>
      <c r="S77" s="31"/>
      <c r="T77" s="31"/>
      <c r="U77" s="117">
        <v>0</v>
      </c>
      <c r="V77" s="83">
        <f>+VENDIDOS[[#This Row],[Avalúo Total 2025]]-VENDIDOS[[#This Row],[Avalúo Diciembre 2024]]</f>
        <v>0</v>
      </c>
      <c r="W77" s="83">
        <f>+VENDIDOS[[#This Row],[Avalúo Afecto Dic-2025]]-VENDIDOS[[#This Row],[Avalúo Afecto Dic-2024]]</f>
        <v>0</v>
      </c>
      <c r="X77" s="83">
        <f>+VENDIDOS[[#This Row],[Avalúo Exento Dic-2025]]-VENDIDOS[[#This Row],[Avalúo Exento Dic-2024]]</f>
        <v>0</v>
      </c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 spans="1:48" x14ac:dyDescent="0.3">
      <c r="A78" s="30" t="s">
        <v>341</v>
      </c>
      <c r="B78" s="31" t="s">
        <v>80</v>
      </c>
      <c r="C78" s="31" t="s">
        <v>350</v>
      </c>
      <c r="D78" s="42">
        <v>28473.97</v>
      </c>
      <c r="E78" s="31" t="s">
        <v>73</v>
      </c>
      <c r="F78" s="32">
        <v>39014</v>
      </c>
      <c r="G78" s="31" t="s">
        <v>351</v>
      </c>
      <c r="H78" s="31">
        <v>0.96361483839450546</v>
      </c>
      <c r="I78" s="83"/>
      <c r="J78" s="83"/>
      <c r="K78" s="83"/>
      <c r="L78" s="83"/>
      <c r="M78" s="83"/>
      <c r="N78" s="83"/>
      <c r="O78" s="31"/>
      <c r="P78" s="31"/>
      <c r="Q78" s="31"/>
      <c r="R78" s="31"/>
      <c r="S78" s="31"/>
      <c r="T78" s="31"/>
      <c r="U78" s="117">
        <v>0</v>
      </c>
      <c r="V78" s="83">
        <f>+VENDIDOS[[#This Row],[Avalúo Total 2025]]-VENDIDOS[[#This Row],[Avalúo Diciembre 2024]]</f>
        <v>0</v>
      </c>
      <c r="W78" s="83">
        <f>+VENDIDOS[[#This Row],[Avalúo Afecto Dic-2025]]-VENDIDOS[[#This Row],[Avalúo Afecto Dic-2024]]</f>
        <v>0</v>
      </c>
      <c r="X78" s="83">
        <f>+VENDIDOS[[#This Row],[Avalúo Exento Dic-2025]]-VENDIDOS[[#This Row],[Avalúo Exento Dic-2024]]</f>
        <v>0</v>
      </c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</row>
    <row r="79" spans="1:48" x14ac:dyDescent="0.3">
      <c r="A79" s="30" t="s">
        <v>341</v>
      </c>
      <c r="B79" s="31" t="s">
        <v>80</v>
      </c>
      <c r="C79" s="31" t="s">
        <v>352</v>
      </c>
      <c r="D79" s="42">
        <v>24412.42</v>
      </c>
      <c r="E79" s="31" t="s">
        <v>73</v>
      </c>
      <c r="F79" s="32">
        <v>39014</v>
      </c>
      <c r="G79" s="31" t="s">
        <v>351</v>
      </c>
      <c r="H79" s="31">
        <v>0.96361483212233767</v>
      </c>
      <c r="I79" s="83"/>
      <c r="J79" s="83"/>
      <c r="K79" s="83"/>
      <c r="L79" s="83"/>
      <c r="M79" s="83"/>
      <c r="N79" s="83"/>
      <c r="O79" s="31"/>
      <c r="P79" s="31"/>
      <c r="Q79" s="31"/>
      <c r="R79" s="31"/>
      <c r="S79" s="31"/>
      <c r="T79" s="31"/>
      <c r="U79" s="117">
        <v>0</v>
      </c>
      <c r="V79" s="83">
        <f>+VENDIDOS[[#This Row],[Avalúo Total 2025]]-VENDIDOS[[#This Row],[Avalúo Diciembre 2024]]</f>
        <v>0</v>
      </c>
      <c r="W79" s="83">
        <f>+VENDIDOS[[#This Row],[Avalúo Afecto Dic-2025]]-VENDIDOS[[#This Row],[Avalúo Afecto Dic-2024]]</f>
        <v>0</v>
      </c>
      <c r="X79" s="83">
        <f>+VENDIDOS[[#This Row],[Avalúo Exento Dic-2025]]-VENDIDOS[[#This Row],[Avalúo Exento Dic-2024]]</f>
        <v>0</v>
      </c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</row>
    <row r="80" spans="1:48" x14ac:dyDescent="0.3">
      <c r="A80" s="30" t="s">
        <v>341</v>
      </c>
      <c r="B80" s="31" t="s">
        <v>80</v>
      </c>
      <c r="C80" s="31" t="s">
        <v>353</v>
      </c>
      <c r="D80" s="42">
        <v>9001.1299999999992</v>
      </c>
      <c r="E80" s="31" t="s">
        <v>73</v>
      </c>
      <c r="F80" s="32">
        <v>38030</v>
      </c>
      <c r="G80" s="31" t="s">
        <v>329</v>
      </c>
      <c r="H80" s="31">
        <v>0.84000008887772981</v>
      </c>
      <c r="I80" s="83"/>
      <c r="J80" s="83"/>
      <c r="K80" s="83"/>
      <c r="L80" s="83"/>
      <c r="M80" s="83"/>
      <c r="N80" s="83"/>
      <c r="O80" s="31"/>
      <c r="P80" s="31"/>
      <c r="Q80" s="31"/>
      <c r="R80" s="31"/>
      <c r="S80" s="31"/>
      <c r="T80" s="31"/>
      <c r="U80" s="117">
        <v>0</v>
      </c>
      <c r="V80" s="83">
        <f>+VENDIDOS[[#This Row],[Avalúo Total 2025]]-VENDIDOS[[#This Row],[Avalúo Diciembre 2024]]</f>
        <v>0</v>
      </c>
      <c r="W80" s="83">
        <f>+VENDIDOS[[#This Row],[Avalúo Afecto Dic-2025]]-VENDIDOS[[#This Row],[Avalúo Afecto Dic-2024]]</f>
        <v>0</v>
      </c>
      <c r="X80" s="83">
        <f>+VENDIDOS[[#This Row],[Avalúo Exento Dic-2025]]-VENDIDOS[[#This Row],[Avalúo Exento Dic-2024]]</f>
        <v>0</v>
      </c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</row>
    <row r="81" spans="1:48" x14ac:dyDescent="0.3">
      <c r="A81" s="30" t="s">
        <v>341</v>
      </c>
      <c r="B81" s="31" t="s">
        <v>80</v>
      </c>
      <c r="C81" s="31" t="s">
        <v>354</v>
      </c>
      <c r="D81" s="42">
        <v>74156.44</v>
      </c>
      <c r="E81" s="31" t="s">
        <v>73</v>
      </c>
      <c r="F81" s="32">
        <v>38516</v>
      </c>
      <c r="G81" s="31" t="s">
        <v>329</v>
      </c>
      <c r="H81" s="31">
        <v>0.84000000539400221</v>
      </c>
      <c r="I81" s="83"/>
      <c r="J81" s="83"/>
      <c r="K81" s="83"/>
      <c r="L81" s="83"/>
      <c r="M81" s="83"/>
      <c r="N81" s="83"/>
      <c r="O81" s="31"/>
      <c r="P81" s="31"/>
      <c r="Q81" s="31"/>
      <c r="R81" s="31"/>
      <c r="S81" s="31"/>
      <c r="T81" s="31"/>
      <c r="U81" s="117">
        <v>0</v>
      </c>
      <c r="V81" s="83">
        <f>+VENDIDOS[[#This Row],[Avalúo Total 2025]]-VENDIDOS[[#This Row],[Avalúo Diciembre 2024]]</f>
        <v>0</v>
      </c>
      <c r="W81" s="83">
        <f>+VENDIDOS[[#This Row],[Avalúo Afecto Dic-2025]]-VENDIDOS[[#This Row],[Avalúo Afecto Dic-2024]]</f>
        <v>0</v>
      </c>
      <c r="X81" s="83">
        <f>+VENDIDOS[[#This Row],[Avalúo Exento Dic-2025]]-VENDIDOS[[#This Row],[Avalúo Exento Dic-2024]]</f>
        <v>0</v>
      </c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</row>
    <row r="82" spans="1:48" x14ac:dyDescent="0.3">
      <c r="A82" s="30" t="s">
        <v>341</v>
      </c>
      <c r="B82" s="31" t="s">
        <v>80</v>
      </c>
      <c r="C82" s="31" t="s">
        <v>355</v>
      </c>
      <c r="D82" s="42">
        <v>68233.62</v>
      </c>
      <c r="E82" s="31" t="s">
        <v>73</v>
      </c>
      <c r="F82" s="32">
        <v>38865</v>
      </c>
      <c r="G82" s="31" t="s">
        <v>329</v>
      </c>
      <c r="H82" s="31">
        <v>0.83999998827557443</v>
      </c>
      <c r="I82" s="83"/>
      <c r="J82" s="83"/>
      <c r="K82" s="83"/>
      <c r="L82" s="83"/>
      <c r="M82" s="83"/>
      <c r="N82" s="83"/>
      <c r="O82" s="31"/>
      <c r="P82" s="31"/>
      <c r="Q82" s="31"/>
      <c r="R82" s="31"/>
      <c r="S82" s="31"/>
      <c r="T82" s="31"/>
      <c r="U82" s="117">
        <v>0</v>
      </c>
      <c r="V82" s="83">
        <f>+VENDIDOS[[#This Row],[Avalúo Total 2025]]-VENDIDOS[[#This Row],[Avalúo Diciembre 2024]]</f>
        <v>0</v>
      </c>
      <c r="W82" s="83">
        <f>+VENDIDOS[[#This Row],[Avalúo Afecto Dic-2025]]-VENDIDOS[[#This Row],[Avalúo Afecto Dic-2024]]</f>
        <v>0</v>
      </c>
      <c r="X82" s="83">
        <f>+VENDIDOS[[#This Row],[Avalúo Exento Dic-2025]]-VENDIDOS[[#This Row],[Avalúo Exento Dic-2024]]</f>
        <v>0</v>
      </c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</row>
    <row r="83" spans="1:48" x14ac:dyDescent="0.3">
      <c r="A83" s="30" t="s">
        <v>341</v>
      </c>
      <c r="B83" s="31" t="s">
        <v>80</v>
      </c>
      <c r="C83" s="31" t="s">
        <v>356</v>
      </c>
      <c r="D83" s="42">
        <v>7437.05</v>
      </c>
      <c r="E83" s="31" t="s">
        <v>73</v>
      </c>
      <c r="F83" s="32">
        <v>38030</v>
      </c>
      <c r="G83" s="31" t="s">
        <v>329</v>
      </c>
      <c r="H83" s="31">
        <v>0.83999973107616588</v>
      </c>
      <c r="I83" s="83"/>
      <c r="J83" s="83"/>
      <c r="K83" s="83"/>
      <c r="L83" s="83"/>
      <c r="M83" s="83"/>
      <c r="N83" s="83"/>
      <c r="O83" s="31"/>
      <c r="P83" s="31"/>
      <c r="Q83" s="31"/>
      <c r="R83" s="31"/>
      <c r="S83" s="31"/>
      <c r="T83" s="31"/>
      <c r="U83" s="117">
        <v>0</v>
      </c>
      <c r="V83" s="83">
        <f>+VENDIDOS[[#This Row],[Avalúo Total 2025]]-VENDIDOS[[#This Row],[Avalúo Diciembre 2024]]</f>
        <v>0</v>
      </c>
      <c r="W83" s="83">
        <f>+VENDIDOS[[#This Row],[Avalúo Afecto Dic-2025]]-VENDIDOS[[#This Row],[Avalúo Afecto Dic-2024]]</f>
        <v>0</v>
      </c>
      <c r="X83" s="83">
        <f>+VENDIDOS[[#This Row],[Avalúo Exento Dic-2025]]-VENDIDOS[[#This Row],[Avalúo Exento Dic-2024]]</f>
        <v>0</v>
      </c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</row>
    <row r="84" spans="1:48" x14ac:dyDescent="0.3">
      <c r="A84" s="30" t="s">
        <v>341</v>
      </c>
      <c r="B84" s="31" t="s">
        <v>80</v>
      </c>
      <c r="C84" s="31" t="s">
        <v>357</v>
      </c>
      <c r="D84" s="42">
        <v>83534.820000000007</v>
      </c>
      <c r="E84" s="31" t="s">
        <v>73</v>
      </c>
      <c r="F84" s="32">
        <v>38441</v>
      </c>
      <c r="G84" s="31" t="s">
        <v>358</v>
      </c>
      <c r="H84" s="31">
        <v>0.83000118992295657</v>
      </c>
      <c r="I84" s="83"/>
      <c r="J84" s="83"/>
      <c r="K84" s="83"/>
      <c r="L84" s="83"/>
      <c r="M84" s="83"/>
      <c r="N84" s="83"/>
      <c r="O84" s="31"/>
      <c r="P84" s="31"/>
      <c r="Q84" s="31"/>
      <c r="R84" s="31"/>
      <c r="S84" s="31"/>
      <c r="T84" s="31"/>
      <c r="U84" s="117">
        <v>0</v>
      </c>
      <c r="V84" s="83">
        <f>+VENDIDOS[[#This Row],[Avalúo Total 2025]]-VENDIDOS[[#This Row],[Avalúo Diciembre 2024]]</f>
        <v>0</v>
      </c>
      <c r="W84" s="83">
        <f>+VENDIDOS[[#This Row],[Avalúo Afecto Dic-2025]]-VENDIDOS[[#This Row],[Avalúo Afecto Dic-2024]]</f>
        <v>0</v>
      </c>
      <c r="X84" s="83">
        <f>+VENDIDOS[[#This Row],[Avalúo Exento Dic-2025]]-VENDIDOS[[#This Row],[Avalúo Exento Dic-2024]]</f>
        <v>0</v>
      </c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</row>
    <row r="85" spans="1:48" x14ac:dyDescent="0.3">
      <c r="A85" s="30" t="s">
        <v>341</v>
      </c>
      <c r="B85" s="31" t="s">
        <v>80</v>
      </c>
      <c r="C85" s="31" t="s">
        <v>359</v>
      </c>
      <c r="D85" s="42">
        <v>40676.75</v>
      </c>
      <c r="E85" s="31" t="s">
        <v>73</v>
      </c>
      <c r="F85" s="32">
        <v>39967</v>
      </c>
      <c r="G85" s="31" t="s">
        <v>360</v>
      </c>
      <c r="H85" s="31">
        <v>0.79996558230438763</v>
      </c>
      <c r="I85" s="83"/>
      <c r="J85" s="83"/>
      <c r="K85" s="83"/>
      <c r="L85" s="83"/>
      <c r="M85" s="83"/>
      <c r="N85" s="83"/>
      <c r="O85" s="31"/>
      <c r="P85" s="31"/>
      <c r="Q85" s="31"/>
      <c r="R85" s="31"/>
      <c r="S85" s="31"/>
      <c r="T85" s="31"/>
      <c r="U85" s="117">
        <v>0</v>
      </c>
      <c r="V85" s="83">
        <f>+VENDIDOS[[#This Row],[Avalúo Total 2025]]-VENDIDOS[[#This Row],[Avalúo Diciembre 2024]]</f>
        <v>0</v>
      </c>
      <c r="W85" s="83">
        <f>+VENDIDOS[[#This Row],[Avalúo Afecto Dic-2025]]-VENDIDOS[[#This Row],[Avalúo Afecto Dic-2024]]</f>
        <v>0</v>
      </c>
      <c r="X85" s="83">
        <f>+VENDIDOS[[#This Row],[Avalúo Exento Dic-2025]]-VENDIDOS[[#This Row],[Avalúo Exento Dic-2024]]</f>
        <v>0</v>
      </c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</row>
    <row r="86" spans="1:48" x14ac:dyDescent="0.3">
      <c r="A86" s="30" t="s">
        <v>341</v>
      </c>
      <c r="B86" s="31" t="s">
        <v>80</v>
      </c>
      <c r="C86" s="31" t="s">
        <v>361</v>
      </c>
      <c r="D86" s="42">
        <v>150012.97</v>
      </c>
      <c r="E86" s="31" t="s">
        <v>73</v>
      </c>
      <c r="F86" s="32">
        <v>38569</v>
      </c>
      <c r="G86" s="31" t="s">
        <v>362</v>
      </c>
      <c r="H86" s="31">
        <v>0.68764308979416922</v>
      </c>
      <c r="I86" s="83"/>
      <c r="J86" s="83"/>
      <c r="K86" s="83"/>
      <c r="L86" s="83"/>
      <c r="M86" s="83"/>
      <c r="N86" s="83"/>
      <c r="O86" s="31"/>
      <c r="P86" s="31"/>
      <c r="Q86" s="31"/>
      <c r="R86" s="31"/>
      <c r="S86" s="31"/>
      <c r="T86" s="31"/>
      <c r="U86" s="117">
        <v>0</v>
      </c>
      <c r="V86" s="83">
        <f>+VENDIDOS[[#This Row],[Avalúo Total 2025]]-VENDIDOS[[#This Row],[Avalúo Diciembre 2024]]</f>
        <v>0</v>
      </c>
      <c r="W86" s="83">
        <f>+VENDIDOS[[#This Row],[Avalúo Afecto Dic-2025]]-VENDIDOS[[#This Row],[Avalúo Afecto Dic-2024]]</f>
        <v>0</v>
      </c>
      <c r="X86" s="83">
        <f>+VENDIDOS[[#This Row],[Avalúo Exento Dic-2025]]-VENDIDOS[[#This Row],[Avalúo Exento Dic-2024]]</f>
        <v>0</v>
      </c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</row>
    <row r="87" spans="1:48" x14ac:dyDescent="0.3">
      <c r="A87" s="30" t="s">
        <v>341</v>
      </c>
      <c r="B87" s="31" t="s">
        <v>80</v>
      </c>
      <c r="C87" s="31" t="s">
        <v>363</v>
      </c>
      <c r="D87" s="42">
        <v>93831.29</v>
      </c>
      <c r="E87" s="31" t="s">
        <v>73</v>
      </c>
      <c r="F87" s="32">
        <v>38569</v>
      </c>
      <c r="G87" s="31" t="s">
        <v>362</v>
      </c>
      <c r="H87" s="31">
        <v>0.67519753165495222</v>
      </c>
      <c r="I87" s="83"/>
      <c r="J87" s="83"/>
      <c r="K87" s="83"/>
      <c r="L87" s="83"/>
      <c r="M87" s="83"/>
      <c r="N87" s="83"/>
      <c r="O87" s="31"/>
      <c r="P87" s="31"/>
      <c r="Q87" s="31"/>
      <c r="R87" s="31"/>
      <c r="S87" s="31"/>
      <c r="T87" s="31"/>
      <c r="U87" s="117">
        <v>0</v>
      </c>
      <c r="V87" s="83">
        <f>+VENDIDOS[[#This Row],[Avalúo Total 2025]]-VENDIDOS[[#This Row],[Avalúo Diciembre 2024]]</f>
        <v>0</v>
      </c>
      <c r="W87" s="83">
        <f>+VENDIDOS[[#This Row],[Avalúo Afecto Dic-2025]]-VENDIDOS[[#This Row],[Avalúo Afecto Dic-2024]]</f>
        <v>0</v>
      </c>
      <c r="X87" s="83">
        <f>+VENDIDOS[[#This Row],[Avalúo Exento Dic-2025]]-VENDIDOS[[#This Row],[Avalúo Exento Dic-2024]]</f>
        <v>0</v>
      </c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</row>
    <row r="88" spans="1:48" x14ac:dyDescent="0.3">
      <c r="A88" s="30" t="s">
        <v>341</v>
      </c>
      <c r="B88" s="31" t="s">
        <v>80</v>
      </c>
      <c r="C88" s="31" t="s">
        <v>364</v>
      </c>
      <c r="D88" s="42">
        <v>49838.27</v>
      </c>
      <c r="E88" s="31" t="s">
        <v>73</v>
      </c>
      <c r="F88" s="32">
        <v>38569</v>
      </c>
      <c r="G88" s="31" t="s">
        <v>362</v>
      </c>
      <c r="H88" s="31">
        <v>0.66</v>
      </c>
      <c r="I88" s="83"/>
      <c r="J88" s="83"/>
      <c r="K88" s="83"/>
      <c r="L88" s="83"/>
      <c r="M88" s="83"/>
      <c r="N88" s="83"/>
      <c r="O88" s="31"/>
      <c r="P88" s="31"/>
      <c r="Q88" s="31"/>
      <c r="R88" s="31"/>
      <c r="S88" s="31"/>
      <c r="T88" s="31"/>
      <c r="U88" s="117">
        <v>0</v>
      </c>
      <c r="V88" s="83">
        <f>+VENDIDOS[[#This Row],[Avalúo Total 2025]]-VENDIDOS[[#This Row],[Avalúo Diciembre 2024]]</f>
        <v>0</v>
      </c>
      <c r="W88" s="83">
        <f>+VENDIDOS[[#This Row],[Avalúo Afecto Dic-2025]]-VENDIDOS[[#This Row],[Avalúo Afecto Dic-2024]]</f>
        <v>0</v>
      </c>
      <c r="X88" s="83">
        <f>+VENDIDOS[[#This Row],[Avalúo Exento Dic-2025]]-VENDIDOS[[#This Row],[Avalúo Exento Dic-2024]]</f>
        <v>0</v>
      </c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</row>
    <row r="89" spans="1:48" x14ac:dyDescent="0.3">
      <c r="A89" s="30" t="s">
        <v>341</v>
      </c>
      <c r="B89" s="31" t="s">
        <v>80</v>
      </c>
      <c r="C89" s="31" t="s">
        <v>365</v>
      </c>
      <c r="D89" s="42">
        <v>178792.29</v>
      </c>
      <c r="E89" s="31" t="s">
        <v>73</v>
      </c>
      <c r="F89" s="32">
        <v>37676</v>
      </c>
      <c r="G89" s="31" t="s">
        <v>366</v>
      </c>
      <c r="H89" s="31">
        <v>0.63205807140788894</v>
      </c>
      <c r="I89" s="83"/>
      <c r="J89" s="83"/>
      <c r="K89" s="83"/>
      <c r="L89" s="83"/>
      <c r="M89" s="83"/>
      <c r="N89" s="83"/>
      <c r="O89" s="31"/>
      <c r="P89" s="31"/>
      <c r="Q89" s="31"/>
      <c r="R89" s="31"/>
      <c r="S89" s="31"/>
      <c r="T89" s="31"/>
      <c r="U89" s="117">
        <v>0</v>
      </c>
      <c r="V89" s="83">
        <f>+VENDIDOS[[#This Row],[Avalúo Total 2025]]-VENDIDOS[[#This Row],[Avalúo Diciembre 2024]]</f>
        <v>0</v>
      </c>
      <c r="W89" s="83">
        <f>+VENDIDOS[[#This Row],[Avalúo Afecto Dic-2025]]-VENDIDOS[[#This Row],[Avalúo Afecto Dic-2024]]</f>
        <v>0</v>
      </c>
      <c r="X89" s="83">
        <f>+VENDIDOS[[#This Row],[Avalúo Exento Dic-2025]]-VENDIDOS[[#This Row],[Avalúo Exento Dic-2024]]</f>
        <v>0</v>
      </c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</row>
    <row r="90" spans="1:48" x14ac:dyDescent="0.3">
      <c r="A90" s="30" t="s">
        <v>341</v>
      </c>
      <c r="B90" s="31" t="s">
        <v>80</v>
      </c>
      <c r="C90" s="31" t="s">
        <v>367</v>
      </c>
      <c r="D90" s="42">
        <v>147975.26</v>
      </c>
      <c r="E90" s="31" t="s">
        <v>73</v>
      </c>
      <c r="F90" s="32">
        <v>37676</v>
      </c>
      <c r="G90" s="31" t="s">
        <v>366</v>
      </c>
      <c r="H90" s="31">
        <v>0.56800001567829639</v>
      </c>
      <c r="I90" s="83"/>
      <c r="J90" s="83"/>
      <c r="K90" s="83"/>
      <c r="L90" s="83"/>
      <c r="M90" s="83"/>
      <c r="N90" s="83"/>
      <c r="O90" s="31"/>
      <c r="P90" s="31"/>
      <c r="Q90" s="31"/>
      <c r="R90" s="31"/>
      <c r="S90" s="31"/>
      <c r="T90" s="31"/>
      <c r="U90" s="117">
        <v>0</v>
      </c>
      <c r="V90" s="83">
        <f>+VENDIDOS[[#This Row],[Avalúo Total 2025]]-VENDIDOS[[#This Row],[Avalúo Diciembre 2024]]</f>
        <v>0</v>
      </c>
      <c r="W90" s="83">
        <f>+VENDIDOS[[#This Row],[Avalúo Afecto Dic-2025]]-VENDIDOS[[#This Row],[Avalúo Afecto Dic-2024]]</f>
        <v>0</v>
      </c>
      <c r="X90" s="83">
        <f>+VENDIDOS[[#This Row],[Avalúo Exento Dic-2025]]-VENDIDOS[[#This Row],[Avalúo Exento Dic-2024]]</f>
        <v>0</v>
      </c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</row>
    <row r="91" spans="1:48" x14ac:dyDescent="0.3">
      <c r="A91" s="30" t="s">
        <v>341</v>
      </c>
      <c r="B91" s="31" t="s">
        <v>80</v>
      </c>
      <c r="C91" s="31" t="s">
        <v>368</v>
      </c>
      <c r="D91" s="42">
        <v>765.69</v>
      </c>
      <c r="E91" s="31" t="s">
        <v>73</v>
      </c>
      <c r="F91" s="32">
        <v>38764</v>
      </c>
      <c r="G91" s="31" t="s">
        <v>369</v>
      </c>
      <c r="H91" s="31">
        <v>0.50000653005785634</v>
      </c>
      <c r="I91" s="83"/>
      <c r="J91" s="83"/>
      <c r="K91" s="83"/>
      <c r="L91" s="83"/>
      <c r="M91" s="83"/>
      <c r="N91" s="83"/>
      <c r="O91" s="31"/>
      <c r="P91" s="31"/>
      <c r="Q91" s="31"/>
      <c r="R91" s="31"/>
      <c r="S91" s="31"/>
      <c r="T91" s="31"/>
      <c r="U91" s="117">
        <v>0</v>
      </c>
      <c r="V91" s="83">
        <f>+VENDIDOS[[#This Row],[Avalúo Total 2025]]-VENDIDOS[[#This Row],[Avalúo Diciembre 2024]]</f>
        <v>0</v>
      </c>
      <c r="W91" s="83">
        <f>+VENDIDOS[[#This Row],[Avalúo Afecto Dic-2025]]-VENDIDOS[[#This Row],[Avalúo Afecto Dic-2024]]</f>
        <v>0</v>
      </c>
      <c r="X91" s="83">
        <f>+VENDIDOS[[#This Row],[Avalúo Exento Dic-2025]]-VENDIDOS[[#This Row],[Avalúo Exento Dic-2024]]</f>
        <v>0</v>
      </c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</row>
    <row r="92" spans="1:48" x14ac:dyDescent="0.3">
      <c r="A92" s="30" t="s">
        <v>341</v>
      </c>
      <c r="B92" s="31" t="s">
        <v>80</v>
      </c>
      <c r="C92" s="31" t="s">
        <v>370</v>
      </c>
      <c r="D92" s="42">
        <v>78848.41</v>
      </c>
      <c r="E92" s="31" t="s">
        <v>73</v>
      </c>
      <c r="F92" s="32">
        <v>40046</v>
      </c>
      <c r="G92" s="31" t="s">
        <v>333</v>
      </c>
      <c r="H92" s="31">
        <v>0.4358445528578192</v>
      </c>
      <c r="I92" s="83"/>
      <c r="J92" s="83"/>
      <c r="K92" s="83"/>
      <c r="L92" s="83"/>
      <c r="M92" s="83"/>
      <c r="N92" s="83"/>
      <c r="O92" s="31"/>
      <c r="P92" s="31"/>
      <c r="Q92" s="31"/>
      <c r="R92" s="31"/>
      <c r="S92" s="31"/>
      <c r="T92" s="31"/>
      <c r="U92" s="117">
        <v>0</v>
      </c>
      <c r="V92" s="83">
        <f>+VENDIDOS[[#This Row],[Avalúo Total 2025]]-VENDIDOS[[#This Row],[Avalúo Diciembre 2024]]</f>
        <v>0</v>
      </c>
      <c r="W92" s="83">
        <f>+VENDIDOS[[#This Row],[Avalúo Afecto Dic-2025]]-VENDIDOS[[#This Row],[Avalúo Afecto Dic-2024]]</f>
        <v>0</v>
      </c>
      <c r="X92" s="83">
        <f>+VENDIDOS[[#This Row],[Avalúo Exento Dic-2025]]-VENDIDOS[[#This Row],[Avalúo Exento Dic-2024]]</f>
        <v>0</v>
      </c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</row>
    <row r="93" spans="1:48" x14ac:dyDescent="0.3">
      <c r="A93" s="30" t="s">
        <v>341</v>
      </c>
      <c r="B93" s="31" t="s">
        <v>80</v>
      </c>
      <c r="C93" s="31" t="s">
        <v>371</v>
      </c>
      <c r="D93" s="42">
        <v>188845.8</v>
      </c>
      <c r="E93" s="31" t="s">
        <v>73</v>
      </c>
      <c r="F93" s="32">
        <v>37237</v>
      </c>
      <c r="G93" s="31" t="s">
        <v>366</v>
      </c>
      <c r="H93" s="31">
        <v>0.4125336650325292</v>
      </c>
      <c r="I93" s="83"/>
      <c r="J93" s="83"/>
      <c r="K93" s="83"/>
      <c r="L93" s="83"/>
      <c r="M93" s="83"/>
      <c r="N93" s="83"/>
      <c r="O93" s="31"/>
      <c r="P93" s="31"/>
      <c r="Q93" s="31"/>
      <c r="R93" s="31"/>
      <c r="S93" s="31"/>
      <c r="T93" s="31"/>
      <c r="U93" s="117">
        <v>0</v>
      </c>
      <c r="V93" s="83">
        <f>+VENDIDOS[[#This Row],[Avalúo Total 2025]]-VENDIDOS[[#This Row],[Avalúo Diciembre 2024]]</f>
        <v>0</v>
      </c>
      <c r="W93" s="83">
        <f>+VENDIDOS[[#This Row],[Avalúo Afecto Dic-2025]]-VENDIDOS[[#This Row],[Avalúo Afecto Dic-2024]]</f>
        <v>0</v>
      </c>
      <c r="X93" s="83">
        <f>+VENDIDOS[[#This Row],[Avalúo Exento Dic-2025]]-VENDIDOS[[#This Row],[Avalúo Exento Dic-2024]]</f>
        <v>0</v>
      </c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</row>
    <row r="94" spans="1:48" x14ac:dyDescent="0.3">
      <c r="A94" s="30" t="s">
        <v>341</v>
      </c>
      <c r="B94" s="31" t="s">
        <v>80</v>
      </c>
      <c r="C94" s="31" t="s">
        <v>372</v>
      </c>
      <c r="D94" s="42">
        <v>300143.53999999998</v>
      </c>
      <c r="E94" s="31" t="s">
        <v>73</v>
      </c>
      <c r="F94" s="32">
        <v>37181</v>
      </c>
      <c r="G94" s="31" t="s">
        <v>373</v>
      </c>
      <c r="H94" s="31">
        <v>0.40000001332695684</v>
      </c>
      <c r="I94" s="83"/>
      <c r="J94" s="83"/>
      <c r="K94" s="83"/>
      <c r="L94" s="83"/>
      <c r="M94" s="83"/>
      <c r="N94" s="83"/>
      <c r="O94" s="31"/>
      <c r="P94" s="31"/>
      <c r="Q94" s="31"/>
      <c r="R94" s="31"/>
      <c r="S94" s="31"/>
      <c r="T94" s="31"/>
      <c r="U94" s="117">
        <v>0</v>
      </c>
      <c r="V94" s="83">
        <f>+VENDIDOS[[#This Row],[Avalúo Total 2025]]-VENDIDOS[[#This Row],[Avalúo Diciembre 2024]]</f>
        <v>0</v>
      </c>
      <c r="W94" s="83">
        <f>+VENDIDOS[[#This Row],[Avalúo Afecto Dic-2025]]-VENDIDOS[[#This Row],[Avalúo Afecto Dic-2024]]</f>
        <v>0</v>
      </c>
      <c r="X94" s="83">
        <f>+VENDIDOS[[#This Row],[Avalúo Exento Dic-2025]]-VENDIDOS[[#This Row],[Avalúo Exento Dic-2024]]</f>
        <v>0</v>
      </c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</row>
    <row r="95" spans="1:48" x14ac:dyDescent="0.3">
      <c r="A95" s="30" t="s">
        <v>341</v>
      </c>
      <c r="B95" s="31" t="s">
        <v>80</v>
      </c>
      <c r="C95" s="31" t="s">
        <v>374</v>
      </c>
      <c r="D95" s="42">
        <v>145938.49</v>
      </c>
      <c r="E95" s="31" t="s">
        <v>73</v>
      </c>
      <c r="F95" s="32">
        <v>40046</v>
      </c>
      <c r="G95" s="31" t="s">
        <v>333</v>
      </c>
      <c r="H95" s="31">
        <v>0.38904404177403784</v>
      </c>
      <c r="I95" s="83"/>
      <c r="J95" s="83"/>
      <c r="K95" s="83"/>
      <c r="L95" s="83"/>
      <c r="M95" s="83"/>
      <c r="N95" s="83"/>
      <c r="O95" s="31"/>
      <c r="P95" s="31"/>
      <c r="Q95" s="31"/>
      <c r="R95" s="31"/>
      <c r="S95" s="31"/>
      <c r="T95" s="31"/>
      <c r="U95" s="117">
        <v>0</v>
      </c>
      <c r="V95" s="83">
        <f>+VENDIDOS[[#This Row],[Avalúo Total 2025]]-VENDIDOS[[#This Row],[Avalúo Diciembre 2024]]</f>
        <v>0</v>
      </c>
      <c r="W95" s="83">
        <f>+VENDIDOS[[#This Row],[Avalúo Afecto Dic-2025]]-VENDIDOS[[#This Row],[Avalúo Afecto Dic-2024]]</f>
        <v>0</v>
      </c>
      <c r="X95" s="83">
        <f>+VENDIDOS[[#This Row],[Avalúo Exento Dic-2025]]-VENDIDOS[[#This Row],[Avalúo Exento Dic-2024]]</f>
        <v>0</v>
      </c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</row>
    <row r="96" spans="1:48" x14ac:dyDescent="0.3">
      <c r="A96" s="30" t="s">
        <v>341</v>
      </c>
      <c r="B96" s="31" t="s">
        <v>80</v>
      </c>
      <c r="C96" s="31" t="s">
        <v>375</v>
      </c>
      <c r="D96" s="42">
        <v>149583.35999999999</v>
      </c>
      <c r="E96" s="31" t="s">
        <v>73</v>
      </c>
      <c r="F96" s="32">
        <v>40046</v>
      </c>
      <c r="G96" s="31" t="s">
        <v>333</v>
      </c>
      <c r="H96" s="31">
        <v>0.3669856727379302</v>
      </c>
      <c r="I96" s="83"/>
      <c r="J96" s="83"/>
      <c r="K96" s="83"/>
      <c r="L96" s="83"/>
      <c r="M96" s="83"/>
      <c r="N96" s="83"/>
      <c r="O96" s="31"/>
      <c r="P96" s="31"/>
      <c r="Q96" s="31"/>
      <c r="R96" s="31"/>
      <c r="S96" s="31"/>
      <c r="T96" s="31"/>
      <c r="U96" s="117">
        <v>0</v>
      </c>
      <c r="V96" s="83">
        <f>+VENDIDOS[[#This Row],[Avalúo Total 2025]]-VENDIDOS[[#This Row],[Avalúo Diciembre 2024]]</f>
        <v>0</v>
      </c>
      <c r="W96" s="83">
        <f>+VENDIDOS[[#This Row],[Avalúo Afecto Dic-2025]]-VENDIDOS[[#This Row],[Avalúo Afecto Dic-2024]]</f>
        <v>0</v>
      </c>
      <c r="X96" s="83">
        <f>+VENDIDOS[[#This Row],[Avalúo Exento Dic-2025]]-VENDIDOS[[#This Row],[Avalúo Exento Dic-2024]]</f>
        <v>0</v>
      </c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</row>
    <row r="97" spans="1:48" x14ac:dyDescent="0.3">
      <c r="A97" s="30" t="s">
        <v>341</v>
      </c>
      <c r="B97" s="31" t="s">
        <v>71</v>
      </c>
      <c r="C97" s="31" t="s">
        <v>376</v>
      </c>
      <c r="D97" s="42">
        <v>192111.5</v>
      </c>
      <c r="E97" s="31" t="s">
        <v>73</v>
      </c>
      <c r="F97" s="32">
        <v>39276</v>
      </c>
      <c r="G97" s="31" t="s">
        <v>377</v>
      </c>
      <c r="H97" s="31">
        <v>0.33044081171611278</v>
      </c>
      <c r="I97" s="83"/>
      <c r="J97" s="83"/>
      <c r="K97" s="83"/>
      <c r="L97" s="83"/>
      <c r="M97" s="83"/>
      <c r="N97" s="83"/>
      <c r="O97" s="31"/>
      <c r="P97" s="31"/>
      <c r="Q97" s="31"/>
      <c r="R97" s="31"/>
      <c r="S97" s="31"/>
      <c r="T97" s="31"/>
      <c r="U97" s="117">
        <v>0</v>
      </c>
      <c r="V97" s="83">
        <f>+VENDIDOS[[#This Row],[Avalúo Total 2025]]-VENDIDOS[[#This Row],[Avalúo Diciembre 2024]]</f>
        <v>0</v>
      </c>
      <c r="W97" s="83">
        <f>+VENDIDOS[[#This Row],[Avalúo Afecto Dic-2025]]-VENDIDOS[[#This Row],[Avalúo Afecto Dic-2024]]</f>
        <v>0</v>
      </c>
      <c r="X97" s="83">
        <f>+VENDIDOS[[#This Row],[Avalúo Exento Dic-2025]]-VENDIDOS[[#This Row],[Avalúo Exento Dic-2024]]</f>
        <v>0</v>
      </c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</row>
    <row r="98" spans="1:48" x14ac:dyDescent="0.3">
      <c r="A98" s="30" t="s">
        <v>378</v>
      </c>
      <c r="B98" s="31" t="s">
        <v>169</v>
      </c>
      <c r="C98" s="31" t="s">
        <v>379</v>
      </c>
      <c r="D98" s="42">
        <v>240244.51</v>
      </c>
      <c r="E98" s="31" t="s">
        <v>73</v>
      </c>
      <c r="F98" s="32">
        <v>39422</v>
      </c>
      <c r="G98" s="31" t="s">
        <v>377</v>
      </c>
      <c r="H98" s="31">
        <v>0.24294011963062132</v>
      </c>
      <c r="I98" s="83"/>
      <c r="J98" s="83"/>
      <c r="K98" s="83"/>
      <c r="L98" s="83"/>
      <c r="M98" s="83"/>
      <c r="N98" s="83"/>
      <c r="O98" s="31"/>
      <c r="P98" s="31"/>
      <c r="Q98" s="31"/>
      <c r="R98" s="31"/>
      <c r="S98" s="31"/>
      <c r="T98" s="31"/>
      <c r="U98" s="117">
        <v>0</v>
      </c>
      <c r="V98" s="83">
        <f>+VENDIDOS[[#This Row],[Avalúo Total 2025]]-VENDIDOS[[#This Row],[Avalúo Diciembre 2024]]</f>
        <v>0</v>
      </c>
      <c r="W98" s="83">
        <f>+VENDIDOS[[#This Row],[Avalúo Afecto Dic-2025]]-VENDIDOS[[#This Row],[Avalúo Afecto Dic-2024]]</f>
        <v>0</v>
      </c>
      <c r="X98" s="83">
        <f>+VENDIDOS[[#This Row],[Avalúo Exento Dic-2025]]-VENDIDOS[[#This Row],[Avalúo Exento Dic-2024]]</f>
        <v>0</v>
      </c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</row>
    <row r="99" spans="1:48" x14ac:dyDescent="0.3">
      <c r="A99" s="30" t="s">
        <v>168</v>
      </c>
      <c r="B99" s="31" t="s">
        <v>380</v>
      </c>
      <c r="C99" s="31" t="s">
        <v>381</v>
      </c>
      <c r="D99" s="42">
        <v>10180</v>
      </c>
      <c r="E99" s="31" t="s">
        <v>73</v>
      </c>
      <c r="F99" s="32">
        <v>42990</v>
      </c>
      <c r="G99" s="31" t="s">
        <v>117</v>
      </c>
      <c r="H99" s="31">
        <v>0.32416502946954812</v>
      </c>
      <c r="I99" s="83"/>
      <c r="J99" s="83"/>
      <c r="K99" s="83"/>
      <c r="L99" s="83"/>
      <c r="M99" s="83"/>
      <c r="N99" s="83"/>
      <c r="O99" s="31"/>
      <c r="P99" s="31"/>
      <c r="Q99" s="31"/>
      <c r="R99" s="31"/>
      <c r="S99" s="31"/>
      <c r="T99" s="31"/>
      <c r="U99" s="117">
        <v>0</v>
      </c>
      <c r="V99" s="83">
        <f>+VENDIDOS[[#This Row],[Avalúo Total 2025]]-VENDIDOS[[#This Row],[Avalúo Diciembre 2024]]</f>
        <v>0</v>
      </c>
      <c r="W99" s="83">
        <f>+VENDIDOS[[#This Row],[Avalúo Afecto Dic-2025]]-VENDIDOS[[#This Row],[Avalúo Afecto Dic-2024]]</f>
        <v>0</v>
      </c>
      <c r="X99" s="83">
        <f>+VENDIDOS[[#This Row],[Avalúo Exento Dic-2025]]-VENDIDOS[[#This Row],[Avalúo Exento Dic-2024]]</f>
        <v>0</v>
      </c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</row>
    <row r="100" spans="1:48" x14ac:dyDescent="0.3">
      <c r="A100" s="30" t="s">
        <v>168</v>
      </c>
      <c r="B100" s="31" t="s">
        <v>80</v>
      </c>
      <c r="C100" s="31" t="s">
        <v>317</v>
      </c>
      <c r="D100" s="42">
        <v>4950.22</v>
      </c>
      <c r="E100" s="31" t="s">
        <v>73</v>
      </c>
      <c r="F100" s="32">
        <v>42787</v>
      </c>
      <c r="G100" s="31" t="s">
        <v>117</v>
      </c>
      <c r="H100" s="31">
        <v>1.0723732383001319</v>
      </c>
      <c r="I100" s="83"/>
      <c r="J100" s="83"/>
      <c r="K100" s="83"/>
      <c r="L100" s="83"/>
      <c r="M100" s="83"/>
      <c r="N100" s="83"/>
      <c r="O100" s="31"/>
      <c r="P100" s="31"/>
      <c r="Q100" s="31"/>
      <c r="R100" s="31"/>
      <c r="S100" s="31"/>
      <c r="T100" s="31"/>
      <c r="U100" s="117">
        <v>0</v>
      </c>
      <c r="V100" s="83">
        <f>+VENDIDOS[[#This Row],[Avalúo Total 2025]]-VENDIDOS[[#This Row],[Avalúo Diciembre 2024]]</f>
        <v>0</v>
      </c>
      <c r="W100" s="83">
        <f>+VENDIDOS[[#This Row],[Avalúo Afecto Dic-2025]]-VENDIDOS[[#This Row],[Avalúo Afecto Dic-2024]]</f>
        <v>0</v>
      </c>
      <c r="X100" s="83">
        <f>+VENDIDOS[[#This Row],[Avalúo Exento Dic-2025]]-VENDIDOS[[#This Row],[Avalúo Exento Dic-2024]]</f>
        <v>0</v>
      </c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</row>
    <row r="101" spans="1:48" x14ac:dyDescent="0.3">
      <c r="A101" s="30" t="s">
        <v>382</v>
      </c>
      <c r="B101" s="31" t="s">
        <v>383</v>
      </c>
      <c r="C101" s="31" t="s">
        <v>384</v>
      </c>
      <c r="D101" s="42">
        <v>50000</v>
      </c>
      <c r="E101" s="31" t="s">
        <v>73</v>
      </c>
      <c r="F101" s="32">
        <v>41556</v>
      </c>
      <c r="G101" s="31" t="s">
        <v>385</v>
      </c>
      <c r="H101" s="31">
        <v>2.3394528000000001</v>
      </c>
      <c r="I101" s="83"/>
      <c r="J101" s="83"/>
      <c r="K101" s="83"/>
      <c r="L101" s="83"/>
      <c r="M101" s="83"/>
      <c r="N101" s="83"/>
      <c r="O101" s="31"/>
      <c r="P101" s="31"/>
      <c r="Q101" s="31"/>
      <c r="R101" s="31"/>
      <c r="S101" s="31"/>
      <c r="T101" s="31"/>
      <c r="U101" s="117">
        <v>0</v>
      </c>
      <c r="V101" s="83">
        <f>+VENDIDOS[[#This Row],[Avalúo Total 2025]]-VENDIDOS[[#This Row],[Avalúo Diciembre 2024]]</f>
        <v>0</v>
      </c>
      <c r="W101" s="83">
        <f>+VENDIDOS[[#This Row],[Avalúo Afecto Dic-2025]]-VENDIDOS[[#This Row],[Avalúo Afecto Dic-2024]]</f>
        <v>0</v>
      </c>
      <c r="X101" s="83">
        <f>+VENDIDOS[[#This Row],[Avalúo Exento Dic-2025]]-VENDIDOS[[#This Row],[Avalúo Exento Dic-2024]]</f>
        <v>0</v>
      </c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</row>
    <row r="102" spans="1:48" x14ac:dyDescent="0.3">
      <c r="A102" s="30" t="s">
        <v>382</v>
      </c>
      <c r="B102" s="31" t="s">
        <v>386</v>
      </c>
      <c r="C102" s="31" t="s">
        <v>387</v>
      </c>
      <c r="D102" s="42">
        <v>10000</v>
      </c>
      <c r="E102" s="31" t="s">
        <v>73</v>
      </c>
      <c r="F102" s="32">
        <v>42493</v>
      </c>
      <c r="G102" s="31" t="s">
        <v>388</v>
      </c>
      <c r="H102" s="31">
        <v>0.5</v>
      </c>
      <c r="I102" s="83"/>
      <c r="J102" s="83"/>
      <c r="K102" s="83"/>
      <c r="L102" s="83"/>
      <c r="M102" s="83"/>
      <c r="N102" s="83"/>
      <c r="O102" s="31"/>
      <c r="P102" s="31"/>
      <c r="Q102" s="31"/>
      <c r="R102" s="31"/>
      <c r="S102" s="31"/>
      <c r="T102" s="31"/>
      <c r="U102" s="117">
        <v>0</v>
      </c>
      <c r="V102" s="83">
        <f>+VENDIDOS[[#This Row],[Avalúo Total 2025]]-VENDIDOS[[#This Row],[Avalúo Diciembre 2024]]</f>
        <v>0</v>
      </c>
      <c r="W102" s="83">
        <f>+VENDIDOS[[#This Row],[Avalúo Afecto Dic-2025]]-VENDIDOS[[#This Row],[Avalúo Afecto Dic-2024]]</f>
        <v>0</v>
      </c>
      <c r="X102" s="83">
        <f>+VENDIDOS[[#This Row],[Avalúo Exento Dic-2025]]-VENDIDOS[[#This Row],[Avalúo Exento Dic-2024]]</f>
        <v>0</v>
      </c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</row>
    <row r="103" spans="1:48" x14ac:dyDescent="0.3">
      <c r="A103" s="30" t="s">
        <v>382</v>
      </c>
      <c r="B103" s="31" t="s">
        <v>80</v>
      </c>
      <c r="C103" s="31" t="s">
        <v>389</v>
      </c>
      <c r="D103" s="42">
        <v>6070.11</v>
      </c>
      <c r="E103" s="31" t="s">
        <v>73</v>
      </c>
      <c r="F103" s="32">
        <v>43356</v>
      </c>
      <c r="G103" s="31" t="s">
        <v>390</v>
      </c>
      <c r="H103" s="31">
        <v>2.4838100133276004</v>
      </c>
      <c r="I103" s="83"/>
      <c r="J103" s="83"/>
      <c r="K103" s="83"/>
      <c r="L103" s="83"/>
      <c r="M103" s="83"/>
      <c r="N103" s="83"/>
      <c r="O103" s="31"/>
      <c r="P103" s="31"/>
      <c r="Q103" s="31"/>
      <c r="R103" s="31"/>
      <c r="S103" s="31"/>
      <c r="T103" s="31"/>
      <c r="U103" s="117">
        <v>0</v>
      </c>
      <c r="V103" s="83">
        <f>+VENDIDOS[[#This Row],[Avalúo Total 2025]]-VENDIDOS[[#This Row],[Avalúo Diciembre 2024]]</f>
        <v>0</v>
      </c>
      <c r="W103" s="83">
        <f>+VENDIDOS[[#This Row],[Avalúo Afecto Dic-2025]]-VENDIDOS[[#This Row],[Avalúo Afecto Dic-2024]]</f>
        <v>0</v>
      </c>
      <c r="X103" s="83">
        <f>+VENDIDOS[[#This Row],[Avalúo Exento Dic-2025]]-VENDIDOS[[#This Row],[Avalúo Exento Dic-2024]]</f>
        <v>0</v>
      </c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</row>
    <row r="104" spans="1:48" x14ac:dyDescent="0.3">
      <c r="A104" s="30" t="s">
        <v>382</v>
      </c>
      <c r="B104" s="31" t="s">
        <v>80</v>
      </c>
      <c r="C104" s="31" t="s">
        <v>391</v>
      </c>
      <c r="D104" s="42">
        <v>12579.79</v>
      </c>
      <c r="E104" s="31" t="s">
        <v>73</v>
      </c>
      <c r="F104" s="32">
        <v>40833</v>
      </c>
      <c r="G104" s="31" t="s">
        <v>392</v>
      </c>
      <c r="H104" s="31">
        <v>2.191451526615309</v>
      </c>
      <c r="I104" s="83"/>
      <c r="J104" s="83"/>
      <c r="K104" s="83"/>
      <c r="L104" s="83"/>
      <c r="M104" s="83"/>
      <c r="N104" s="83"/>
      <c r="O104" s="31"/>
      <c r="P104" s="31"/>
      <c r="Q104" s="31"/>
      <c r="R104" s="31"/>
      <c r="S104" s="31"/>
      <c r="T104" s="31"/>
      <c r="U104" s="117">
        <v>0</v>
      </c>
      <c r="V104" s="83">
        <f>+VENDIDOS[[#This Row],[Avalúo Total 2025]]-VENDIDOS[[#This Row],[Avalúo Diciembre 2024]]</f>
        <v>0</v>
      </c>
      <c r="W104" s="83">
        <f>+VENDIDOS[[#This Row],[Avalúo Afecto Dic-2025]]-VENDIDOS[[#This Row],[Avalúo Afecto Dic-2024]]</f>
        <v>0</v>
      </c>
      <c r="X104" s="83">
        <f>+VENDIDOS[[#This Row],[Avalúo Exento Dic-2025]]-VENDIDOS[[#This Row],[Avalúo Exento Dic-2024]]</f>
        <v>0</v>
      </c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</row>
    <row r="105" spans="1:48" x14ac:dyDescent="0.3">
      <c r="A105" s="30" t="s">
        <v>382</v>
      </c>
      <c r="B105" s="31" t="s">
        <v>80</v>
      </c>
      <c r="C105" s="31" t="s">
        <v>393</v>
      </c>
      <c r="D105" s="42">
        <v>21745.66</v>
      </c>
      <c r="E105" s="31" t="s">
        <v>73</v>
      </c>
      <c r="F105" s="32">
        <v>43356</v>
      </c>
      <c r="G105" s="31" t="s">
        <v>390</v>
      </c>
      <c r="H105" s="31">
        <v>1.3012416270648948</v>
      </c>
      <c r="I105" s="83"/>
      <c r="J105" s="83"/>
      <c r="K105" s="83"/>
      <c r="L105" s="83"/>
      <c r="M105" s="83"/>
      <c r="N105" s="83"/>
      <c r="O105" s="31"/>
      <c r="P105" s="31"/>
      <c r="Q105" s="31"/>
      <c r="R105" s="31"/>
      <c r="S105" s="31"/>
      <c r="T105" s="31"/>
      <c r="U105" s="117">
        <v>0</v>
      </c>
      <c r="V105" s="83">
        <f>+VENDIDOS[[#This Row],[Avalúo Total 2025]]-VENDIDOS[[#This Row],[Avalúo Diciembre 2024]]</f>
        <v>0</v>
      </c>
      <c r="W105" s="83">
        <f>+VENDIDOS[[#This Row],[Avalúo Afecto Dic-2025]]-VENDIDOS[[#This Row],[Avalúo Afecto Dic-2024]]</f>
        <v>0</v>
      </c>
      <c r="X105" s="83">
        <f>+VENDIDOS[[#This Row],[Avalúo Exento Dic-2025]]-VENDIDOS[[#This Row],[Avalúo Exento Dic-2024]]</f>
        <v>0</v>
      </c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</row>
    <row r="106" spans="1:48" x14ac:dyDescent="0.3">
      <c r="A106" s="30" t="s">
        <v>382</v>
      </c>
      <c r="B106" s="31" t="s">
        <v>80</v>
      </c>
      <c r="C106" s="31" t="s">
        <v>317</v>
      </c>
      <c r="D106" s="42">
        <v>19458.71</v>
      </c>
      <c r="E106" s="31" t="s">
        <v>73</v>
      </c>
      <c r="F106" s="32">
        <v>42699</v>
      </c>
      <c r="G106" s="31" t="s">
        <v>117</v>
      </c>
      <c r="H106" s="31">
        <v>1.0662099388911188</v>
      </c>
      <c r="I106" s="83"/>
      <c r="J106" s="83"/>
      <c r="K106" s="83"/>
      <c r="L106" s="83"/>
      <c r="M106" s="83"/>
      <c r="N106" s="83"/>
      <c r="O106" s="31"/>
      <c r="P106" s="31"/>
      <c r="Q106" s="31"/>
      <c r="R106" s="31"/>
      <c r="S106" s="31"/>
      <c r="T106" s="31"/>
      <c r="U106" s="117">
        <v>0</v>
      </c>
      <c r="V106" s="83">
        <f>+VENDIDOS[[#This Row],[Avalúo Total 2025]]-VENDIDOS[[#This Row],[Avalúo Diciembre 2024]]</f>
        <v>0</v>
      </c>
      <c r="W106" s="83">
        <f>+VENDIDOS[[#This Row],[Avalúo Afecto Dic-2025]]-VENDIDOS[[#This Row],[Avalúo Afecto Dic-2024]]</f>
        <v>0</v>
      </c>
      <c r="X106" s="83">
        <f>+VENDIDOS[[#This Row],[Avalúo Exento Dic-2025]]-VENDIDOS[[#This Row],[Avalúo Exento Dic-2024]]</f>
        <v>0</v>
      </c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</row>
    <row r="107" spans="1:48" x14ac:dyDescent="0.3">
      <c r="A107" s="30" t="s">
        <v>382</v>
      </c>
      <c r="B107" s="31" t="s">
        <v>80</v>
      </c>
      <c r="C107" s="31" t="s">
        <v>394</v>
      </c>
      <c r="D107" s="42">
        <v>30013.91</v>
      </c>
      <c r="E107" s="31" t="s">
        <v>73</v>
      </c>
      <c r="F107" s="32">
        <v>40626</v>
      </c>
      <c r="G107" s="31" t="s">
        <v>395</v>
      </c>
      <c r="H107" s="31">
        <v>0.93330059295839829</v>
      </c>
      <c r="I107" s="83"/>
      <c r="J107" s="83"/>
      <c r="K107" s="83"/>
      <c r="L107" s="83"/>
      <c r="M107" s="83"/>
      <c r="N107" s="83"/>
      <c r="O107" s="31"/>
      <c r="P107" s="31"/>
      <c r="Q107" s="31"/>
      <c r="R107" s="31"/>
      <c r="S107" s="31"/>
      <c r="T107" s="31"/>
      <c r="U107" s="117">
        <v>0</v>
      </c>
      <c r="V107" s="83">
        <f>+VENDIDOS[[#This Row],[Avalúo Total 2025]]-VENDIDOS[[#This Row],[Avalúo Diciembre 2024]]</f>
        <v>0</v>
      </c>
      <c r="W107" s="83">
        <f>+VENDIDOS[[#This Row],[Avalúo Afecto Dic-2025]]-VENDIDOS[[#This Row],[Avalúo Afecto Dic-2024]]</f>
        <v>0</v>
      </c>
      <c r="X107" s="83">
        <f>+VENDIDOS[[#This Row],[Avalúo Exento Dic-2025]]-VENDIDOS[[#This Row],[Avalúo Exento Dic-2024]]</f>
        <v>0</v>
      </c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</row>
    <row r="108" spans="1:48" x14ac:dyDescent="0.3">
      <c r="A108" s="30" t="s">
        <v>382</v>
      </c>
      <c r="B108" s="31" t="s">
        <v>80</v>
      </c>
      <c r="C108" s="31" t="s">
        <v>317</v>
      </c>
      <c r="D108" s="42">
        <v>13208.92</v>
      </c>
      <c r="E108" s="31" t="s">
        <v>73</v>
      </c>
      <c r="F108" s="32">
        <v>42584</v>
      </c>
      <c r="G108" s="31" t="s">
        <v>117</v>
      </c>
      <c r="H108" s="31">
        <v>0.90820157837261706</v>
      </c>
      <c r="I108" s="83"/>
      <c r="J108" s="83"/>
      <c r="K108" s="83"/>
      <c r="L108" s="83"/>
      <c r="M108" s="83"/>
      <c r="N108" s="83"/>
      <c r="O108" s="31"/>
      <c r="P108" s="31"/>
      <c r="Q108" s="31"/>
      <c r="R108" s="31"/>
      <c r="S108" s="31"/>
      <c r="T108" s="31"/>
      <c r="U108" s="117">
        <v>0</v>
      </c>
      <c r="V108" s="83">
        <f>+VENDIDOS[[#This Row],[Avalúo Total 2025]]-VENDIDOS[[#This Row],[Avalúo Diciembre 2024]]</f>
        <v>0</v>
      </c>
      <c r="W108" s="83">
        <f>+VENDIDOS[[#This Row],[Avalúo Afecto Dic-2025]]-VENDIDOS[[#This Row],[Avalúo Afecto Dic-2024]]</f>
        <v>0</v>
      </c>
      <c r="X108" s="83">
        <f>+VENDIDOS[[#This Row],[Avalúo Exento Dic-2025]]-VENDIDOS[[#This Row],[Avalúo Exento Dic-2024]]</f>
        <v>0</v>
      </c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</row>
    <row r="109" spans="1:48" x14ac:dyDescent="0.3">
      <c r="A109" s="30" t="s">
        <v>396</v>
      </c>
      <c r="B109" s="31" t="s">
        <v>80</v>
      </c>
      <c r="C109" s="31" t="s">
        <v>397</v>
      </c>
      <c r="D109" s="42">
        <v>25440</v>
      </c>
      <c r="E109" s="31" t="s">
        <v>73</v>
      </c>
      <c r="F109" s="32">
        <v>44144</v>
      </c>
      <c r="G109" s="31" t="s">
        <v>82</v>
      </c>
      <c r="H109" s="31">
        <v>2.57</v>
      </c>
      <c r="I109" s="83"/>
      <c r="J109" s="83"/>
      <c r="K109" s="83"/>
      <c r="L109" s="83"/>
      <c r="M109" s="83"/>
      <c r="N109" s="83"/>
      <c r="O109" s="31"/>
      <c r="P109" s="31"/>
      <c r="Q109" s="31"/>
      <c r="R109" s="31"/>
      <c r="S109" s="31"/>
      <c r="T109" s="31"/>
      <c r="U109" s="117">
        <v>0</v>
      </c>
      <c r="V109" s="83">
        <f>+VENDIDOS[[#This Row],[Avalúo Total 2025]]-VENDIDOS[[#This Row],[Avalúo Diciembre 2024]]</f>
        <v>0</v>
      </c>
      <c r="W109" s="83">
        <f>+VENDIDOS[[#This Row],[Avalúo Afecto Dic-2025]]-VENDIDOS[[#This Row],[Avalúo Afecto Dic-2024]]</f>
        <v>0</v>
      </c>
      <c r="X109" s="83">
        <f>+VENDIDOS[[#This Row],[Avalúo Exento Dic-2025]]-VENDIDOS[[#This Row],[Avalúo Exento Dic-2024]]</f>
        <v>0</v>
      </c>
      <c r="Y109" s="31">
        <v>25440</v>
      </c>
      <c r="Z109" s="31" t="s">
        <v>398</v>
      </c>
      <c r="AA109" s="31">
        <v>43427</v>
      </c>
      <c r="AB109" s="31" t="s">
        <v>399</v>
      </c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</row>
    <row r="110" spans="1:48" x14ac:dyDescent="0.3">
      <c r="A110" s="30" t="s">
        <v>79</v>
      </c>
      <c r="B110" s="31" t="s">
        <v>71</v>
      </c>
      <c r="C110" s="31" t="s">
        <v>381</v>
      </c>
      <c r="D110" s="42">
        <v>9728.58</v>
      </c>
      <c r="E110" s="31" t="s">
        <v>73</v>
      </c>
      <c r="F110" s="32">
        <v>41635</v>
      </c>
      <c r="G110" s="31" t="s">
        <v>400</v>
      </c>
      <c r="H110" s="31">
        <v>1.6698223173371654</v>
      </c>
      <c r="I110" s="83"/>
      <c r="J110" s="83"/>
      <c r="K110" s="83"/>
      <c r="L110" s="83"/>
      <c r="M110" s="83"/>
      <c r="N110" s="83"/>
      <c r="O110" s="31"/>
      <c r="P110" s="31"/>
      <c r="Q110" s="31"/>
      <c r="R110" s="31"/>
      <c r="S110" s="31"/>
      <c r="T110" s="31"/>
      <c r="U110" s="117">
        <v>0</v>
      </c>
      <c r="V110" s="83">
        <f>+VENDIDOS[[#This Row],[Avalúo Total 2025]]-VENDIDOS[[#This Row],[Avalúo Diciembre 2024]]</f>
        <v>0</v>
      </c>
      <c r="W110" s="83">
        <f>+VENDIDOS[[#This Row],[Avalúo Afecto Dic-2025]]-VENDIDOS[[#This Row],[Avalúo Afecto Dic-2024]]</f>
        <v>0</v>
      </c>
      <c r="X110" s="83">
        <f>+VENDIDOS[[#This Row],[Avalúo Exento Dic-2025]]-VENDIDOS[[#This Row],[Avalúo Exento Dic-2024]]</f>
        <v>0</v>
      </c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>
        <v>6323.5770000000002</v>
      </c>
      <c r="AU110" s="31"/>
      <c r="AV110" s="31"/>
    </row>
    <row r="111" spans="1:48" x14ac:dyDescent="0.3">
      <c r="A111" s="30" t="s">
        <v>79</v>
      </c>
      <c r="B111" s="31" t="s">
        <v>401</v>
      </c>
      <c r="C111" s="31" t="s">
        <v>402</v>
      </c>
      <c r="D111" s="42">
        <v>17790.89</v>
      </c>
      <c r="E111" s="31" t="s">
        <v>73</v>
      </c>
      <c r="F111" s="32">
        <v>41038</v>
      </c>
      <c r="G111" s="31" t="s">
        <v>403</v>
      </c>
      <c r="H111" s="31">
        <v>6.0143140674806039</v>
      </c>
      <c r="I111" s="83"/>
      <c r="J111" s="83"/>
      <c r="K111" s="83"/>
      <c r="L111" s="83"/>
      <c r="M111" s="83"/>
      <c r="N111" s="83"/>
      <c r="O111" s="31"/>
      <c r="P111" s="31"/>
      <c r="Q111" s="31"/>
      <c r="R111" s="31"/>
      <c r="S111" s="31"/>
      <c r="T111" s="31"/>
      <c r="U111" s="117">
        <v>0</v>
      </c>
      <c r="V111" s="83">
        <f>+VENDIDOS[[#This Row],[Avalúo Total 2025]]-VENDIDOS[[#This Row],[Avalúo Diciembre 2024]]</f>
        <v>0</v>
      </c>
      <c r="W111" s="83">
        <f>+VENDIDOS[[#This Row],[Avalúo Afecto Dic-2025]]-VENDIDOS[[#This Row],[Avalúo Afecto Dic-2024]]</f>
        <v>0</v>
      </c>
      <c r="X111" s="83">
        <f>+VENDIDOS[[#This Row],[Avalúo Exento Dic-2025]]-VENDIDOS[[#This Row],[Avalúo Exento Dic-2024]]</f>
        <v>0</v>
      </c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</row>
    <row r="112" spans="1:48" x14ac:dyDescent="0.3">
      <c r="A112" s="30" t="s">
        <v>79</v>
      </c>
      <c r="B112" s="31" t="s">
        <v>404</v>
      </c>
      <c r="C112" s="31" t="s">
        <v>405</v>
      </c>
      <c r="D112" s="42">
        <v>22766.58</v>
      </c>
      <c r="E112" s="31" t="s">
        <v>73</v>
      </c>
      <c r="F112" s="32">
        <v>41177</v>
      </c>
      <c r="G112" s="31" t="s">
        <v>406</v>
      </c>
      <c r="H112" s="31">
        <v>1.2085961088578081</v>
      </c>
      <c r="I112" s="83"/>
      <c r="J112" s="83"/>
      <c r="K112" s="83"/>
      <c r="L112" s="83"/>
      <c r="M112" s="83"/>
      <c r="N112" s="83"/>
      <c r="O112" s="31"/>
      <c r="P112" s="31"/>
      <c r="Q112" s="31"/>
      <c r="R112" s="31"/>
      <c r="S112" s="31"/>
      <c r="T112" s="31"/>
      <c r="U112" s="117">
        <v>0</v>
      </c>
      <c r="V112" s="83">
        <f>+VENDIDOS[[#This Row],[Avalúo Total 2025]]-VENDIDOS[[#This Row],[Avalúo Diciembre 2024]]</f>
        <v>0</v>
      </c>
      <c r="W112" s="83">
        <f>+VENDIDOS[[#This Row],[Avalúo Afecto Dic-2025]]-VENDIDOS[[#This Row],[Avalúo Afecto Dic-2024]]</f>
        <v>0</v>
      </c>
      <c r="X112" s="83">
        <f>+VENDIDOS[[#This Row],[Avalúo Exento Dic-2025]]-VENDIDOS[[#This Row],[Avalúo Exento Dic-2024]]</f>
        <v>0</v>
      </c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</row>
    <row r="113" spans="1:48" x14ac:dyDescent="0.3">
      <c r="A113" s="30" t="s">
        <v>79</v>
      </c>
      <c r="B113" s="31" t="s">
        <v>386</v>
      </c>
      <c r="C113" s="31" t="s">
        <v>407</v>
      </c>
      <c r="D113" s="42">
        <v>964551</v>
      </c>
      <c r="E113" s="31" t="s">
        <v>73</v>
      </c>
      <c r="F113" s="32">
        <v>41460</v>
      </c>
      <c r="G113" s="31" t="s">
        <v>408</v>
      </c>
      <c r="H113" s="31">
        <v>0.12202568863647438</v>
      </c>
      <c r="I113" s="83"/>
      <c r="J113" s="83"/>
      <c r="K113" s="83"/>
      <c r="L113" s="83"/>
      <c r="M113" s="83"/>
      <c r="N113" s="83"/>
      <c r="O113" s="31"/>
      <c r="P113" s="31"/>
      <c r="Q113" s="31"/>
      <c r="R113" s="31"/>
      <c r="S113" s="31"/>
      <c r="T113" s="31"/>
      <c r="U113" s="117">
        <v>0</v>
      </c>
      <c r="V113" s="83">
        <f>+VENDIDOS[[#This Row],[Avalúo Total 2025]]-VENDIDOS[[#This Row],[Avalúo Diciembre 2024]]</f>
        <v>0</v>
      </c>
      <c r="W113" s="83">
        <f>+VENDIDOS[[#This Row],[Avalúo Afecto Dic-2025]]-VENDIDOS[[#This Row],[Avalúo Afecto Dic-2024]]</f>
        <v>0</v>
      </c>
      <c r="X113" s="83">
        <f>+VENDIDOS[[#This Row],[Avalúo Exento Dic-2025]]-VENDIDOS[[#This Row],[Avalúo Exento Dic-2024]]</f>
        <v>0</v>
      </c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</row>
    <row r="114" spans="1:48" x14ac:dyDescent="0.3">
      <c r="A114" s="30" t="s">
        <v>79</v>
      </c>
      <c r="B114" s="31" t="s">
        <v>386</v>
      </c>
      <c r="C114" s="31" t="s">
        <v>409</v>
      </c>
      <c r="D114" s="42">
        <v>20000</v>
      </c>
      <c r="E114" s="31" t="s">
        <v>73</v>
      </c>
      <c r="F114" s="32">
        <v>42493</v>
      </c>
      <c r="G114" s="31" t="s">
        <v>410</v>
      </c>
      <c r="H114" s="31">
        <v>1.0035000000000001</v>
      </c>
      <c r="I114" s="83"/>
      <c r="J114" s="83"/>
      <c r="K114" s="83"/>
      <c r="L114" s="83"/>
      <c r="M114" s="83"/>
      <c r="N114" s="83"/>
      <c r="O114" s="31"/>
      <c r="P114" s="31"/>
      <c r="Q114" s="31"/>
      <c r="R114" s="31"/>
      <c r="S114" s="31"/>
      <c r="T114" s="31"/>
      <c r="U114" s="117">
        <v>0</v>
      </c>
      <c r="V114" s="83">
        <f>+VENDIDOS[[#This Row],[Avalúo Total 2025]]-VENDIDOS[[#This Row],[Avalúo Diciembre 2024]]</f>
        <v>0</v>
      </c>
      <c r="W114" s="83">
        <f>+VENDIDOS[[#This Row],[Avalúo Afecto Dic-2025]]-VENDIDOS[[#This Row],[Avalúo Afecto Dic-2024]]</f>
        <v>0</v>
      </c>
      <c r="X114" s="83">
        <f>+VENDIDOS[[#This Row],[Avalúo Exento Dic-2025]]-VENDIDOS[[#This Row],[Avalúo Exento Dic-2024]]</f>
        <v>0</v>
      </c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</row>
    <row r="115" spans="1:48" x14ac:dyDescent="0.3">
      <c r="A115" s="30" t="s">
        <v>79</v>
      </c>
      <c r="B115" s="31" t="s">
        <v>80</v>
      </c>
      <c r="C115" s="31" t="s">
        <v>411</v>
      </c>
      <c r="D115" s="42">
        <v>10000.280000000001</v>
      </c>
      <c r="E115" s="31" t="s">
        <v>73</v>
      </c>
      <c r="F115" s="32">
        <v>41814</v>
      </c>
      <c r="G115" s="31" t="s">
        <v>412</v>
      </c>
      <c r="H115" s="31">
        <v>1.1999664009407736</v>
      </c>
      <c r="I115" s="83"/>
      <c r="J115" s="83"/>
      <c r="K115" s="83"/>
      <c r="L115" s="83"/>
      <c r="M115" s="83"/>
      <c r="N115" s="83"/>
      <c r="O115" s="31"/>
      <c r="P115" s="31"/>
      <c r="Q115" s="31"/>
      <c r="R115" s="31"/>
      <c r="S115" s="31"/>
      <c r="T115" s="31"/>
      <c r="U115" s="117">
        <v>0</v>
      </c>
      <c r="V115" s="83">
        <f>+VENDIDOS[[#This Row],[Avalúo Total 2025]]-VENDIDOS[[#This Row],[Avalúo Diciembre 2024]]</f>
        <v>0</v>
      </c>
      <c r="W115" s="83">
        <f>+VENDIDOS[[#This Row],[Avalúo Afecto Dic-2025]]-VENDIDOS[[#This Row],[Avalúo Afecto Dic-2024]]</f>
        <v>0</v>
      </c>
      <c r="X115" s="83">
        <f>+VENDIDOS[[#This Row],[Avalúo Exento Dic-2025]]-VENDIDOS[[#This Row],[Avalúo Exento Dic-2024]]</f>
        <v>0</v>
      </c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</row>
    <row r="116" spans="1:48" x14ac:dyDescent="0.3">
      <c r="A116" s="30" t="s">
        <v>79</v>
      </c>
      <c r="B116" s="31" t="s">
        <v>80</v>
      </c>
      <c r="C116" s="31" t="s">
        <v>413</v>
      </c>
      <c r="D116" s="42">
        <v>10583.06</v>
      </c>
      <c r="E116" s="31" t="s">
        <v>73</v>
      </c>
      <c r="F116" s="32">
        <v>41927</v>
      </c>
      <c r="G116" s="31" t="s">
        <v>414</v>
      </c>
      <c r="H116" s="31">
        <v>1.1338875523714314</v>
      </c>
      <c r="I116" s="83"/>
      <c r="J116" s="83"/>
      <c r="K116" s="83"/>
      <c r="L116" s="83"/>
      <c r="M116" s="83"/>
      <c r="N116" s="83"/>
      <c r="O116" s="31"/>
      <c r="P116" s="31"/>
      <c r="Q116" s="31"/>
      <c r="R116" s="31"/>
      <c r="S116" s="31"/>
      <c r="T116" s="31"/>
      <c r="U116" s="117">
        <v>0</v>
      </c>
      <c r="V116" s="83">
        <f>+VENDIDOS[[#This Row],[Avalúo Total 2025]]-VENDIDOS[[#This Row],[Avalúo Diciembre 2024]]</f>
        <v>0</v>
      </c>
      <c r="W116" s="83">
        <f>+VENDIDOS[[#This Row],[Avalúo Afecto Dic-2025]]-VENDIDOS[[#This Row],[Avalúo Afecto Dic-2024]]</f>
        <v>0</v>
      </c>
      <c r="X116" s="83">
        <f>+VENDIDOS[[#This Row],[Avalúo Exento Dic-2025]]-VENDIDOS[[#This Row],[Avalúo Exento Dic-2024]]</f>
        <v>0</v>
      </c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</row>
    <row r="117" spans="1:48" x14ac:dyDescent="0.3">
      <c r="A117" s="30" t="s">
        <v>79</v>
      </c>
      <c r="B117" s="31" t="s">
        <v>80</v>
      </c>
      <c r="C117" s="31" t="s">
        <v>415</v>
      </c>
      <c r="D117" s="42">
        <v>10000.280000000001</v>
      </c>
      <c r="E117" s="31" t="s">
        <v>73</v>
      </c>
      <c r="F117" s="32">
        <v>41880</v>
      </c>
      <c r="G117" s="31" t="s">
        <v>416</v>
      </c>
      <c r="H117" s="31">
        <v>1.1111688872711563</v>
      </c>
      <c r="I117" s="83"/>
      <c r="J117" s="83"/>
      <c r="K117" s="83"/>
      <c r="L117" s="83"/>
      <c r="M117" s="83"/>
      <c r="N117" s="83"/>
      <c r="O117" s="31"/>
      <c r="P117" s="31"/>
      <c r="Q117" s="31"/>
      <c r="R117" s="31"/>
      <c r="S117" s="31"/>
      <c r="T117" s="31"/>
      <c r="U117" s="117">
        <v>0</v>
      </c>
      <c r="V117" s="83">
        <f>+VENDIDOS[[#This Row],[Avalúo Total 2025]]-VENDIDOS[[#This Row],[Avalúo Diciembre 2024]]</f>
        <v>0</v>
      </c>
      <c r="W117" s="83">
        <f>+VENDIDOS[[#This Row],[Avalúo Afecto Dic-2025]]-VENDIDOS[[#This Row],[Avalúo Afecto Dic-2024]]</f>
        <v>0</v>
      </c>
      <c r="X117" s="83">
        <f>+VENDIDOS[[#This Row],[Avalúo Exento Dic-2025]]-VENDIDOS[[#This Row],[Avalúo Exento Dic-2024]]</f>
        <v>0</v>
      </c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</row>
    <row r="118" spans="1:48" x14ac:dyDescent="0.3">
      <c r="A118" s="30" t="s">
        <v>79</v>
      </c>
      <c r="B118" s="31" t="s">
        <v>80</v>
      </c>
      <c r="C118" s="31" t="s">
        <v>417</v>
      </c>
      <c r="D118" s="42">
        <v>175857.18</v>
      </c>
      <c r="E118" s="31" t="s">
        <v>73</v>
      </c>
      <c r="F118" s="32">
        <v>39548</v>
      </c>
      <c r="G118" s="31" t="s">
        <v>418</v>
      </c>
      <c r="H118" s="31">
        <v>1.0764706905910808</v>
      </c>
      <c r="I118" s="83"/>
      <c r="J118" s="83"/>
      <c r="K118" s="83"/>
      <c r="L118" s="83"/>
      <c r="M118" s="83"/>
      <c r="N118" s="83"/>
      <c r="O118" s="31"/>
      <c r="P118" s="31"/>
      <c r="Q118" s="31"/>
      <c r="R118" s="31"/>
      <c r="S118" s="31"/>
      <c r="T118" s="31"/>
      <c r="U118" s="117">
        <v>0</v>
      </c>
      <c r="V118" s="83">
        <f>+VENDIDOS[[#This Row],[Avalúo Total 2025]]-VENDIDOS[[#This Row],[Avalúo Diciembre 2024]]</f>
        <v>0</v>
      </c>
      <c r="W118" s="83">
        <f>+VENDIDOS[[#This Row],[Avalúo Afecto Dic-2025]]-VENDIDOS[[#This Row],[Avalúo Afecto Dic-2024]]</f>
        <v>0</v>
      </c>
      <c r="X118" s="83">
        <f>+VENDIDOS[[#This Row],[Avalúo Exento Dic-2025]]-VENDIDOS[[#This Row],[Avalúo Exento Dic-2024]]</f>
        <v>0</v>
      </c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</row>
    <row r="119" spans="1:48" x14ac:dyDescent="0.3">
      <c r="A119" s="30" t="s">
        <v>79</v>
      </c>
      <c r="B119" s="31" t="s">
        <v>80</v>
      </c>
      <c r="C119" s="31" t="s">
        <v>419</v>
      </c>
      <c r="D119" s="42">
        <v>47309.8</v>
      </c>
      <c r="E119" s="31" t="s">
        <v>73</v>
      </c>
      <c r="F119" s="32">
        <v>39548</v>
      </c>
      <c r="G119" s="31" t="s">
        <v>418</v>
      </c>
      <c r="H119" s="31">
        <v>1.0764706255363581</v>
      </c>
      <c r="I119" s="83"/>
      <c r="J119" s="83"/>
      <c r="K119" s="83"/>
      <c r="L119" s="83"/>
      <c r="M119" s="83"/>
      <c r="N119" s="83"/>
      <c r="O119" s="31"/>
      <c r="P119" s="31"/>
      <c r="Q119" s="31"/>
      <c r="R119" s="31"/>
      <c r="S119" s="31"/>
      <c r="T119" s="31"/>
      <c r="U119" s="117">
        <v>0</v>
      </c>
      <c r="V119" s="83">
        <f>+VENDIDOS[[#This Row],[Avalúo Total 2025]]-VENDIDOS[[#This Row],[Avalúo Diciembre 2024]]</f>
        <v>0</v>
      </c>
      <c r="W119" s="83">
        <f>+VENDIDOS[[#This Row],[Avalúo Afecto Dic-2025]]-VENDIDOS[[#This Row],[Avalúo Afecto Dic-2024]]</f>
        <v>0</v>
      </c>
      <c r="X119" s="83">
        <f>+VENDIDOS[[#This Row],[Avalúo Exento Dic-2025]]-VENDIDOS[[#This Row],[Avalúo Exento Dic-2024]]</f>
        <v>0</v>
      </c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</row>
    <row r="120" spans="1:48" x14ac:dyDescent="0.3">
      <c r="A120" s="30" t="s">
        <v>79</v>
      </c>
      <c r="B120" s="31" t="s">
        <v>80</v>
      </c>
      <c r="C120" s="31" t="s">
        <v>420</v>
      </c>
      <c r="D120" s="42">
        <v>40081.21</v>
      </c>
      <c r="E120" s="31" t="s">
        <v>73</v>
      </c>
      <c r="F120" s="32">
        <v>39997</v>
      </c>
      <c r="G120" s="31" t="s">
        <v>421</v>
      </c>
      <c r="H120" s="31">
        <v>1.0053376632092694</v>
      </c>
      <c r="I120" s="83"/>
      <c r="J120" s="83"/>
      <c r="K120" s="83"/>
      <c r="L120" s="83"/>
      <c r="M120" s="83"/>
      <c r="N120" s="83"/>
      <c r="O120" s="31"/>
      <c r="P120" s="31"/>
      <c r="Q120" s="31"/>
      <c r="R120" s="31"/>
      <c r="S120" s="31"/>
      <c r="T120" s="31"/>
      <c r="U120" s="117">
        <v>0</v>
      </c>
      <c r="V120" s="83">
        <f>+VENDIDOS[[#This Row],[Avalúo Total 2025]]-VENDIDOS[[#This Row],[Avalúo Diciembre 2024]]</f>
        <v>0</v>
      </c>
      <c r="W120" s="83">
        <f>+VENDIDOS[[#This Row],[Avalúo Afecto Dic-2025]]-VENDIDOS[[#This Row],[Avalúo Afecto Dic-2024]]</f>
        <v>0</v>
      </c>
      <c r="X120" s="83">
        <f>+VENDIDOS[[#This Row],[Avalúo Exento Dic-2025]]-VENDIDOS[[#This Row],[Avalúo Exento Dic-2024]]</f>
        <v>0</v>
      </c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</row>
    <row r="121" spans="1:48" x14ac:dyDescent="0.3">
      <c r="A121" s="30" t="s">
        <v>79</v>
      </c>
      <c r="B121" s="31" t="s">
        <v>80</v>
      </c>
      <c r="C121" s="31" t="s">
        <v>422</v>
      </c>
      <c r="D121" s="42">
        <v>31663.569999999996</v>
      </c>
      <c r="E121" s="31" t="s">
        <v>73</v>
      </c>
      <c r="F121" s="32">
        <v>41046</v>
      </c>
      <c r="G121" s="31" t="s">
        <v>423</v>
      </c>
      <c r="H121" s="31">
        <v>0.9893157973027048</v>
      </c>
      <c r="I121" s="83"/>
      <c r="J121" s="83"/>
      <c r="K121" s="83"/>
      <c r="L121" s="83"/>
      <c r="M121" s="83"/>
      <c r="N121" s="83"/>
      <c r="O121" s="31"/>
      <c r="P121" s="31"/>
      <c r="Q121" s="31"/>
      <c r="R121" s="31"/>
      <c r="S121" s="31"/>
      <c r="T121" s="31"/>
      <c r="U121" s="117">
        <v>0</v>
      </c>
      <c r="V121" s="83">
        <f>+VENDIDOS[[#This Row],[Avalúo Total 2025]]-VENDIDOS[[#This Row],[Avalúo Diciembre 2024]]</f>
        <v>0</v>
      </c>
      <c r="W121" s="83">
        <f>+VENDIDOS[[#This Row],[Avalúo Afecto Dic-2025]]-VENDIDOS[[#This Row],[Avalúo Afecto Dic-2024]]</f>
        <v>0</v>
      </c>
      <c r="X121" s="83">
        <f>+VENDIDOS[[#This Row],[Avalúo Exento Dic-2025]]-VENDIDOS[[#This Row],[Avalúo Exento Dic-2024]]</f>
        <v>0</v>
      </c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</row>
    <row r="122" spans="1:48" x14ac:dyDescent="0.3">
      <c r="A122" s="30" t="s">
        <v>79</v>
      </c>
      <c r="B122" s="31" t="s">
        <v>80</v>
      </c>
      <c r="C122" s="31" t="s">
        <v>424</v>
      </c>
      <c r="D122" s="42">
        <v>4978.1099999999997</v>
      </c>
      <c r="E122" s="31" t="s">
        <v>73</v>
      </c>
      <c r="F122" s="32">
        <v>40046</v>
      </c>
      <c r="G122" s="31" t="s">
        <v>333</v>
      </c>
      <c r="H122" s="31">
        <v>0.92360755145772822</v>
      </c>
      <c r="I122" s="83"/>
      <c r="J122" s="83"/>
      <c r="K122" s="83"/>
      <c r="L122" s="83"/>
      <c r="M122" s="83"/>
      <c r="N122" s="83"/>
      <c r="O122" s="31"/>
      <c r="P122" s="31"/>
      <c r="Q122" s="31"/>
      <c r="R122" s="31"/>
      <c r="S122" s="31"/>
      <c r="T122" s="31"/>
      <c r="U122" s="117">
        <v>0</v>
      </c>
      <c r="V122" s="83">
        <f>+VENDIDOS[[#This Row],[Avalúo Total 2025]]-VENDIDOS[[#This Row],[Avalúo Diciembre 2024]]</f>
        <v>0</v>
      </c>
      <c r="W122" s="83">
        <f>+VENDIDOS[[#This Row],[Avalúo Afecto Dic-2025]]-VENDIDOS[[#This Row],[Avalúo Afecto Dic-2024]]</f>
        <v>0</v>
      </c>
      <c r="X122" s="83">
        <f>+VENDIDOS[[#This Row],[Avalúo Exento Dic-2025]]-VENDIDOS[[#This Row],[Avalúo Exento Dic-2024]]</f>
        <v>0</v>
      </c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</row>
    <row r="123" spans="1:48" x14ac:dyDescent="0.3">
      <c r="A123" s="30" t="s">
        <v>79</v>
      </c>
      <c r="B123" s="31" t="s">
        <v>80</v>
      </c>
      <c r="C123" s="31" t="s">
        <v>425</v>
      </c>
      <c r="D123" s="42">
        <v>195133.65</v>
      </c>
      <c r="E123" s="31" t="s">
        <v>73</v>
      </c>
      <c r="F123" s="32">
        <v>42069</v>
      </c>
      <c r="G123" s="31" t="s">
        <v>426</v>
      </c>
      <c r="H123" s="31">
        <v>0.40997541941125992</v>
      </c>
      <c r="I123" s="83"/>
      <c r="J123" s="83"/>
      <c r="K123" s="83"/>
      <c r="L123" s="83"/>
      <c r="M123" s="83"/>
      <c r="N123" s="83"/>
      <c r="O123" s="31"/>
      <c r="P123" s="31"/>
      <c r="Q123" s="31"/>
      <c r="R123" s="31"/>
      <c r="S123" s="31"/>
      <c r="T123" s="31"/>
      <c r="U123" s="117">
        <v>0</v>
      </c>
      <c r="V123" s="83">
        <f>+VENDIDOS[[#This Row],[Avalúo Total 2025]]-VENDIDOS[[#This Row],[Avalúo Diciembre 2024]]</f>
        <v>0</v>
      </c>
      <c r="W123" s="83">
        <f>+VENDIDOS[[#This Row],[Avalúo Afecto Dic-2025]]-VENDIDOS[[#This Row],[Avalúo Afecto Dic-2024]]</f>
        <v>0</v>
      </c>
      <c r="X123" s="83">
        <f>+VENDIDOS[[#This Row],[Avalúo Exento Dic-2025]]-VENDIDOS[[#This Row],[Avalúo Exento Dic-2024]]</f>
        <v>0</v>
      </c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</row>
    <row r="124" spans="1:48" x14ac:dyDescent="0.3">
      <c r="A124" s="30" t="s">
        <v>79</v>
      </c>
      <c r="B124" s="31" t="s">
        <v>71</v>
      </c>
      <c r="C124" s="31" t="s">
        <v>427</v>
      </c>
      <c r="D124" s="42">
        <v>615999.13</v>
      </c>
      <c r="E124" s="31" t="s">
        <v>73</v>
      </c>
      <c r="F124" s="32">
        <v>40127</v>
      </c>
      <c r="G124" s="31" t="s">
        <v>428</v>
      </c>
      <c r="H124" s="31">
        <v>0.30701017386177154</v>
      </c>
      <c r="I124" s="83"/>
      <c r="J124" s="83"/>
      <c r="K124" s="83"/>
      <c r="L124" s="83"/>
      <c r="M124" s="83"/>
      <c r="N124" s="83"/>
      <c r="O124" s="31"/>
      <c r="P124" s="31"/>
      <c r="Q124" s="31"/>
      <c r="R124" s="31"/>
      <c r="S124" s="31"/>
      <c r="T124" s="31"/>
      <c r="U124" s="117">
        <v>0</v>
      </c>
      <c r="V124" s="83">
        <f>+VENDIDOS[[#This Row],[Avalúo Total 2025]]-VENDIDOS[[#This Row],[Avalúo Diciembre 2024]]</f>
        <v>0</v>
      </c>
      <c r="W124" s="83">
        <f>+VENDIDOS[[#This Row],[Avalúo Afecto Dic-2025]]-VENDIDOS[[#This Row],[Avalúo Afecto Dic-2024]]</f>
        <v>0</v>
      </c>
      <c r="X124" s="83">
        <f>+VENDIDOS[[#This Row],[Avalúo Exento Dic-2025]]-VENDIDOS[[#This Row],[Avalúo Exento Dic-2024]]</f>
        <v>0</v>
      </c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</row>
    <row r="125" spans="1:48" x14ac:dyDescent="0.3">
      <c r="A125" s="30" t="s">
        <v>429</v>
      </c>
      <c r="B125" s="31" t="s">
        <v>401</v>
      </c>
      <c r="C125" s="31" t="s">
        <v>430</v>
      </c>
      <c r="D125" s="42">
        <v>126643.96</v>
      </c>
      <c r="E125" s="31" t="s">
        <v>73</v>
      </c>
      <c r="F125" s="32">
        <v>40598</v>
      </c>
      <c r="G125" s="31" t="s">
        <v>431</v>
      </c>
      <c r="H125" s="31">
        <v>0.82499789172732751</v>
      </c>
      <c r="I125" s="83"/>
      <c r="J125" s="83"/>
      <c r="K125" s="83"/>
      <c r="L125" s="83"/>
      <c r="M125" s="83"/>
      <c r="N125" s="83"/>
      <c r="O125" s="31"/>
      <c r="P125" s="31"/>
      <c r="Q125" s="31"/>
      <c r="R125" s="31" t="s">
        <v>432</v>
      </c>
      <c r="S125" s="31"/>
      <c r="T125" s="31"/>
      <c r="U125" s="117">
        <v>0</v>
      </c>
      <c r="V125" s="83">
        <f>+VENDIDOS[[#This Row],[Avalúo Total 2025]]-VENDIDOS[[#This Row],[Avalúo Diciembre 2024]]</f>
        <v>0</v>
      </c>
      <c r="W125" s="83">
        <f>+VENDIDOS[[#This Row],[Avalúo Afecto Dic-2025]]-VENDIDOS[[#This Row],[Avalúo Afecto Dic-2024]]</f>
        <v>0</v>
      </c>
      <c r="X125" s="83">
        <f>+VENDIDOS[[#This Row],[Avalúo Exento Dic-2025]]-VENDIDOS[[#This Row],[Avalúo Exento Dic-2024]]</f>
        <v>0</v>
      </c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</row>
    <row r="126" spans="1:48" x14ac:dyDescent="0.3">
      <c r="A126" s="30" t="s">
        <v>433</v>
      </c>
      <c r="B126" s="31" t="s">
        <v>80</v>
      </c>
      <c r="C126" s="31" t="s">
        <v>434</v>
      </c>
      <c r="D126" s="42">
        <v>13100</v>
      </c>
      <c r="E126" s="31" t="s">
        <v>73</v>
      </c>
      <c r="F126" s="32">
        <v>44144</v>
      </c>
      <c r="G126" s="31" t="s">
        <v>82</v>
      </c>
      <c r="H126" s="31">
        <v>2.36</v>
      </c>
      <c r="I126" s="83"/>
      <c r="J126" s="83"/>
      <c r="K126" s="83"/>
      <c r="L126" s="83"/>
      <c r="M126" s="83"/>
      <c r="N126" s="83"/>
      <c r="O126" s="31"/>
      <c r="P126" s="31"/>
      <c r="Q126" s="31"/>
      <c r="R126" s="31"/>
      <c r="S126" s="31"/>
      <c r="T126" s="31"/>
      <c r="U126" s="117">
        <v>0</v>
      </c>
      <c r="V126" s="83">
        <f>+VENDIDOS[[#This Row],[Avalúo Total 2025]]-VENDIDOS[[#This Row],[Avalúo Diciembre 2024]]</f>
        <v>0</v>
      </c>
      <c r="W126" s="83">
        <f>+VENDIDOS[[#This Row],[Avalúo Afecto Dic-2025]]-VENDIDOS[[#This Row],[Avalúo Afecto Dic-2024]]</f>
        <v>0</v>
      </c>
      <c r="X126" s="83">
        <f>+VENDIDOS[[#This Row],[Avalúo Exento Dic-2025]]-VENDIDOS[[#This Row],[Avalúo Exento Dic-2024]]</f>
        <v>0</v>
      </c>
      <c r="Y126" s="31">
        <v>13100</v>
      </c>
      <c r="Z126" s="31" t="s">
        <v>398</v>
      </c>
      <c r="AA126" s="31">
        <v>43427</v>
      </c>
      <c r="AB126" s="31" t="s">
        <v>435</v>
      </c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</row>
    <row r="127" spans="1:48" x14ac:dyDescent="0.3">
      <c r="A127" s="30" t="s">
        <v>89</v>
      </c>
      <c r="B127" s="31" t="s">
        <v>80</v>
      </c>
      <c r="C127" s="31" t="s">
        <v>436</v>
      </c>
      <c r="D127" s="42">
        <v>9857.9599999999991</v>
      </c>
      <c r="E127" s="31" t="s">
        <v>73</v>
      </c>
      <c r="F127" s="32">
        <v>43830</v>
      </c>
      <c r="G127" s="31" t="s">
        <v>437</v>
      </c>
      <c r="H127" s="31">
        <v>3.3</v>
      </c>
      <c r="I127" s="83"/>
      <c r="J127" s="83"/>
      <c r="K127" s="83"/>
      <c r="L127" s="83"/>
      <c r="M127" s="83"/>
      <c r="N127" s="83"/>
      <c r="O127" s="31"/>
      <c r="P127" s="31"/>
      <c r="Q127" s="31"/>
      <c r="R127" s="31"/>
      <c r="S127" s="31"/>
      <c r="T127" s="31"/>
      <c r="U127" s="117">
        <v>0</v>
      </c>
      <c r="V127" s="83">
        <f>+VENDIDOS[[#This Row],[Avalúo Total 2025]]-VENDIDOS[[#This Row],[Avalúo Diciembre 2024]]</f>
        <v>0</v>
      </c>
      <c r="W127" s="83">
        <f>+VENDIDOS[[#This Row],[Avalúo Afecto Dic-2025]]-VENDIDOS[[#This Row],[Avalúo Afecto Dic-2024]]</f>
        <v>0</v>
      </c>
      <c r="X127" s="83">
        <f>+VENDIDOS[[#This Row],[Avalúo Exento Dic-2025]]-VENDIDOS[[#This Row],[Avalúo Exento Dic-2024]]</f>
        <v>0</v>
      </c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</row>
    <row r="128" spans="1:48" x14ac:dyDescent="0.3">
      <c r="A128" s="30" t="s">
        <v>89</v>
      </c>
      <c r="B128" s="31" t="s">
        <v>80</v>
      </c>
      <c r="C128" s="31" t="s">
        <v>438</v>
      </c>
      <c r="D128" s="42">
        <v>10380.18</v>
      </c>
      <c r="E128" s="31" t="s">
        <v>73</v>
      </c>
      <c r="F128" s="32">
        <v>44195</v>
      </c>
      <c r="G128" s="31" t="s">
        <v>439</v>
      </c>
      <c r="H128" s="31">
        <v>3.3</v>
      </c>
      <c r="I128" s="83"/>
      <c r="J128" s="83"/>
      <c r="K128" s="83"/>
      <c r="L128" s="83"/>
      <c r="M128" s="83"/>
      <c r="N128" s="83"/>
      <c r="O128" s="31"/>
      <c r="P128" s="31"/>
      <c r="Q128" s="31"/>
      <c r="R128" s="31"/>
      <c r="S128" s="31"/>
      <c r="T128" s="31"/>
      <c r="U128" s="117">
        <v>0</v>
      </c>
      <c r="V128" s="83">
        <f>+VENDIDOS[[#This Row],[Avalúo Total 2025]]-VENDIDOS[[#This Row],[Avalúo Diciembre 2024]]</f>
        <v>0</v>
      </c>
      <c r="W128" s="83">
        <f>+VENDIDOS[[#This Row],[Avalúo Afecto Dic-2025]]-VENDIDOS[[#This Row],[Avalúo Afecto Dic-2024]]</f>
        <v>0</v>
      </c>
      <c r="X128" s="83">
        <f>+VENDIDOS[[#This Row],[Avalúo Exento Dic-2025]]-VENDIDOS[[#This Row],[Avalúo Exento Dic-2024]]</f>
        <v>0</v>
      </c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</row>
    <row r="129" spans="1:48" x14ac:dyDescent="0.3">
      <c r="A129" s="30" t="s">
        <v>89</v>
      </c>
      <c r="B129" s="31" t="s">
        <v>80</v>
      </c>
      <c r="C129" s="31" t="s">
        <v>440</v>
      </c>
      <c r="D129" s="42">
        <v>1311.15</v>
      </c>
      <c r="E129" s="31" t="s">
        <v>73</v>
      </c>
      <c r="F129" s="32">
        <v>43711</v>
      </c>
      <c r="G129" s="31" t="s">
        <v>441</v>
      </c>
      <c r="H129" s="31">
        <v>3</v>
      </c>
      <c r="I129" s="83"/>
      <c r="J129" s="83"/>
      <c r="K129" s="83"/>
      <c r="L129" s="83"/>
      <c r="M129" s="83"/>
      <c r="N129" s="83"/>
      <c r="O129" s="31"/>
      <c r="P129" s="31"/>
      <c r="Q129" s="31"/>
      <c r="R129" s="31"/>
      <c r="S129" s="31"/>
      <c r="T129" s="31"/>
      <c r="U129" s="117">
        <v>0</v>
      </c>
      <c r="V129" s="83">
        <f>+VENDIDOS[[#This Row],[Avalúo Total 2025]]-VENDIDOS[[#This Row],[Avalúo Diciembre 2024]]</f>
        <v>0</v>
      </c>
      <c r="W129" s="83">
        <f>+VENDIDOS[[#This Row],[Avalúo Afecto Dic-2025]]-VENDIDOS[[#This Row],[Avalúo Afecto Dic-2024]]</f>
        <v>0</v>
      </c>
      <c r="X129" s="83">
        <f>+VENDIDOS[[#This Row],[Avalúo Exento Dic-2025]]-VENDIDOS[[#This Row],[Avalúo Exento Dic-2024]]</f>
        <v>0</v>
      </c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</row>
    <row r="130" spans="1:48" x14ac:dyDescent="0.3">
      <c r="A130" s="30" t="s">
        <v>89</v>
      </c>
      <c r="B130" s="31" t="s">
        <v>80</v>
      </c>
      <c r="C130" s="31" t="s">
        <v>442</v>
      </c>
      <c r="D130" s="42">
        <v>3883.86</v>
      </c>
      <c r="E130" s="31" t="s">
        <v>73</v>
      </c>
      <c r="F130" s="32">
        <v>42027</v>
      </c>
      <c r="G130" s="31" t="s">
        <v>443</v>
      </c>
      <c r="H130" s="31">
        <v>2.3167673397084343</v>
      </c>
      <c r="I130" s="83"/>
      <c r="J130" s="83"/>
      <c r="K130" s="83"/>
      <c r="L130" s="83"/>
      <c r="M130" s="83"/>
      <c r="N130" s="83"/>
      <c r="O130" s="31"/>
      <c r="P130" s="31"/>
      <c r="Q130" s="31"/>
      <c r="R130" s="31"/>
      <c r="S130" s="31"/>
      <c r="T130" s="31"/>
      <c r="U130" s="117">
        <v>0</v>
      </c>
      <c r="V130" s="83">
        <f>+VENDIDOS[[#This Row],[Avalúo Total 2025]]-VENDIDOS[[#This Row],[Avalúo Diciembre 2024]]</f>
        <v>0</v>
      </c>
      <c r="W130" s="83">
        <f>+VENDIDOS[[#This Row],[Avalúo Afecto Dic-2025]]-VENDIDOS[[#This Row],[Avalúo Afecto Dic-2024]]</f>
        <v>0</v>
      </c>
      <c r="X130" s="83">
        <f>+VENDIDOS[[#This Row],[Avalúo Exento Dic-2025]]-VENDIDOS[[#This Row],[Avalúo Exento Dic-2024]]</f>
        <v>0</v>
      </c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</row>
    <row r="131" spans="1:48" x14ac:dyDescent="0.3">
      <c r="A131" s="30" t="s">
        <v>89</v>
      </c>
      <c r="B131" s="31" t="s">
        <v>80</v>
      </c>
      <c r="C131" s="31" t="s">
        <v>444</v>
      </c>
      <c r="D131" s="42">
        <v>5239.2299999999996</v>
      </c>
      <c r="E131" s="31" t="s">
        <v>73</v>
      </c>
      <c r="F131" s="32">
        <v>44141</v>
      </c>
      <c r="G131" s="31" t="s">
        <v>445</v>
      </c>
      <c r="H131" s="31">
        <v>2.2999999999999998</v>
      </c>
      <c r="I131" s="83"/>
      <c r="J131" s="83"/>
      <c r="K131" s="83"/>
      <c r="L131" s="83"/>
      <c r="M131" s="83"/>
      <c r="N131" s="83"/>
      <c r="O131" s="31"/>
      <c r="P131" s="31"/>
      <c r="Q131" s="31"/>
      <c r="R131" s="31"/>
      <c r="S131" s="31"/>
      <c r="T131" s="31"/>
      <c r="U131" s="117">
        <v>0</v>
      </c>
      <c r="V131" s="83">
        <f>+VENDIDOS[[#This Row],[Avalúo Total 2025]]-VENDIDOS[[#This Row],[Avalúo Diciembre 2024]]</f>
        <v>0</v>
      </c>
      <c r="W131" s="83">
        <f>+VENDIDOS[[#This Row],[Avalúo Afecto Dic-2025]]-VENDIDOS[[#This Row],[Avalúo Afecto Dic-2024]]</f>
        <v>0</v>
      </c>
      <c r="X131" s="83">
        <f>+VENDIDOS[[#This Row],[Avalúo Exento Dic-2025]]-VENDIDOS[[#This Row],[Avalúo Exento Dic-2024]]</f>
        <v>0</v>
      </c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</row>
    <row r="132" spans="1:48" x14ac:dyDescent="0.3">
      <c r="A132" s="30" t="s">
        <v>89</v>
      </c>
      <c r="B132" s="31" t="s">
        <v>80</v>
      </c>
      <c r="C132" s="31" t="s">
        <v>446</v>
      </c>
      <c r="D132" s="42">
        <v>10635.6</v>
      </c>
      <c r="E132" s="31" t="s">
        <v>73</v>
      </c>
      <c r="F132" s="32">
        <v>43356</v>
      </c>
      <c r="G132" s="31" t="s">
        <v>390</v>
      </c>
      <c r="H132" s="31">
        <v>2.0791492722554441</v>
      </c>
      <c r="I132" s="83"/>
      <c r="J132" s="83"/>
      <c r="K132" s="83"/>
      <c r="L132" s="83"/>
      <c r="M132" s="83"/>
      <c r="N132" s="83"/>
      <c r="O132" s="31"/>
      <c r="P132" s="31"/>
      <c r="Q132" s="31"/>
      <c r="R132" s="31"/>
      <c r="S132" s="31"/>
      <c r="T132" s="31"/>
      <c r="U132" s="117">
        <v>0</v>
      </c>
      <c r="V132" s="83">
        <f>+VENDIDOS[[#This Row],[Avalúo Total 2025]]-VENDIDOS[[#This Row],[Avalúo Diciembre 2024]]</f>
        <v>0</v>
      </c>
      <c r="W132" s="83">
        <f>+VENDIDOS[[#This Row],[Avalúo Afecto Dic-2025]]-VENDIDOS[[#This Row],[Avalúo Afecto Dic-2024]]</f>
        <v>0</v>
      </c>
      <c r="X132" s="83">
        <f>+VENDIDOS[[#This Row],[Avalúo Exento Dic-2025]]-VENDIDOS[[#This Row],[Avalúo Exento Dic-2024]]</f>
        <v>0</v>
      </c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</row>
    <row r="133" spans="1:48" x14ac:dyDescent="0.3">
      <c r="A133" s="30" t="s">
        <v>89</v>
      </c>
      <c r="B133" s="31" t="s">
        <v>80</v>
      </c>
      <c r="C133" s="31" t="s">
        <v>447</v>
      </c>
      <c r="D133" s="42">
        <v>5600</v>
      </c>
      <c r="E133" s="31" t="s">
        <v>73</v>
      </c>
      <c r="F133" s="32">
        <v>41279</v>
      </c>
      <c r="G133" s="31" t="s">
        <v>448</v>
      </c>
      <c r="H133" s="31">
        <v>2</v>
      </c>
      <c r="I133" s="83"/>
      <c r="J133" s="83"/>
      <c r="K133" s="83"/>
      <c r="L133" s="83"/>
      <c r="M133" s="83"/>
      <c r="N133" s="83"/>
      <c r="O133" s="31"/>
      <c r="P133" s="31"/>
      <c r="Q133" s="31"/>
      <c r="R133" s="31"/>
      <c r="S133" s="31"/>
      <c r="T133" s="31"/>
      <c r="U133" s="117">
        <v>0</v>
      </c>
      <c r="V133" s="83">
        <f>+VENDIDOS[[#This Row],[Avalúo Total 2025]]-VENDIDOS[[#This Row],[Avalúo Diciembre 2024]]</f>
        <v>0</v>
      </c>
      <c r="W133" s="83">
        <f>+VENDIDOS[[#This Row],[Avalúo Afecto Dic-2025]]-VENDIDOS[[#This Row],[Avalúo Afecto Dic-2024]]</f>
        <v>0</v>
      </c>
      <c r="X133" s="83">
        <f>+VENDIDOS[[#This Row],[Avalúo Exento Dic-2025]]-VENDIDOS[[#This Row],[Avalúo Exento Dic-2024]]</f>
        <v>0</v>
      </c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</row>
    <row r="134" spans="1:48" x14ac:dyDescent="0.3">
      <c r="A134" s="30" t="s">
        <v>89</v>
      </c>
      <c r="B134" s="31" t="s">
        <v>80</v>
      </c>
      <c r="C134" s="31" t="s">
        <v>449</v>
      </c>
      <c r="D134" s="42">
        <v>5000</v>
      </c>
      <c r="E134" s="31" t="s">
        <v>73</v>
      </c>
      <c r="F134" s="32">
        <v>38961</v>
      </c>
      <c r="G134" s="31" t="s">
        <v>450</v>
      </c>
      <c r="H134" s="31">
        <v>2</v>
      </c>
      <c r="I134" s="83"/>
      <c r="J134" s="83"/>
      <c r="K134" s="83"/>
      <c r="L134" s="83"/>
      <c r="M134" s="83"/>
      <c r="N134" s="83"/>
      <c r="O134" s="31"/>
      <c r="P134" s="31"/>
      <c r="Q134" s="31"/>
      <c r="R134" s="31"/>
      <c r="S134" s="31"/>
      <c r="T134" s="31"/>
      <c r="U134" s="117">
        <v>0</v>
      </c>
      <c r="V134" s="83">
        <f>+VENDIDOS[[#This Row],[Avalúo Total 2025]]-VENDIDOS[[#This Row],[Avalúo Diciembre 2024]]</f>
        <v>0</v>
      </c>
      <c r="W134" s="83">
        <f>+VENDIDOS[[#This Row],[Avalúo Afecto Dic-2025]]-VENDIDOS[[#This Row],[Avalúo Afecto Dic-2024]]</f>
        <v>0</v>
      </c>
      <c r="X134" s="83">
        <f>+VENDIDOS[[#This Row],[Avalúo Exento Dic-2025]]-VENDIDOS[[#This Row],[Avalúo Exento Dic-2024]]</f>
        <v>0</v>
      </c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</row>
    <row r="135" spans="1:48" x14ac:dyDescent="0.3">
      <c r="A135" s="30" t="s">
        <v>89</v>
      </c>
      <c r="B135" s="31" t="s">
        <v>80</v>
      </c>
      <c r="C135" s="31" t="s">
        <v>451</v>
      </c>
      <c r="D135" s="42">
        <v>1500</v>
      </c>
      <c r="E135" s="31" t="s">
        <v>73</v>
      </c>
      <c r="F135" s="32">
        <v>41606</v>
      </c>
      <c r="G135" s="31" t="s">
        <v>448</v>
      </c>
      <c r="H135" s="31">
        <v>2</v>
      </c>
      <c r="I135" s="83"/>
      <c r="J135" s="83"/>
      <c r="K135" s="83"/>
      <c r="L135" s="83"/>
      <c r="M135" s="83"/>
      <c r="N135" s="83"/>
      <c r="O135" s="31"/>
      <c r="P135" s="31"/>
      <c r="Q135" s="31"/>
      <c r="R135" s="31"/>
      <c r="S135" s="31"/>
      <c r="T135" s="31"/>
      <c r="U135" s="117">
        <v>0</v>
      </c>
      <c r="V135" s="83">
        <f>+VENDIDOS[[#This Row],[Avalúo Total 2025]]-VENDIDOS[[#This Row],[Avalúo Diciembre 2024]]</f>
        <v>0</v>
      </c>
      <c r="W135" s="83">
        <f>+VENDIDOS[[#This Row],[Avalúo Afecto Dic-2025]]-VENDIDOS[[#This Row],[Avalúo Afecto Dic-2024]]</f>
        <v>0</v>
      </c>
      <c r="X135" s="83">
        <f>+VENDIDOS[[#This Row],[Avalúo Exento Dic-2025]]-VENDIDOS[[#This Row],[Avalúo Exento Dic-2024]]</f>
        <v>0</v>
      </c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</row>
    <row r="136" spans="1:48" x14ac:dyDescent="0.3">
      <c r="A136" s="30" t="s">
        <v>89</v>
      </c>
      <c r="B136" s="31" t="s">
        <v>452</v>
      </c>
      <c r="C136" s="31" t="s">
        <v>453</v>
      </c>
      <c r="D136" s="42">
        <v>193159.99</v>
      </c>
      <c r="E136" s="31" t="s">
        <v>73</v>
      </c>
      <c r="F136" s="32">
        <v>40759</v>
      </c>
      <c r="G136" s="31" t="s">
        <v>351</v>
      </c>
      <c r="H136" s="31">
        <v>0.27192484323487487</v>
      </c>
      <c r="I136" s="83"/>
      <c r="J136" s="83"/>
      <c r="K136" s="83"/>
      <c r="L136" s="83"/>
      <c r="M136" s="83"/>
      <c r="N136" s="83"/>
      <c r="O136" s="31"/>
      <c r="P136" s="31"/>
      <c r="Q136" s="31"/>
      <c r="R136" s="31"/>
      <c r="S136" s="31"/>
      <c r="T136" s="31"/>
      <c r="U136" s="117">
        <v>0</v>
      </c>
      <c r="V136" s="83">
        <f>+VENDIDOS[[#This Row],[Avalúo Total 2025]]-VENDIDOS[[#This Row],[Avalúo Diciembre 2024]]</f>
        <v>0</v>
      </c>
      <c r="W136" s="83">
        <f>+VENDIDOS[[#This Row],[Avalúo Afecto Dic-2025]]-VENDIDOS[[#This Row],[Avalúo Afecto Dic-2024]]</f>
        <v>0</v>
      </c>
      <c r="X136" s="83">
        <f>+VENDIDOS[[#This Row],[Avalúo Exento Dic-2025]]-VENDIDOS[[#This Row],[Avalúo Exento Dic-2024]]</f>
        <v>0</v>
      </c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</row>
    <row r="137" spans="1:48" x14ac:dyDescent="0.3">
      <c r="A137" s="30" t="s">
        <v>89</v>
      </c>
      <c r="B137" s="31" t="s">
        <v>80</v>
      </c>
      <c r="C137" s="31" t="s">
        <v>447</v>
      </c>
      <c r="D137" s="42">
        <v>12423.48</v>
      </c>
      <c r="E137" s="31" t="s">
        <v>73</v>
      </c>
      <c r="F137" s="32">
        <v>41051</v>
      </c>
      <c r="G137" s="31" t="s">
        <v>448</v>
      </c>
      <c r="H137" s="31">
        <v>1.9575835405718895</v>
      </c>
      <c r="I137" s="83"/>
      <c r="J137" s="83"/>
      <c r="K137" s="83"/>
      <c r="L137" s="83"/>
      <c r="M137" s="83"/>
      <c r="N137" s="83"/>
      <c r="O137" s="31"/>
      <c r="P137" s="31"/>
      <c r="Q137" s="31"/>
      <c r="R137" s="31"/>
      <c r="S137" s="31"/>
      <c r="T137" s="31"/>
      <c r="U137" s="117">
        <v>0</v>
      </c>
      <c r="V137" s="83">
        <f>+VENDIDOS[[#This Row],[Avalúo Total 2025]]-VENDIDOS[[#This Row],[Avalúo Diciembre 2024]]</f>
        <v>0</v>
      </c>
      <c r="W137" s="83">
        <f>+VENDIDOS[[#This Row],[Avalúo Afecto Dic-2025]]-VENDIDOS[[#This Row],[Avalúo Afecto Dic-2024]]</f>
        <v>0</v>
      </c>
      <c r="X137" s="83">
        <f>+VENDIDOS[[#This Row],[Avalúo Exento Dic-2025]]-VENDIDOS[[#This Row],[Avalúo Exento Dic-2024]]</f>
        <v>0</v>
      </c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</row>
    <row r="138" spans="1:48" x14ac:dyDescent="0.3">
      <c r="A138" s="30" t="s">
        <v>89</v>
      </c>
      <c r="B138" s="31" t="s">
        <v>80</v>
      </c>
      <c r="C138" s="31" t="s">
        <v>454</v>
      </c>
      <c r="D138" s="42">
        <v>5000</v>
      </c>
      <c r="E138" s="31" t="s">
        <v>73</v>
      </c>
      <c r="F138" s="32">
        <v>42474</v>
      </c>
      <c r="G138" s="31" t="s">
        <v>455</v>
      </c>
      <c r="H138" s="31">
        <v>1.8</v>
      </c>
      <c r="I138" s="83"/>
      <c r="J138" s="83"/>
      <c r="K138" s="83"/>
      <c r="L138" s="83"/>
      <c r="M138" s="83"/>
      <c r="N138" s="83"/>
      <c r="O138" s="31"/>
      <c r="P138" s="31"/>
      <c r="Q138" s="31"/>
      <c r="R138" s="31"/>
      <c r="S138" s="31"/>
      <c r="T138" s="31"/>
      <c r="U138" s="117">
        <v>0</v>
      </c>
      <c r="V138" s="83">
        <f>+VENDIDOS[[#This Row],[Avalúo Total 2025]]-VENDIDOS[[#This Row],[Avalúo Diciembre 2024]]</f>
        <v>0</v>
      </c>
      <c r="W138" s="83">
        <f>+VENDIDOS[[#This Row],[Avalúo Afecto Dic-2025]]-VENDIDOS[[#This Row],[Avalúo Afecto Dic-2024]]</f>
        <v>0</v>
      </c>
      <c r="X138" s="83">
        <f>+VENDIDOS[[#This Row],[Avalúo Exento Dic-2025]]-VENDIDOS[[#This Row],[Avalúo Exento Dic-2024]]</f>
        <v>0</v>
      </c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</row>
    <row r="139" spans="1:48" x14ac:dyDescent="0.3">
      <c r="A139" s="30" t="s">
        <v>89</v>
      </c>
      <c r="B139" s="31" t="s">
        <v>80</v>
      </c>
      <c r="C139" s="31" t="s">
        <v>456</v>
      </c>
      <c r="D139" s="42">
        <v>2000</v>
      </c>
      <c r="E139" s="31" t="s">
        <v>73</v>
      </c>
      <c r="F139" s="32">
        <v>39246</v>
      </c>
      <c r="G139" s="31" t="s">
        <v>457</v>
      </c>
      <c r="H139" s="31">
        <v>1.5</v>
      </c>
      <c r="I139" s="83"/>
      <c r="J139" s="83"/>
      <c r="K139" s="83"/>
      <c r="L139" s="83"/>
      <c r="M139" s="83"/>
      <c r="N139" s="83"/>
      <c r="O139" s="31"/>
      <c r="P139" s="31"/>
      <c r="Q139" s="31"/>
      <c r="R139" s="31"/>
      <c r="S139" s="31"/>
      <c r="T139" s="31"/>
      <c r="U139" s="117">
        <v>0</v>
      </c>
      <c r="V139" s="83">
        <f>+VENDIDOS[[#This Row],[Avalúo Total 2025]]-VENDIDOS[[#This Row],[Avalúo Diciembre 2024]]</f>
        <v>0</v>
      </c>
      <c r="W139" s="83">
        <f>+VENDIDOS[[#This Row],[Avalúo Afecto Dic-2025]]-VENDIDOS[[#This Row],[Avalúo Afecto Dic-2024]]</f>
        <v>0</v>
      </c>
      <c r="X139" s="83">
        <f>+VENDIDOS[[#This Row],[Avalúo Exento Dic-2025]]-VENDIDOS[[#This Row],[Avalúo Exento Dic-2024]]</f>
        <v>0</v>
      </c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</row>
    <row r="140" spans="1:48" x14ac:dyDescent="0.3">
      <c r="A140" s="30" t="s">
        <v>89</v>
      </c>
      <c r="B140" s="31" t="s">
        <v>80</v>
      </c>
      <c r="C140" s="31" t="s">
        <v>458</v>
      </c>
      <c r="D140" s="42">
        <v>12043.16</v>
      </c>
      <c r="E140" s="31" t="s">
        <v>73</v>
      </c>
      <c r="F140" s="32">
        <v>40217</v>
      </c>
      <c r="G140" s="31" t="s">
        <v>351</v>
      </c>
      <c r="H140" s="31">
        <v>1.2291749009396205</v>
      </c>
      <c r="I140" s="83"/>
      <c r="J140" s="83"/>
      <c r="K140" s="83"/>
      <c r="L140" s="83"/>
      <c r="M140" s="83"/>
      <c r="N140" s="83"/>
      <c r="O140" s="31"/>
      <c r="P140" s="31"/>
      <c r="Q140" s="31"/>
      <c r="R140" s="31"/>
      <c r="S140" s="31"/>
      <c r="T140" s="31"/>
      <c r="U140" s="117">
        <v>0</v>
      </c>
      <c r="V140" s="83">
        <f>+VENDIDOS[[#This Row],[Avalúo Total 2025]]-VENDIDOS[[#This Row],[Avalúo Diciembre 2024]]</f>
        <v>0</v>
      </c>
      <c r="W140" s="83">
        <f>+VENDIDOS[[#This Row],[Avalúo Afecto Dic-2025]]-VENDIDOS[[#This Row],[Avalúo Afecto Dic-2024]]</f>
        <v>0</v>
      </c>
      <c r="X140" s="83">
        <f>+VENDIDOS[[#This Row],[Avalúo Exento Dic-2025]]-VENDIDOS[[#This Row],[Avalúo Exento Dic-2024]]</f>
        <v>0</v>
      </c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</row>
    <row r="141" spans="1:48" x14ac:dyDescent="0.3">
      <c r="A141" s="30" t="s">
        <v>89</v>
      </c>
      <c r="B141" s="31" t="s">
        <v>80</v>
      </c>
      <c r="C141" s="31" t="s">
        <v>459</v>
      </c>
      <c r="D141" s="42">
        <v>8980.6200000000008</v>
      </c>
      <c r="E141" s="31" t="s">
        <v>73</v>
      </c>
      <c r="F141" s="32">
        <v>42150</v>
      </c>
      <c r="G141" s="31" t="s">
        <v>460</v>
      </c>
      <c r="H141" s="31">
        <v>1.2000006681053199</v>
      </c>
      <c r="I141" s="83"/>
      <c r="J141" s="83"/>
      <c r="K141" s="83"/>
      <c r="L141" s="83"/>
      <c r="M141" s="83"/>
      <c r="N141" s="83"/>
      <c r="O141" s="31"/>
      <c r="P141" s="31"/>
      <c r="Q141" s="31"/>
      <c r="R141" s="31"/>
      <c r="S141" s="31"/>
      <c r="T141" s="31"/>
      <c r="U141" s="117">
        <v>0</v>
      </c>
      <c r="V141" s="83">
        <f>+VENDIDOS[[#This Row],[Avalúo Total 2025]]-VENDIDOS[[#This Row],[Avalúo Diciembre 2024]]</f>
        <v>0</v>
      </c>
      <c r="W141" s="83">
        <f>+VENDIDOS[[#This Row],[Avalúo Afecto Dic-2025]]-VENDIDOS[[#This Row],[Avalúo Afecto Dic-2024]]</f>
        <v>0</v>
      </c>
      <c r="X141" s="83">
        <f>+VENDIDOS[[#This Row],[Avalúo Exento Dic-2025]]-VENDIDOS[[#This Row],[Avalúo Exento Dic-2024]]</f>
        <v>0</v>
      </c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</row>
    <row r="142" spans="1:48" x14ac:dyDescent="0.3">
      <c r="A142" s="30" t="s">
        <v>89</v>
      </c>
      <c r="B142" s="31" t="s">
        <v>80</v>
      </c>
      <c r="C142" s="31" t="s">
        <v>461</v>
      </c>
      <c r="D142" s="42">
        <v>7405.43</v>
      </c>
      <c r="E142" s="31" t="s">
        <v>73</v>
      </c>
      <c r="F142" s="32">
        <v>41641</v>
      </c>
      <c r="G142" s="31" t="s">
        <v>462</v>
      </c>
      <c r="H142" s="31">
        <v>1.1995360302966624</v>
      </c>
      <c r="I142" s="83"/>
      <c r="J142" s="83"/>
      <c r="K142" s="83"/>
      <c r="L142" s="83"/>
      <c r="M142" s="83"/>
      <c r="N142" s="83"/>
      <c r="O142" s="31"/>
      <c r="P142" s="31"/>
      <c r="Q142" s="31"/>
      <c r="R142" s="31"/>
      <c r="S142" s="31"/>
      <c r="T142" s="31"/>
      <c r="U142" s="117">
        <v>0</v>
      </c>
      <c r="V142" s="83">
        <f>+VENDIDOS[[#This Row],[Avalúo Total 2025]]-VENDIDOS[[#This Row],[Avalúo Diciembre 2024]]</f>
        <v>0</v>
      </c>
      <c r="W142" s="83">
        <f>+VENDIDOS[[#This Row],[Avalúo Afecto Dic-2025]]-VENDIDOS[[#This Row],[Avalúo Afecto Dic-2024]]</f>
        <v>0</v>
      </c>
      <c r="X142" s="83">
        <f>+VENDIDOS[[#This Row],[Avalúo Exento Dic-2025]]-VENDIDOS[[#This Row],[Avalúo Exento Dic-2024]]</f>
        <v>0</v>
      </c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</row>
    <row r="143" spans="1:48" x14ac:dyDescent="0.3">
      <c r="A143" s="30" t="s">
        <v>89</v>
      </c>
      <c r="B143" s="31" t="s">
        <v>80</v>
      </c>
      <c r="C143" s="31" t="s">
        <v>463</v>
      </c>
      <c r="D143" s="42">
        <v>53340</v>
      </c>
      <c r="E143" s="31" t="s">
        <v>73</v>
      </c>
      <c r="F143" s="32">
        <v>43579</v>
      </c>
      <c r="G143" s="31" t="s">
        <v>464</v>
      </c>
      <c r="H143" s="31">
        <v>1.17</v>
      </c>
      <c r="I143" s="83"/>
      <c r="J143" s="83"/>
      <c r="K143" s="83"/>
      <c r="L143" s="83"/>
      <c r="M143" s="83"/>
      <c r="N143" s="83"/>
      <c r="O143" s="31"/>
      <c r="P143" s="31"/>
      <c r="Q143" s="31"/>
      <c r="R143" s="31"/>
      <c r="S143" s="31"/>
      <c r="T143" s="31"/>
      <c r="U143" s="117">
        <v>0</v>
      </c>
      <c r="V143" s="83">
        <f>+VENDIDOS[[#This Row],[Avalúo Total 2025]]-VENDIDOS[[#This Row],[Avalúo Diciembre 2024]]</f>
        <v>0</v>
      </c>
      <c r="W143" s="83">
        <f>+VENDIDOS[[#This Row],[Avalúo Afecto Dic-2025]]-VENDIDOS[[#This Row],[Avalúo Afecto Dic-2024]]</f>
        <v>0</v>
      </c>
      <c r="X143" s="83">
        <f>+VENDIDOS[[#This Row],[Avalúo Exento Dic-2025]]-VENDIDOS[[#This Row],[Avalúo Exento Dic-2024]]</f>
        <v>0</v>
      </c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</row>
    <row r="144" spans="1:48" x14ac:dyDescent="0.3">
      <c r="A144" s="30" t="s">
        <v>89</v>
      </c>
      <c r="B144" s="31" t="s">
        <v>80</v>
      </c>
      <c r="C144" s="31" t="s">
        <v>465</v>
      </c>
      <c r="D144" s="42">
        <v>35337</v>
      </c>
      <c r="E144" s="31" t="s">
        <v>73</v>
      </c>
      <c r="F144" s="32">
        <v>43579</v>
      </c>
      <c r="G144" s="31" t="s">
        <v>464</v>
      </c>
      <c r="H144" s="31">
        <v>1.17</v>
      </c>
      <c r="I144" s="83"/>
      <c r="J144" s="83"/>
      <c r="K144" s="83"/>
      <c r="L144" s="83"/>
      <c r="M144" s="83"/>
      <c r="N144" s="83"/>
      <c r="O144" s="31"/>
      <c r="P144" s="31"/>
      <c r="Q144" s="31"/>
      <c r="R144" s="31"/>
      <c r="S144" s="31"/>
      <c r="T144" s="31"/>
      <c r="U144" s="117">
        <v>0</v>
      </c>
      <c r="V144" s="83">
        <f>+VENDIDOS[[#This Row],[Avalúo Total 2025]]-VENDIDOS[[#This Row],[Avalúo Diciembre 2024]]</f>
        <v>0</v>
      </c>
      <c r="W144" s="83">
        <f>+VENDIDOS[[#This Row],[Avalúo Afecto Dic-2025]]-VENDIDOS[[#This Row],[Avalúo Afecto Dic-2024]]</f>
        <v>0</v>
      </c>
      <c r="X144" s="83">
        <f>+VENDIDOS[[#This Row],[Avalúo Exento Dic-2025]]-VENDIDOS[[#This Row],[Avalúo Exento Dic-2024]]</f>
        <v>0</v>
      </c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</row>
    <row r="145" spans="1:48" x14ac:dyDescent="0.3">
      <c r="A145" s="30" t="s">
        <v>89</v>
      </c>
      <c r="B145" s="31" t="s">
        <v>80</v>
      </c>
      <c r="C145" s="31" t="s">
        <v>466</v>
      </c>
      <c r="D145" s="42">
        <v>62373.74</v>
      </c>
      <c r="E145" s="31" t="s">
        <v>73</v>
      </c>
      <c r="F145" s="32">
        <v>43557</v>
      </c>
      <c r="G145" s="31" t="s">
        <v>467</v>
      </c>
      <c r="H145" s="31">
        <v>1.08</v>
      </c>
      <c r="I145" s="83"/>
      <c r="J145" s="83"/>
      <c r="K145" s="83"/>
      <c r="L145" s="83"/>
      <c r="M145" s="83"/>
      <c r="N145" s="83"/>
      <c r="O145" s="31"/>
      <c r="P145" s="31"/>
      <c r="Q145" s="31"/>
      <c r="R145" s="31"/>
      <c r="S145" s="31"/>
      <c r="T145" s="31"/>
      <c r="U145" s="117">
        <v>0</v>
      </c>
      <c r="V145" s="83">
        <f>+VENDIDOS[[#This Row],[Avalúo Total 2025]]-VENDIDOS[[#This Row],[Avalúo Diciembre 2024]]</f>
        <v>0</v>
      </c>
      <c r="W145" s="83">
        <f>+VENDIDOS[[#This Row],[Avalúo Afecto Dic-2025]]-VENDIDOS[[#This Row],[Avalúo Afecto Dic-2024]]</f>
        <v>0</v>
      </c>
      <c r="X145" s="83">
        <f>+VENDIDOS[[#This Row],[Avalúo Exento Dic-2025]]-VENDIDOS[[#This Row],[Avalúo Exento Dic-2024]]</f>
        <v>0</v>
      </c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</row>
    <row r="146" spans="1:48" x14ac:dyDescent="0.3">
      <c r="A146" s="30" t="s">
        <v>89</v>
      </c>
      <c r="B146" s="31" t="s">
        <v>80</v>
      </c>
      <c r="C146" s="31" t="s">
        <v>317</v>
      </c>
      <c r="D146" s="42">
        <v>393.4</v>
      </c>
      <c r="E146" s="31" t="s">
        <v>73</v>
      </c>
      <c r="F146" s="32">
        <v>42972</v>
      </c>
      <c r="G146" s="31" t="s">
        <v>117</v>
      </c>
      <c r="H146" s="31">
        <v>1.0085814259190162</v>
      </c>
      <c r="I146" s="83"/>
      <c r="J146" s="83"/>
      <c r="K146" s="83"/>
      <c r="L146" s="83"/>
      <c r="M146" s="83"/>
      <c r="N146" s="83"/>
      <c r="O146" s="31"/>
      <c r="P146" s="31"/>
      <c r="Q146" s="31"/>
      <c r="R146" s="31"/>
      <c r="S146" s="31"/>
      <c r="T146" s="31"/>
      <c r="U146" s="117">
        <v>0</v>
      </c>
      <c r="V146" s="83">
        <f>+VENDIDOS[[#This Row],[Avalúo Total 2025]]-VENDIDOS[[#This Row],[Avalúo Diciembre 2024]]</f>
        <v>0</v>
      </c>
      <c r="W146" s="83">
        <f>+VENDIDOS[[#This Row],[Avalúo Afecto Dic-2025]]-VENDIDOS[[#This Row],[Avalúo Afecto Dic-2024]]</f>
        <v>0</v>
      </c>
      <c r="X146" s="83">
        <f>+VENDIDOS[[#This Row],[Avalúo Exento Dic-2025]]-VENDIDOS[[#This Row],[Avalúo Exento Dic-2024]]</f>
        <v>0</v>
      </c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</row>
    <row r="147" spans="1:48" x14ac:dyDescent="0.3">
      <c r="A147" s="30" t="s">
        <v>89</v>
      </c>
      <c r="B147" s="31" t="s">
        <v>80</v>
      </c>
      <c r="C147" s="31" t="s">
        <v>317</v>
      </c>
      <c r="D147" s="42">
        <v>435.26</v>
      </c>
      <c r="E147" s="31" t="s">
        <v>73</v>
      </c>
      <c r="F147" s="32">
        <v>42549</v>
      </c>
      <c r="G147" s="31" t="s">
        <v>117</v>
      </c>
      <c r="H147" s="31">
        <v>1.0080981710522532</v>
      </c>
      <c r="I147" s="83"/>
      <c r="J147" s="83"/>
      <c r="K147" s="83"/>
      <c r="L147" s="83"/>
      <c r="M147" s="83"/>
      <c r="N147" s="83"/>
      <c r="O147" s="31"/>
      <c r="P147" s="31"/>
      <c r="Q147" s="31"/>
      <c r="R147" s="31"/>
      <c r="S147" s="31"/>
      <c r="T147" s="31"/>
      <c r="U147" s="117">
        <v>0</v>
      </c>
      <c r="V147" s="83">
        <f>+VENDIDOS[[#This Row],[Avalúo Total 2025]]-VENDIDOS[[#This Row],[Avalúo Diciembre 2024]]</f>
        <v>0</v>
      </c>
      <c r="W147" s="83">
        <f>+VENDIDOS[[#This Row],[Avalúo Afecto Dic-2025]]-VENDIDOS[[#This Row],[Avalúo Afecto Dic-2024]]</f>
        <v>0</v>
      </c>
      <c r="X147" s="83">
        <f>+VENDIDOS[[#This Row],[Avalúo Exento Dic-2025]]-VENDIDOS[[#This Row],[Avalúo Exento Dic-2024]]</f>
        <v>0</v>
      </c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</row>
    <row r="148" spans="1:48" x14ac:dyDescent="0.3">
      <c r="A148" s="30" t="s">
        <v>89</v>
      </c>
      <c r="B148" s="31" t="s">
        <v>80</v>
      </c>
      <c r="C148" s="31" t="s">
        <v>387</v>
      </c>
      <c r="D148" s="42">
        <v>60311.46</v>
      </c>
      <c r="E148" s="31" t="s">
        <v>73</v>
      </c>
      <c r="F148" s="32" t="s">
        <v>1260</v>
      </c>
      <c r="G148" s="31" t="s">
        <v>125</v>
      </c>
      <c r="H148" s="31">
        <v>1</v>
      </c>
      <c r="I148" s="83"/>
      <c r="J148" s="83"/>
      <c r="K148" s="83"/>
      <c r="L148" s="83"/>
      <c r="M148" s="83"/>
      <c r="N148" s="83"/>
      <c r="O148" s="31"/>
      <c r="P148" s="31"/>
      <c r="Q148" s="31"/>
      <c r="R148" s="31"/>
      <c r="S148" s="31"/>
      <c r="T148" s="31"/>
      <c r="U148" s="117">
        <v>0</v>
      </c>
      <c r="V148" s="83">
        <f>+VENDIDOS[[#This Row],[Avalúo Total 2025]]-VENDIDOS[[#This Row],[Avalúo Diciembre 2024]]</f>
        <v>0</v>
      </c>
      <c r="W148" s="83">
        <f>+VENDIDOS[[#This Row],[Avalúo Afecto Dic-2025]]-VENDIDOS[[#This Row],[Avalúo Afecto Dic-2024]]</f>
        <v>0</v>
      </c>
      <c r="X148" s="83">
        <f>+VENDIDOS[[#This Row],[Avalúo Exento Dic-2025]]-VENDIDOS[[#This Row],[Avalúo Exento Dic-2024]]</f>
        <v>0</v>
      </c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</row>
    <row r="149" spans="1:48" x14ac:dyDescent="0.3">
      <c r="A149" s="30" t="s">
        <v>89</v>
      </c>
      <c r="B149" s="31" t="s">
        <v>80</v>
      </c>
      <c r="C149" s="31" t="s">
        <v>468</v>
      </c>
      <c r="D149" s="42">
        <v>1264.23</v>
      </c>
      <c r="E149" s="31" t="s">
        <v>73</v>
      </c>
      <c r="F149" s="32">
        <v>39380</v>
      </c>
      <c r="G149" s="31" t="s">
        <v>469</v>
      </c>
      <c r="H149" s="31">
        <v>1</v>
      </c>
      <c r="I149" s="83"/>
      <c r="J149" s="83"/>
      <c r="K149" s="83"/>
      <c r="L149" s="83"/>
      <c r="M149" s="83"/>
      <c r="N149" s="83"/>
      <c r="O149" s="31"/>
      <c r="P149" s="31"/>
      <c r="Q149" s="31"/>
      <c r="R149" s="31"/>
      <c r="S149" s="31"/>
      <c r="T149" s="31"/>
      <c r="U149" s="117">
        <v>0</v>
      </c>
      <c r="V149" s="83">
        <f>+VENDIDOS[[#This Row],[Avalúo Total 2025]]-VENDIDOS[[#This Row],[Avalúo Diciembre 2024]]</f>
        <v>0</v>
      </c>
      <c r="W149" s="83">
        <f>+VENDIDOS[[#This Row],[Avalúo Afecto Dic-2025]]-VENDIDOS[[#This Row],[Avalúo Afecto Dic-2024]]</f>
        <v>0</v>
      </c>
      <c r="X149" s="83">
        <f>+VENDIDOS[[#This Row],[Avalúo Exento Dic-2025]]-VENDIDOS[[#This Row],[Avalúo Exento Dic-2024]]</f>
        <v>0</v>
      </c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</row>
    <row r="150" spans="1:48" x14ac:dyDescent="0.3">
      <c r="A150" s="30" t="s">
        <v>89</v>
      </c>
      <c r="B150" s="31" t="s">
        <v>80</v>
      </c>
      <c r="C150" s="31" t="s">
        <v>470</v>
      </c>
      <c r="D150" s="42">
        <v>45536.01</v>
      </c>
      <c r="E150" s="31" t="s">
        <v>73</v>
      </c>
      <c r="F150" s="32">
        <v>42125</v>
      </c>
      <c r="G150" s="31" t="s">
        <v>471</v>
      </c>
      <c r="H150" s="31">
        <v>1</v>
      </c>
      <c r="I150" s="83"/>
      <c r="J150" s="83"/>
      <c r="K150" s="83"/>
      <c r="L150" s="83"/>
      <c r="M150" s="83"/>
      <c r="N150" s="83"/>
      <c r="O150" s="31"/>
      <c r="P150" s="31"/>
      <c r="Q150" s="31"/>
      <c r="R150" s="31"/>
      <c r="S150" s="31"/>
      <c r="T150" s="31"/>
      <c r="U150" s="117">
        <v>0</v>
      </c>
      <c r="V150" s="83">
        <f>+VENDIDOS[[#This Row],[Avalúo Total 2025]]-VENDIDOS[[#This Row],[Avalúo Diciembre 2024]]</f>
        <v>0</v>
      </c>
      <c r="W150" s="83">
        <f>+VENDIDOS[[#This Row],[Avalúo Afecto Dic-2025]]-VENDIDOS[[#This Row],[Avalúo Afecto Dic-2024]]</f>
        <v>0</v>
      </c>
      <c r="X150" s="83">
        <f>+VENDIDOS[[#This Row],[Avalúo Exento Dic-2025]]-VENDIDOS[[#This Row],[Avalúo Exento Dic-2024]]</f>
        <v>0</v>
      </c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</row>
    <row r="151" spans="1:48" x14ac:dyDescent="0.3">
      <c r="A151" s="30" t="s">
        <v>89</v>
      </c>
      <c r="B151" s="31" t="s">
        <v>80</v>
      </c>
      <c r="C151" s="31" t="s">
        <v>472</v>
      </c>
      <c r="D151" s="42">
        <v>66570.350000000006</v>
      </c>
      <c r="E151" s="31" t="s">
        <v>73</v>
      </c>
      <c r="F151" s="32">
        <v>39163</v>
      </c>
      <c r="G151" s="31" t="s">
        <v>421</v>
      </c>
      <c r="H151" s="31">
        <v>0.9989882883295641</v>
      </c>
      <c r="I151" s="83"/>
      <c r="J151" s="83"/>
      <c r="K151" s="83"/>
      <c r="L151" s="83"/>
      <c r="M151" s="83"/>
      <c r="N151" s="83"/>
      <c r="O151" s="31"/>
      <c r="P151" s="31"/>
      <c r="Q151" s="31"/>
      <c r="R151" s="31"/>
      <c r="S151" s="31"/>
      <c r="T151" s="31"/>
      <c r="U151" s="117">
        <v>0</v>
      </c>
      <c r="V151" s="83">
        <f>+VENDIDOS[[#This Row],[Avalúo Total 2025]]-VENDIDOS[[#This Row],[Avalúo Diciembre 2024]]</f>
        <v>0</v>
      </c>
      <c r="W151" s="83">
        <f>+VENDIDOS[[#This Row],[Avalúo Afecto Dic-2025]]-VENDIDOS[[#This Row],[Avalúo Afecto Dic-2024]]</f>
        <v>0</v>
      </c>
      <c r="X151" s="83">
        <f>+VENDIDOS[[#This Row],[Avalúo Exento Dic-2025]]-VENDIDOS[[#This Row],[Avalúo Exento Dic-2024]]</f>
        <v>0</v>
      </c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</row>
    <row r="152" spans="1:48" x14ac:dyDescent="0.3">
      <c r="A152" s="30" t="s">
        <v>89</v>
      </c>
      <c r="B152" s="31" t="s">
        <v>80</v>
      </c>
      <c r="C152" s="31" t="s">
        <v>473</v>
      </c>
      <c r="D152" s="42">
        <v>54587.1</v>
      </c>
      <c r="E152" s="31" t="s">
        <v>73</v>
      </c>
      <c r="F152" s="32">
        <v>42355</v>
      </c>
      <c r="G152" s="31" t="s">
        <v>474</v>
      </c>
      <c r="H152" s="31">
        <v>0.97858285199250372</v>
      </c>
      <c r="I152" s="83"/>
      <c r="J152" s="83"/>
      <c r="K152" s="83"/>
      <c r="L152" s="83"/>
      <c r="M152" s="83"/>
      <c r="N152" s="83"/>
      <c r="O152" s="31"/>
      <c r="P152" s="31"/>
      <c r="Q152" s="31"/>
      <c r="R152" s="31"/>
      <c r="S152" s="31"/>
      <c r="T152" s="31"/>
      <c r="U152" s="117">
        <v>0</v>
      </c>
      <c r="V152" s="83">
        <f>+VENDIDOS[[#This Row],[Avalúo Total 2025]]-VENDIDOS[[#This Row],[Avalúo Diciembre 2024]]</f>
        <v>0</v>
      </c>
      <c r="W152" s="83">
        <f>+VENDIDOS[[#This Row],[Avalúo Afecto Dic-2025]]-VENDIDOS[[#This Row],[Avalúo Afecto Dic-2024]]</f>
        <v>0</v>
      </c>
      <c r="X152" s="83">
        <f>+VENDIDOS[[#This Row],[Avalúo Exento Dic-2025]]-VENDIDOS[[#This Row],[Avalúo Exento Dic-2024]]</f>
        <v>0</v>
      </c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</row>
    <row r="153" spans="1:48" x14ac:dyDescent="0.3">
      <c r="A153" s="30" t="s">
        <v>89</v>
      </c>
      <c r="B153" s="31" t="s">
        <v>80</v>
      </c>
      <c r="C153" s="31" t="s">
        <v>317</v>
      </c>
      <c r="D153" s="42">
        <v>332.03</v>
      </c>
      <c r="E153" s="31" t="s">
        <v>73</v>
      </c>
      <c r="F153" s="32">
        <v>42726</v>
      </c>
      <c r="G153" s="31" t="s">
        <v>117</v>
      </c>
      <c r="H153" s="31">
        <v>0.9562256979371736</v>
      </c>
      <c r="I153" s="83"/>
      <c r="J153" s="83"/>
      <c r="K153" s="83"/>
      <c r="L153" s="83"/>
      <c r="M153" s="83"/>
      <c r="N153" s="83"/>
      <c r="O153" s="31"/>
      <c r="P153" s="31"/>
      <c r="Q153" s="31"/>
      <c r="R153" s="31"/>
      <c r="S153" s="31"/>
      <c r="T153" s="31"/>
      <c r="U153" s="117">
        <v>0</v>
      </c>
      <c r="V153" s="83">
        <f>+VENDIDOS[[#This Row],[Avalúo Total 2025]]-VENDIDOS[[#This Row],[Avalúo Diciembre 2024]]</f>
        <v>0</v>
      </c>
      <c r="W153" s="83">
        <f>+VENDIDOS[[#This Row],[Avalúo Afecto Dic-2025]]-VENDIDOS[[#This Row],[Avalúo Afecto Dic-2024]]</f>
        <v>0</v>
      </c>
      <c r="X153" s="83">
        <f>+VENDIDOS[[#This Row],[Avalúo Exento Dic-2025]]-VENDIDOS[[#This Row],[Avalúo Exento Dic-2024]]</f>
        <v>0</v>
      </c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</row>
    <row r="154" spans="1:48" x14ac:dyDescent="0.3">
      <c r="A154" s="30" t="s">
        <v>89</v>
      </c>
      <c r="B154" s="31" t="s">
        <v>80</v>
      </c>
      <c r="C154" s="31" t="s">
        <v>466</v>
      </c>
      <c r="D154" s="42">
        <v>67451.98</v>
      </c>
      <c r="E154" s="31" t="s">
        <v>73</v>
      </c>
      <c r="F154" s="32">
        <v>43557</v>
      </c>
      <c r="G154" s="31" t="s">
        <v>475</v>
      </c>
      <c r="H154" s="31">
        <v>0.92471177273076344</v>
      </c>
      <c r="I154" s="83"/>
      <c r="J154" s="83"/>
      <c r="K154" s="83"/>
      <c r="L154" s="83"/>
      <c r="M154" s="83"/>
      <c r="N154" s="83"/>
      <c r="O154" s="31"/>
      <c r="P154" s="31"/>
      <c r="Q154" s="31"/>
      <c r="R154" s="31"/>
      <c r="S154" s="31"/>
      <c r="T154" s="31"/>
      <c r="U154" s="117">
        <v>0</v>
      </c>
      <c r="V154" s="83">
        <f>+VENDIDOS[[#This Row],[Avalúo Total 2025]]-VENDIDOS[[#This Row],[Avalúo Diciembre 2024]]</f>
        <v>0</v>
      </c>
      <c r="W154" s="83">
        <f>+VENDIDOS[[#This Row],[Avalúo Afecto Dic-2025]]-VENDIDOS[[#This Row],[Avalúo Afecto Dic-2024]]</f>
        <v>0</v>
      </c>
      <c r="X154" s="83">
        <f>+VENDIDOS[[#This Row],[Avalúo Exento Dic-2025]]-VENDIDOS[[#This Row],[Avalúo Exento Dic-2024]]</f>
        <v>0</v>
      </c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</row>
    <row r="155" spans="1:48" x14ac:dyDescent="0.3">
      <c r="A155" s="30" t="s">
        <v>89</v>
      </c>
      <c r="B155" s="31" t="s">
        <v>80</v>
      </c>
      <c r="C155" s="31" t="s">
        <v>317</v>
      </c>
      <c r="D155" s="42">
        <v>945.47</v>
      </c>
      <c r="E155" s="31" t="s">
        <v>73</v>
      </c>
      <c r="F155" s="32">
        <v>42887</v>
      </c>
      <c r="G155" s="31" t="s">
        <v>117</v>
      </c>
      <c r="H155" s="31">
        <v>0.86821264228112549</v>
      </c>
      <c r="I155" s="83"/>
      <c r="J155" s="83"/>
      <c r="K155" s="83"/>
      <c r="L155" s="83"/>
      <c r="M155" s="83"/>
      <c r="N155" s="83"/>
      <c r="O155" s="31"/>
      <c r="P155" s="31"/>
      <c r="Q155" s="31"/>
      <c r="R155" s="31"/>
      <c r="S155" s="31"/>
      <c r="T155" s="31"/>
      <c r="U155" s="117">
        <v>0</v>
      </c>
      <c r="V155" s="83">
        <f>+VENDIDOS[[#This Row],[Avalúo Total 2025]]-VENDIDOS[[#This Row],[Avalúo Diciembre 2024]]</f>
        <v>0</v>
      </c>
      <c r="W155" s="83">
        <f>+VENDIDOS[[#This Row],[Avalúo Afecto Dic-2025]]-VENDIDOS[[#This Row],[Avalúo Afecto Dic-2024]]</f>
        <v>0</v>
      </c>
      <c r="X155" s="83">
        <f>+VENDIDOS[[#This Row],[Avalúo Exento Dic-2025]]-VENDIDOS[[#This Row],[Avalúo Exento Dic-2024]]</f>
        <v>0</v>
      </c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</row>
    <row r="156" spans="1:48" x14ac:dyDescent="0.3">
      <c r="A156" s="30" t="s">
        <v>89</v>
      </c>
      <c r="B156" s="31" t="s">
        <v>80</v>
      </c>
      <c r="C156" s="31" t="s">
        <v>317</v>
      </c>
      <c r="D156" s="42">
        <v>36395.160000000003</v>
      </c>
      <c r="E156" s="31" t="s">
        <v>73</v>
      </c>
      <c r="F156" s="32">
        <v>42726</v>
      </c>
      <c r="G156" s="31" t="s">
        <v>117</v>
      </c>
      <c r="H156" s="31">
        <v>0.85153233387946869</v>
      </c>
      <c r="I156" s="83"/>
      <c r="J156" s="83"/>
      <c r="K156" s="83"/>
      <c r="L156" s="83"/>
      <c r="M156" s="83"/>
      <c r="N156" s="83"/>
      <c r="O156" s="31"/>
      <c r="P156" s="31"/>
      <c r="Q156" s="31"/>
      <c r="R156" s="31"/>
      <c r="S156" s="31"/>
      <c r="T156" s="31"/>
      <c r="U156" s="117">
        <v>0</v>
      </c>
      <c r="V156" s="83">
        <f>+VENDIDOS[[#This Row],[Avalúo Total 2025]]-VENDIDOS[[#This Row],[Avalúo Diciembre 2024]]</f>
        <v>0</v>
      </c>
      <c r="W156" s="83">
        <f>+VENDIDOS[[#This Row],[Avalúo Afecto Dic-2025]]-VENDIDOS[[#This Row],[Avalúo Afecto Dic-2024]]</f>
        <v>0</v>
      </c>
      <c r="X156" s="83">
        <f>+VENDIDOS[[#This Row],[Avalúo Exento Dic-2025]]-VENDIDOS[[#This Row],[Avalúo Exento Dic-2024]]</f>
        <v>0</v>
      </c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</row>
    <row r="157" spans="1:48" x14ac:dyDescent="0.3">
      <c r="A157" s="30" t="s">
        <v>89</v>
      </c>
      <c r="B157" s="31" t="s">
        <v>80</v>
      </c>
      <c r="C157" s="31" t="s">
        <v>463</v>
      </c>
      <c r="D157" s="42">
        <v>53340</v>
      </c>
      <c r="E157" s="31" t="s">
        <v>73</v>
      </c>
      <c r="F157" s="32">
        <v>43579</v>
      </c>
      <c r="G157" s="31" t="s">
        <v>464</v>
      </c>
      <c r="H157" s="31">
        <v>0.85</v>
      </c>
      <c r="I157" s="83"/>
      <c r="J157" s="83"/>
      <c r="K157" s="83"/>
      <c r="L157" s="83"/>
      <c r="M157" s="83"/>
      <c r="N157" s="83"/>
      <c r="O157" s="31"/>
      <c r="P157" s="31"/>
      <c r="Q157" s="31"/>
      <c r="R157" s="31"/>
      <c r="S157" s="31"/>
      <c r="T157" s="31"/>
      <c r="U157" s="117">
        <v>0</v>
      </c>
      <c r="V157" s="83">
        <f>+VENDIDOS[[#This Row],[Avalúo Total 2025]]-VENDIDOS[[#This Row],[Avalúo Diciembre 2024]]</f>
        <v>0</v>
      </c>
      <c r="W157" s="83">
        <f>+VENDIDOS[[#This Row],[Avalúo Afecto Dic-2025]]-VENDIDOS[[#This Row],[Avalúo Afecto Dic-2024]]</f>
        <v>0</v>
      </c>
      <c r="X157" s="83">
        <f>+VENDIDOS[[#This Row],[Avalúo Exento Dic-2025]]-VENDIDOS[[#This Row],[Avalúo Exento Dic-2024]]</f>
        <v>0</v>
      </c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</row>
    <row r="158" spans="1:48" x14ac:dyDescent="0.3">
      <c r="A158" s="30" t="s">
        <v>89</v>
      </c>
      <c r="B158" s="31" t="s">
        <v>80</v>
      </c>
      <c r="C158" s="31" t="s">
        <v>465</v>
      </c>
      <c r="D158" s="42">
        <v>35337</v>
      </c>
      <c r="E158" s="31" t="s">
        <v>73</v>
      </c>
      <c r="F158" s="32">
        <v>43579</v>
      </c>
      <c r="G158" s="31" t="s">
        <v>464</v>
      </c>
      <c r="H158" s="31">
        <v>0.84998726547245096</v>
      </c>
      <c r="I158" s="83"/>
      <c r="J158" s="83"/>
      <c r="K158" s="83"/>
      <c r="L158" s="83"/>
      <c r="M158" s="83"/>
      <c r="N158" s="83"/>
      <c r="O158" s="31"/>
      <c r="P158" s="31"/>
      <c r="Q158" s="31"/>
      <c r="R158" s="31"/>
      <c r="S158" s="31"/>
      <c r="T158" s="31"/>
      <c r="U158" s="117">
        <v>0</v>
      </c>
      <c r="V158" s="83">
        <f>+VENDIDOS[[#This Row],[Avalúo Total 2025]]-VENDIDOS[[#This Row],[Avalúo Diciembre 2024]]</f>
        <v>0</v>
      </c>
      <c r="W158" s="83">
        <f>+VENDIDOS[[#This Row],[Avalúo Afecto Dic-2025]]-VENDIDOS[[#This Row],[Avalúo Afecto Dic-2024]]</f>
        <v>0</v>
      </c>
      <c r="X158" s="83">
        <f>+VENDIDOS[[#This Row],[Avalúo Exento Dic-2025]]-VENDIDOS[[#This Row],[Avalúo Exento Dic-2024]]</f>
        <v>0</v>
      </c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</row>
    <row r="159" spans="1:48" x14ac:dyDescent="0.3">
      <c r="A159" s="30" t="s">
        <v>89</v>
      </c>
      <c r="B159" s="31" t="s">
        <v>80</v>
      </c>
      <c r="C159" s="31" t="s">
        <v>476</v>
      </c>
      <c r="D159" s="42">
        <v>19648.560000000001</v>
      </c>
      <c r="E159" s="31" t="s">
        <v>73</v>
      </c>
      <c r="F159" s="32">
        <v>38639</v>
      </c>
      <c r="G159" s="31" t="s">
        <v>347</v>
      </c>
      <c r="H159" s="31">
        <v>0.83645773532513312</v>
      </c>
      <c r="I159" s="83"/>
      <c r="J159" s="83"/>
      <c r="K159" s="83"/>
      <c r="L159" s="83"/>
      <c r="M159" s="83"/>
      <c r="N159" s="83"/>
      <c r="O159" s="31"/>
      <c r="P159" s="31"/>
      <c r="Q159" s="31"/>
      <c r="R159" s="31"/>
      <c r="S159" s="31"/>
      <c r="T159" s="31"/>
      <c r="U159" s="117">
        <v>0</v>
      </c>
      <c r="V159" s="83">
        <f>+VENDIDOS[[#This Row],[Avalúo Total 2025]]-VENDIDOS[[#This Row],[Avalúo Diciembre 2024]]</f>
        <v>0</v>
      </c>
      <c r="W159" s="83">
        <f>+VENDIDOS[[#This Row],[Avalúo Afecto Dic-2025]]-VENDIDOS[[#This Row],[Avalúo Afecto Dic-2024]]</f>
        <v>0</v>
      </c>
      <c r="X159" s="83">
        <f>+VENDIDOS[[#This Row],[Avalúo Exento Dic-2025]]-VENDIDOS[[#This Row],[Avalúo Exento Dic-2024]]</f>
        <v>0</v>
      </c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</row>
    <row r="160" spans="1:48" x14ac:dyDescent="0.3">
      <c r="A160" s="30" t="s">
        <v>89</v>
      </c>
      <c r="B160" s="31" t="s">
        <v>80</v>
      </c>
      <c r="C160" s="31" t="s">
        <v>477</v>
      </c>
      <c r="D160" s="42">
        <v>97312.17</v>
      </c>
      <c r="E160" s="31" t="s">
        <v>73</v>
      </c>
      <c r="F160" s="32">
        <v>39014</v>
      </c>
      <c r="G160" s="31" t="s">
        <v>351</v>
      </c>
      <c r="H160" s="31">
        <v>0.82659229570155512</v>
      </c>
      <c r="I160" s="83"/>
      <c r="J160" s="83"/>
      <c r="K160" s="83"/>
      <c r="L160" s="83"/>
      <c r="M160" s="83"/>
      <c r="N160" s="83"/>
      <c r="O160" s="31"/>
      <c r="P160" s="31"/>
      <c r="Q160" s="31"/>
      <c r="R160" s="31"/>
      <c r="S160" s="31"/>
      <c r="T160" s="31"/>
      <c r="U160" s="117">
        <v>0</v>
      </c>
      <c r="V160" s="83">
        <f>+VENDIDOS[[#This Row],[Avalúo Total 2025]]-VENDIDOS[[#This Row],[Avalúo Diciembre 2024]]</f>
        <v>0</v>
      </c>
      <c r="W160" s="83">
        <f>+VENDIDOS[[#This Row],[Avalúo Afecto Dic-2025]]-VENDIDOS[[#This Row],[Avalúo Afecto Dic-2024]]</f>
        <v>0</v>
      </c>
      <c r="X160" s="83">
        <f>+VENDIDOS[[#This Row],[Avalúo Exento Dic-2025]]-VENDIDOS[[#This Row],[Avalúo Exento Dic-2024]]</f>
        <v>0</v>
      </c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</row>
    <row r="161" spans="1:48" x14ac:dyDescent="0.3">
      <c r="A161" s="30" t="s">
        <v>89</v>
      </c>
      <c r="B161" s="31" t="s">
        <v>80</v>
      </c>
      <c r="C161" s="31" t="s">
        <v>317</v>
      </c>
      <c r="D161" s="42">
        <v>6041.9</v>
      </c>
      <c r="E161" s="31" t="s">
        <v>73</v>
      </c>
      <c r="F161" s="32">
        <v>42676</v>
      </c>
      <c r="G161" s="31" t="s">
        <v>117</v>
      </c>
      <c r="H161" s="31">
        <v>0.79415245423914949</v>
      </c>
      <c r="I161" s="83"/>
      <c r="J161" s="83"/>
      <c r="K161" s="83"/>
      <c r="L161" s="83"/>
      <c r="M161" s="83"/>
      <c r="N161" s="83"/>
      <c r="O161" s="31"/>
      <c r="P161" s="31"/>
      <c r="Q161" s="31"/>
      <c r="R161" s="31"/>
      <c r="S161" s="31"/>
      <c r="T161" s="31"/>
      <c r="U161" s="117">
        <v>0</v>
      </c>
      <c r="V161" s="83">
        <f>+VENDIDOS[[#This Row],[Avalúo Total 2025]]-VENDIDOS[[#This Row],[Avalúo Diciembre 2024]]</f>
        <v>0</v>
      </c>
      <c r="W161" s="83">
        <f>+VENDIDOS[[#This Row],[Avalúo Afecto Dic-2025]]-VENDIDOS[[#This Row],[Avalúo Afecto Dic-2024]]</f>
        <v>0</v>
      </c>
      <c r="X161" s="83">
        <f>+VENDIDOS[[#This Row],[Avalúo Exento Dic-2025]]-VENDIDOS[[#This Row],[Avalúo Exento Dic-2024]]</f>
        <v>0</v>
      </c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</row>
    <row r="162" spans="1:48" x14ac:dyDescent="0.3">
      <c r="A162" s="30" t="s">
        <v>89</v>
      </c>
      <c r="B162" s="31" t="s">
        <v>80</v>
      </c>
      <c r="C162" s="31" t="s">
        <v>317</v>
      </c>
      <c r="D162" s="42">
        <v>5632.3</v>
      </c>
      <c r="E162" s="31" t="s">
        <v>73</v>
      </c>
      <c r="F162" s="32">
        <v>42689</v>
      </c>
      <c r="G162" s="31" t="s">
        <v>117</v>
      </c>
      <c r="H162" s="31">
        <v>0.76804222112407172</v>
      </c>
      <c r="I162" s="83"/>
      <c r="J162" s="83"/>
      <c r="K162" s="83"/>
      <c r="L162" s="83"/>
      <c r="M162" s="83"/>
      <c r="N162" s="83"/>
      <c r="O162" s="31"/>
      <c r="P162" s="31"/>
      <c r="Q162" s="31"/>
      <c r="R162" s="31"/>
      <c r="S162" s="31"/>
      <c r="T162" s="31"/>
      <c r="U162" s="117">
        <v>0</v>
      </c>
      <c r="V162" s="83">
        <f>+VENDIDOS[[#This Row],[Avalúo Total 2025]]-VENDIDOS[[#This Row],[Avalúo Diciembre 2024]]</f>
        <v>0</v>
      </c>
      <c r="W162" s="83">
        <f>+VENDIDOS[[#This Row],[Avalúo Afecto Dic-2025]]-VENDIDOS[[#This Row],[Avalúo Afecto Dic-2024]]</f>
        <v>0</v>
      </c>
      <c r="X162" s="83">
        <f>+VENDIDOS[[#This Row],[Avalúo Exento Dic-2025]]-VENDIDOS[[#This Row],[Avalúo Exento Dic-2024]]</f>
        <v>0</v>
      </c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</row>
    <row r="163" spans="1:48" x14ac:dyDescent="0.3">
      <c r="A163" s="30" t="s">
        <v>89</v>
      </c>
      <c r="B163" s="31" t="s">
        <v>80</v>
      </c>
      <c r="C163" s="31" t="s">
        <v>478</v>
      </c>
      <c r="D163" s="42">
        <v>13411.9</v>
      </c>
      <c r="E163" s="31" t="s">
        <v>73</v>
      </c>
      <c r="F163" s="32">
        <v>39282</v>
      </c>
      <c r="G163" s="31" t="s">
        <v>421</v>
      </c>
      <c r="H163" s="31">
        <v>0.75157136572745098</v>
      </c>
      <c r="I163" s="83"/>
      <c r="J163" s="83"/>
      <c r="K163" s="83"/>
      <c r="L163" s="83"/>
      <c r="M163" s="83"/>
      <c r="N163" s="83"/>
      <c r="O163" s="31"/>
      <c r="P163" s="31"/>
      <c r="Q163" s="31"/>
      <c r="R163" s="31"/>
      <c r="S163" s="31"/>
      <c r="T163" s="31"/>
      <c r="U163" s="117">
        <v>0</v>
      </c>
      <c r="V163" s="83">
        <f>+VENDIDOS[[#This Row],[Avalúo Total 2025]]-VENDIDOS[[#This Row],[Avalúo Diciembre 2024]]</f>
        <v>0</v>
      </c>
      <c r="W163" s="83">
        <f>+VENDIDOS[[#This Row],[Avalúo Afecto Dic-2025]]-VENDIDOS[[#This Row],[Avalúo Afecto Dic-2024]]</f>
        <v>0</v>
      </c>
      <c r="X163" s="83">
        <f>+VENDIDOS[[#This Row],[Avalúo Exento Dic-2025]]-VENDIDOS[[#This Row],[Avalúo Exento Dic-2024]]</f>
        <v>0</v>
      </c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</row>
    <row r="164" spans="1:48" x14ac:dyDescent="0.3">
      <c r="A164" s="30" t="s">
        <v>89</v>
      </c>
      <c r="B164" s="31" t="s">
        <v>80</v>
      </c>
      <c r="C164" s="31" t="s">
        <v>479</v>
      </c>
      <c r="D164" s="42">
        <v>66221.02</v>
      </c>
      <c r="E164" s="31" t="s">
        <v>73</v>
      </c>
      <c r="F164" s="32">
        <v>38351</v>
      </c>
      <c r="G164" s="31" t="s">
        <v>480</v>
      </c>
      <c r="H164" s="31">
        <v>0.75058006854940296</v>
      </c>
      <c r="I164" s="83"/>
      <c r="J164" s="83"/>
      <c r="K164" s="83"/>
      <c r="L164" s="83"/>
      <c r="M164" s="83"/>
      <c r="N164" s="83"/>
      <c r="O164" s="31"/>
      <c r="P164" s="31"/>
      <c r="Q164" s="31"/>
      <c r="R164" s="31"/>
      <c r="S164" s="31"/>
      <c r="T164" s="31"/>
      <c r="U164" s="117">
        <v>0</v>
      </c>
      <c r="V164" s="83">
        <f>+VENDIDOS[[#This Row],[Avalúo Total 2025]]-VENDIDOS[[#This Row],[Avalúo Diciembre 2024]]</f>
        <v>0</v>
      </c>
      <c r="W164" s="83">
        <f>+VENDIDOS[[#This Row],[Avalúo Afecto Dic-2025]]-VENDIDOS[[#This Row],[Avalúo Afecto Dic-2024]]</f>
        <v>0</v>
      </c>
      <c r="X164" s="83">
        <f>+VENDIDOS[[#This Row],[Avalúo Exento Dic-2025]]-VENDIDOS[[#This Row],[Avalúo Exento Dic-2024]]</f>
        <v>0</v>
      </c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</row>
    <row r="165" spans="1:48" x14ac:dyDescent="0.3">
      <c r="A165" s="30" t="s">
        <v>89</v>
      </c>
      <c r="B165" s="31" t="s">
        <v>80</v>
      </c>
      <c r="C165" s="31" t="s">
        <v>481</v>
      </c>
      <c r="D165" s="42">
        <v>17314.310000000001</v>
      </c>
      <c r="E165" s="31" t="s">
        <v>73</v>
      </c>
      <c r="F165" s="32">
        <v>38960</v>
      </c>
      <c r="G165" s="31" t="s">
        <v>482</v>
      </c>
      <c r="H165" s="31">
        <v>0.69304581008425981</v>
      </c>
      <c r="I165" s="83"/>
      <c r="J165" s="83"/>
      <c r="K165" s="83"/>
      <c r="L165" s="83"/>
      <c r="M165" s="83"/>
      <c r="N165" s="83"/>
      <c r="O165" s="31"/>
      <c r="P165" s="31"/>
      <c r="Q165" s="31"/>
      <c r="R165" s="31"/>
      <c r="S165" s="31"/>
      <c r="T165" s="31"/>
      <c r="U165" s="117">
        <v>0</v>
      </c>
      <c r="V165" s="83">
        <f>+VENDIDOS[[#This Row],[Avalúo Total 2025]]-VENDIDOS[[#This Row],[Avalúo Diciembre 2024]]</f>
        <v>0</v>
      </c>
      <c r="W165" s="83">
        <f>+VENDIDOS[[#This Row],[Avalúo Afecto Dic-2025]]-VENDIDOS[[#This Row],[Avalúo Afecto Dic-2024]]</f>
        <v>0</v>
      </c>
      <c r="X165" s="83">
        <f>+VENDIDOS[[#This Row],[Avalúo Exento Dic-2025]]-VENDIDOS[[#This Row],[Avalúo Exento Dic-2024]]</f>
        <v>0</v>
      </c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</row>
    <row r="166" spans="1:48" x14ac:dyDescent="0.3">
      <c r="A166" s="30" t="s">
        <v>89</v>
      </c>
      <c r="B166" s="31" t="s">
        <v>80</v>
      </c>
      <c r="C166" s="31" t="s">
        <v>483</v>
      </c>
      <c r="D166" s="42">
        <v>8233.24</v>
      </c>
      <c r="E166" s="31" t="s">
        <v>73</v>
      </c>
      <c r="F166" s="32">
        <v>37320</v>
      </c>
      <c r="G166" s="31" t="s">
        <v>103</v>
      </c>
      <c r="H166" s="31">
        <v>0.67626353659069827</v>
      </c>
      <c r="I166" s="83"/>
      <c r="J166" s="83"/>
      <c r="K166" s="83"/>
      <c r="L166" s="83"/>
      <c r="M166" s="83"/>
      <c r="N166" s="83"/>
      <c r="O166" s="31"/>
      <c r="P166" s="31"/>
      <c r="Q166" s="31"/>
      <c r="R166" s="31"/>
      <c r="S166" s="31"/>
      <c r="T166" s="31"/>
      <c r="U166" s="117">
        <v>0</v>
      </c>
      <c r="V166" s="83">
        <f>+VENDIDOS[[#This Row],[Avalúo Total 2025]]-VENDIDOS[[#This Row],[Avalúo Diciembre 2024]]</f>
        <v>0</v>
      </c>
      <c r="W166" s="83">
        <f>+VENDIDOS[[#This Row],[Avalúo Afecto Dic-2025]]-VENDIDOS[[#This Row],[Avalúo Afecto Dic-2024]]</f>
        <v>0</v>
      </c>
      <c r="X166" s="83">
        <f>+VENDIDOS[[#This Row],[Avalúo Exento Dic-2025]]-VENDIDOS[[#This Row],[Avalúo Exento Dic-2024]]</f>
        <v>0</v>
      </c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</row>
    <row r="167" spans="1:48" x14ac:dyDescent="0.3">
      <c r="A167" s="30" t="s">
        <v>89</v>
      </c>
      <c r="B167" s="31" t="s">
        <v>80</v>
      </c>
      <c r="C167" s="31" t="s">
        <v>484</v>
      </c>
      <c r="D167" s="42">
        <v>18769.900000000001</v>
      </c>
      <c r="E167" s="31" t="s">
        <v>73</v>
      </c>
      <c r="F167" s="32">
        <v>39014</v>
      </c>
      <c r="G167" s="31" t="s">
        <v>351</v>
      </c>
      <c r="H167" s="31">
        <v>0.64483774553940088</v>
      </c>
      <c r="I167" s="83"/>
      <c r="J167" s="83"/>
      <c r="K167" s="83"/>
      <c r="L167" s="83"/>
      <c r="M167" s="83"/>
      <c r="N167" s="83"/>
      <c r="O167" s="31"/>
      <c r="P167" s="31"/>
      <c r="Q167" s="31"/>
      <c r="R167" s="31"/>
      <c r="S167" s="31"/>
      <c r="T167" s="31"/>
      <c r="U167" s="117">
        <v>0</v>
      </c>
      <c r="V167" s="83">
        <f>+VENDIDOS[[#This Row],[Avalúo Total 2025]]-VENDIDOS[[#This Row],[Avalúo Diciembre 2024]]</f>
        <v>0</v>
      </c>
      <c r="W167" s="83">
        <f>+VENDIDOS[[#This Row],[Avalúo Afecto Dic-2025]]-VENDIDOS[[#This Row],[Avalúo Afecto Dic-2024]]</f>
        <v>0</v>
      </c>
      <c r="X167" s="83">
        <f>+VENDIDOS[[#This Row],[Avalúo Exento Dic-2025]]-VENDIDOS[[#This Row],[Avalúo Exento Dic-2024]]</f>
        <v>0</v>
      </c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</row>
    <row r="168" spans="1:48" x14ac:dyDescent="0.3">
      <c r="A168" s="30" t="s">
        <v>89</v>
      </c>
      <c r="B168" s="31" t="s">
        <v>80</v>
      </c>
      <c r="C168" s="31" t="s">
        <v>485</v>
      </c>
      <c r="D168" s="42">
        <v>20400.599999999999</v>
      </c>
      <c r="E168" s="31" t="s">
        <v>73</v>
      </c>
      <c r="F168" s="32">
        <v>39014</v>
      </c>
      <c r="G168" s="31" t="s">
        <v>351</v>
      </c>
      <c r="H168" s="31">
        <v>0.63912630020685668</v>
      </c>
      <c r="I168" s="83"/>
      <c r="J168" s="83"/>
      <c r="K168" s="83"/>
      <c r="L168" s="83"/>
      <c r="M168" s="83"/>
      <c r="N168" s="83"/>
      <c r="O168" s="31"/>
      <c r="P168" s="31"/>
      <c r="Q168" s="31"/>
      <c r="R168" s="31"/>
      <c r="S168" s="31"/>
      <c r="T168" s="31"/>
      <c r="U168" s="117">
        <v>0</v>
      </c>
      <c r="V168" s="83">
        <f>+VENDIDOS[[#This Row],[Avalúo Total 2025]]-VENDIDOS[[#This Row],[Avalúo Diciembre 2024]]</f>
        <v>0</v>
      </c>
      <c r="W168" s="83">
        <f>+VENDIDOS[[#This Row],[Avalúo Afecto Dic-2025]]-VENDIDOS[[#This Row],[Avalúo Afecto Dic-2024]]</f>
        <v>0</v>
      </c>
      <c r="X168" s="83">
        <f>+VENDIDOS[[#This Row],[Avalúo Exento Dic-2025]]-VENDIDOS[[#This Row],[Avalúo Exento Dic-2024]]</f>
        <v>0</v>
      </c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</row>
    <row r="169" spans="1:48" x14ac:dyDescent="0.3">
      <c r="A169" s="30" t="s">
        <v>89</v>
      </c>
      <c r="B169" s="31" t="s">
        <v>80</v>
      </c>
      <c r="C169" s="31" t="s">
        <v>486</v>
      </c>
      <c r="D169" s="42">
        <v>109436.52</v>
      </c>
      <c r="E169" s="31" t="s">
        <v>73</v>
      </c>
      <c r="F169" s="32">
        <v>38351</v>
      </c>
      <c r="G169" s="31" t="s">
        <v>480</v>
      </c>
      <c r="H169" s="31">
        <v>0.6335028745431599</v>
      </c>
      <c r="I169" s="83"/>
      <c r="J169" s="83"/>
      <c r="K169" s="83"/>
      <c r="L169" s="83"/>
      <c r="M169" s="83"/>
      <c r="N169" s="83"/>
      <c r="O169" s="31"/>
      <c r="P169" s="31"/>
      <c r="Q169" s="31"/>
      <c r="R169" s="31"/>
      <c r="S169" s="31"/>
      <c r="T169" s="31"/>
      <c r="U169" s="117">
        <v>0</v>
      </c>
      <c r="V169" s="83">
        <f>+VENDIDOS[[#This Row],[Avalúo Total 2025]]-VENDIDOS[[#This Row],[Avalúo Diciembre 2024]]</f>
        <v>0</v>
      </c>
      <c r="W169" s="83">
        <f>+VENDIDOS[[#This Row],[Avalúo Afecto Dic-2025]]-VENDIDOS[[#This Row],[Avalúo Afecto Dic-2024]]</f>
        <v>0</v>
      </c>
      <c r="X169" s="83">
        <f>+VENDIDOS[[#This Row],[Avalúo Exento Dic-2025]]-VENDIDOS[[#This Row],[Avalúo Exento Dic-2024]]</f>
        <v>0</v>
      </c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</row>
    <row r="170" spans="1:48" x14ac:dyDescent="0.3">
      <c r="A170" s="30" t="s">
        <v>89</v>
      </c>
      <c r="B170" s="31" t="s">
        <v>80</v>
      </c>
      <c r="C170" s="31" t="s">
        <v>487</v>
      </c>
      <c r="D170" s="42">
        <v>91575.49</v>
      </c>
      <c r="E170" s="31" t="s">
        <v>73</v>
      </c>
      <c r="F170" s="32">
        <v>38351</v>
      </c>
      <c r="G170" s="31" t="s">
        <v>480</v>
      </c>
      <c r="H170" s="31">
        <v>0.51999994758422807</v>
      </c>
      <c r="I170" s="83"/>
      <c r="J170" s="83"/>
      <c r="K170" s="83"/>
      <c r="L170" s="83"/>
      <c r="M170" s="83"/>
      <c r="N170" s="83"/>
      <c r="O170" s="31"/>
      <c r="P170" s="31"/>
      <c r="Q170" s="31"/>
      <c r="R170" s="31"/>
      <c r="S170" s="31"/>
      <c r="T170" s="31"/>
      <c r="U170" s="117">
        <v>0</v>
      </c>
      <c r="V170" s="83">
        <f>+VENDIDOS[[#This Row],[Avalúo Total 2025]]-VENDIDOS[[#This Row],[Avalúo Diciembre 2024]]</f>
        <v>0</v>
      </c>
      <c r="W170" s="83">
        <f>+VENDIDOS[[#This Row],[Avalúo Afecto Dic-2025]]-VENDIDOS[[#This Row],[Avalúo Afecto Dic-2024]]</f>
        <v>0</v>
      </c>
      <c r="X170" s="83">
        <f>+VENDIDOS[[#This Row],[Avalúo Exento Dic-2025]]-VENDIDOS[[#This Row],[Avalúo Exento Dic-2024]]</f>
        <v>0</v>
      </c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</row>
    <row r="171" spans="1:48" x14ac:dyDescent="0.3">
      <c r="A171" s="30" t="s">
        <v>89</v>
      </c>
      <c r="B171" s="31" t="s">
        <v>380</v>
      </c>
      <c r="C171" s="31" t="s">
        <v>488</v>
      </c>
      <c r="D171" s="42">
        <v>121300</v>
      </c>
      <c r="E171" s="31" t="s">
        <v>73</v>
      </c>
      <c r="F171" s="32">
        <v>45622</v>
      </c>
      <c r="G171" s="31" t="s">
        <v>489</v>
      </c>
      <c r="H171" s="31">
        <v>0.109</v>
      </c>
      <c r="I171" s="83"/>
      <c r="J171" s="83"/>
      <c r="K171" s="83"/>
      <c r="L171" s="83"/>
      <c r="M171" s="83"/>
      <c r="N171" s="83"/>
      <c r="O171" s="31"/>
      <c r="P171" s="31"/>
      <c r="Q171" s="31"/>
      <c r="R171" s="31"/>
      <c r="S171" s="31"/>
      <c r="T171" s="31"/>
      <c r="U171" s="117">
        <v>0</v>
      </c>
      <c r="V171" s="83">
        <f>+VENDIDOS[[#This Row],[Avalúo Total 2025]]-VENDIDOS[[#This Row],[Avalúo Diciembre 2024]]</f>
        <v>0</v>
      </c>
      <c r="W171" s="83">
        <f>+VENDIDOS[[#This Row],[Avalúo Afecto Dic-2025]]-VENDIDOS[[#This Row],[Avalúo Afecto Dic-2024]]</f>
        <v>0</v>
      </c>
      <c r="X171" s="83">
        <f>+VENDIDOS[[#This Row],[Avalúo Exento Dic-2025]]-VENDIDOS[[#This Row],[Avalúo Exento Dic-2024]]</f>
        <v>0</v>
      </c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</row>
    <row r="172" spans="1:48" x14ac:dyDescent="0.3">
      <c r="A172" s="30" t="s">
        <v>89</v>
      </c>
      <c r="B172" s="31" t="s">
        <v>380</v>
      </c>
      <c r="C172" s="31" t="s">
        <v>490</v>
      </c>
      <c r="D172" s="42">
        <v>42380</v>
      </c>
      <c r="E172" s="31" t="s">
        <v>73</v>
      </c>
      <c r="F172" s="32">
        <v>45622</v>
      </c>
      <c r="G172" s="31" t="s">
        <v>489</v>
      </c>
      <c r="H172" s="31">
        <v>0.41618688060405851</v>
      </c>
      <c r="I172" s="83">
        <v>9502428</v>
      </c>
      <c r="J172" s="83">
        <v>9502428</v>
      </c>
      <c r="K172" s="83">
        <v>0</v>
      </c>
      <c r="L172" s="83"/>
      <c r="M172" s="83"/>
      <c r="N172" s="83"/>
      <c r="O172" s="31"/>
      <c r="P172" s="31"/>
      <c r="Q172" s="31"/>
      <c r="R172" s="31" t="s">
        <v>491</v>
      </c>
      <c r="S172" s="31" t="s">
        <v>492</v>
      </c>
      <c r="T172" s="31" t="s">
        <v>98</v>
      </c>
      <c r="U172" s="117">
        <v>0</v>
      </c>
      <c r="V172" s="83">
        <f>+VENDIDOS[[#This Row],[Avalúo Total 2025]]-VENDIDOS[[#This Row],[Avalúo Diciembre 2024]]</f>
        <v>-9502428</v>
      </c>
      <c r="W172" s="83">
        <f>+VENDIDOS[[#This Row],[Avalúo Afecto Dic-2025]]-VENDIDOS[[#This Row],[Avalúo Afecto Dic-2024]]</f>
        <v>0</v>
      </c>
      <c r="X172" s="83">
        <f>+VENDIDOS[[#This Row],[Avalúo Exento Dic-2025]]-VENDIDOS[[#This Row],[Avalúo Exento Dic-2024]]</f>
        <v>-9502428</v>
      </c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</row>
    <row r="173" spans="1:48" x14ac:dyDescent="0.3">
      <c r="A173" s="30" t="s">
        <v>493</v>
      </c>
      <c r="B173" s="31" t="s">
        <v>80</v>
      </c>
      <c r="C173" s="31" t="s">
        <v>494</v>
      </c>
      <c r="D173" s="42">
        <v>17002.310000000001</v>
      </c>
      <c r="E173" s="31" t="s">
        <v>73</v>
      </c>
      <c r="F173" s="32">
        <v>43404</v>
      </c>
      <c r="G173" s="31" t="s">
        <v>495</v>
      </c>
      <c r="H173" s="31">
        <v>2.9995924083256922</v>
      </c>
      <c r="I173" s="83"/>
      <c r="J173" s="83"/>
      <c r="K173" s="83"/>
      <c r="L173" s="83"/>
      <c r="M173" s="83"/>
      <c r="N173" s="83"/>
      <c r="O173" s="31"/>
      <c r="P173" s="31" t="s">
        <v>149</v>
      </c>
      <c r="Q173" s="31" t="s">
        <v>149</v>
      </c>
      <c r="R173" s="31"/>
      <c r="S173" s="31"/>
      <c r="T173" s="31"/>
      <c r="U173" s="117">
        <v>0</v>
      </c>
      <c r="V173" s="83">
        <f>+VENDIDOS[[#This Row],[Avalúo Total 2025]]-VENDIDOS[[#This Row],[Avalúo Diciembre 2024]]</f>
        <v>0</v>
      </c>
      <c r="W173" s="83">
        <f>+VENDIDOS[[#This Row],[Avalúo Afecto Dic-2025]]-VENDIDOS[[#This Row],[Avalúo Afecto Dic-2024]]</f>
        <v>0</v>
      </c>
      <c r="X173" s="83">
        <f>+VENDIDOS[[#This Row],[Avalúo Exento Dic-2025]]-VENDIDOS[[#This Row],[Avalúo Exento Dic-2024]]</f>
        <v>0</v>
      </c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>
        <v>43381</v>
      </c>
      <c r="AS173" s="31" t="s">
        <v>154</v>
      </c>
      <c r="AT173" s="31"/>
      <c r="AU173" s="31"/>
      <c r="AV173" s="31"/>
    </row>
    <row r="174" spans="1:48" x14ac:dyDescent="0.3">
      <c r="A174" s="34" t="s">
        <v>496</v>
      </c>
      <c r="B174" s="35" t="s">
        <v>71</v>
      </c>
      <c r="C174" s="35" t="s">
        <v>497</v>
      </c>
      <c r="D174" s="42">
        <v>8842.86</v>
      </c>
      <c r="E174" s="35" t="s">
        <v>73</v>
      </c>
      <c r="F174" s="36">
        <v>44015</v>
      </c>
      <c r="G174" s="35" t="s">
        <v>498</v>
      </c>
      <c r="H174" s="35">
        <v>3.15</v>
      </c>
      <c r="I174" s="85"/>
      <c r="J174" s="85"/>
      <c r="K174" s="85"/>
      <c r="L174" s="85"/>
      <c r="M174" s="85"/>
      <c r="N174" s="85"/>
      <c r="O174" s="35"/>
      <c r="P174" s="35"/>
      <c r="Q174" s="35"/>
      <c r="R174" s="35"/>
      <c r="S174" s="35"/>
      <c r="T174" s="35"/>
      <c r="U174" s="35"/>
      <c r="V174" s="83">
        <f>+VENDIDOS[[#This Row],[Avalúo Total 2025]]-VENDIDOS[[#This Row],[Avalúo Diciembre 2024]]</f>
        <v>0</v>
      </c>
      <c r="W174" s="85">
        <f>+VENDIDOS[[#This Row],[Avalúo Afecto Dic-2025]]-VENDIDOS[[#This Row],[Avalúo Afecto Dic-2024]]</f>
        <v>0</v>
      </c>
      <c r="X174" s="83">
        <f>+VENDIDOS[[#This Row],[Avalúo Exento Dic-2025]]-VENDIDOS[[#This Row],[Avalúo Exento Dic-2024]]</f>
        <v>0</v>
      </c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>
        <v>5747.8590000000004</v>
      </c>
      <c r="AU174" s="35"/>
      <c r="AV174" s="35"/>
    </row>
    <row r="175" spans="1:48" x14ac:dyDescent="0.3">
      <c r="A175" s="34" t="s">
        <v>70</v>
      </c>
      <c r="B175" s="35" t="s">
        <v>71</v>
      </c>
      <c r="C175" s="35" t="s">
        <v>499</v>
      </c>
      <c r="D175" s="42">
        <v>5000</v>
      </c>
      <c r="E175" s="35" t="s">
        <v>73</v>
      </c>
      <c r="F175" s="36">
        <v>45770</v>
      </c>
      <c r="G175" s="35" t="s">
        <v>500</v>
      </c>
      <c r="H175" s="35">
        <v>0.5</v>
      </c>
      <c r="I175" s="85"/>
      <c r="J175" s="85"/>
      <c r="K175" s="85"/>
      <c r="L175" s="85"/>
      <c r="M175" s="85"/>
      <c r="N175" s="85"/>
      <c r="O175" s="35"/>
      <c r="P175" s="35"/>
      <c r="Q175" s="35"/>
      <c r="R175" s="35"/>
      <c r="S175" s="35"/>
      <c r="T175" s="35"/>
      <c r="U175" s="35"/>
      <c r="V175" s="83">
        <f>+VENDIDOS[[#This Row],[Avalúo Total 2025]]-VENDIDOS[[#This Row],[Avalúo Diciembre 2024]]</f>
        <v>0</v>
      </c>
      <c r="W175" s="85">
        <f>+VENDIDOS[[#This Row],[Avalúo Afecto Dic-2025]]-VENDIDOS[[#This Row],[Avalúo Afecto Dic-2024]]</f>
        <v>0</v>
      </c>
      <c r="X175" s="83">
        <f>+VENDIDOS[[#This Row],[Avalúo Exento Dic-2025]]-VENDIDOS[[#This Row],[Avalúo Exento Dic-2024]]</f>
        <v>0</v>
      </c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</row>
    <row r="176" spans="1:48" x14ac:dyDescent="0.3">
      <c r="A176" s="34" t="s">
        <v>70</v>
      </c>
      <c r="B176" s="35" t="s">
        <v>71</v>
      </c>
      <c r="C176" s="35" t="s">
        <v>501</v>
      </c>
      <c r="D176" s="42">
        <v>5000</v>
      </c>
      <c r="E176" s="35" t="s">
        <v>73</v>
      </c>
      <c r="F176" s="36"/>
      <c r="G176" s="35"/>
      <c r="H176" s="35"/>
      <c r="I176" s="85"/>
      <c r="J176" s="85"/>
      <c r="K176" s="85"/>
      <c r="L176" s="85"/>
      <c r="M176" s="85"/>
      <c r="N176" s="85"/>
      <c r="O176" s="35"/>
      <c r="P176" s="35"/>
      <c r="Q176" s="35"/>
      <c r="R176" s="35"/>
      <c r="S176" s="35"/>
      <c r="T176" s="35"/>
      <c r="U176" s="35"/>
      <c r="V176" s="83">
        <f>+VENDIDOS[[#This Row],[Avalúo Total 2025]]-VENDIDOS[[#This Row],[Avalúo Diciembre 2024]]</f>
        <v>0</v>
      </c>
      <c r="W176" s="85">
        <f>+VENDIDOS[[#This Row],[Avalúo Afecto Dic-2025]]-VENDIDOS[[#This Row],[Avalúo Afecto Dic-2024]]</f>
        <v>0</v>
      </c>
      <c r="X176" s="83">
        <f>+VENDIDOS[[#This Row],[Avalúo Exento Dic-2025]]-VENDIDOS[[#This Row],[Avalúo Exento Dic-2024]]</f>
        <v>0</v>
      </c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</row>
    <row r="177" spans="1:48" x14ac:dyDescent="0.3">
      <c r="A177" s="30" t="s">
        <v>89</v>
      </c>
      <c r="B177" s="31" t="s">
        <v>502</v>
      </c>
      <c r="C177" s="31" t="s">
        <v>503</v>
      </c>
      <c r="D177" s="42">
        <v>42380</v>
      </c>
      <c r="E177" s="31" t="s">
        <v>73</v>
      </c>
      <c r="F177" s="32"/>
      <c r="G177" s="31" t="s">
        <v>504</v>
      </c>
      <c r="H177" s="31"/>
      <c r="I177" s="83"/>
      <c r="J177" s="83"/>
      <c r="K177" s="83"/>
      <c r="L177" s="83"/>
      <c r="M177" s="83"/>
      <c r="N177" s="83"/>
      <c r="O177" s="31" t="s">
        <v>505</v>
      </c>
      <c r="P177" s="31"/>
      <c r="Q177" s="31"/>
      <c r="R177" s="31"/>
      <c r="S177" s="31"/>
      <c r="T177" s="31"/>
      <c r="U177" s="31">
        <f>VENDIDOS[[#This Row],[Avalúo Afecto Dic-2025]]-VENDIDOS[[#This Row],[Avalúo Afecto Dic-2024]]</f>
        <v>0</v>
      </c>
      <c r="V177" s="83">
        <f>+VENDIDOS[[#This Row],[Avalúo Total 2025]]-VENDIDOS[[#This Row],[Avalúo Diciembre 2024]]</f>
        <v>0</v>
      </c>
      <c r="W177" s="83">
        <f>+VENDIDOS[[#This Row],[Avalúo Afecto Dic-2025]]-VENDIDOS[[#This Row],[Avalúo Afecto Dic-2024]]</f>
        <v>0</v>
      </c>
      <c r="X177" s="83">
        <f>+VENDIDOS[[#This Row],[Avalúo Exento Dic-2025]]-VENDIDOS[[#This Row],[Avalúo Exento Dic-2024]]</f>
        <v>0</v>
      </c>
      <c r="Y177" s="31"/>
      <c r="Z177" s="31"/>
      <c r="AA177" s="31"/>
      <c r="AB177" s="31" t="s">
        <v>506</v>
      </c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</row>
    <row r="178" spans="1:48" x14ac:dyDescent="0.3">
      <c r="A178" s="30" t="s">
        <v>507</v>
      </c>
      <c r="B178" s="31" t="s">
        <v>508</v>
      </c>
      <c r="C178" s="31" t="s">
        <v>509</v>
      </c>
      <c r="D178" s="42">
        <v>383000</v>
      </c>
      <c r="E178" s="31" t="s">
        <v>73</v>
      </c>
      <c r="F178" s="32"/>
      <c r="G178" s="31"/>
      <c r="H178" s="31"/>
      <c r="I178" s="83"/>
      <c r="J178" s="83"/>
      <c r="K178" s="83">
        <v>0</v>
      </c>
      <c r="L178" s="83"/>
      <c r="M178" s="83"/>
      <c r="N178" s="83"/>
      <c r="O178" s="31" t="s">
        <v>510</v>
      </c>
      <c r="P178" s="31"/>
      <c r="Q178" s="31"/>
      <c r="R178" s="31"/>
      <c r="S178" s="31"/>
      <c r="T178" s="31"/>
      <c r="U178" s="31">
        <f>VENDIDOS[[#This Row],[Avalúo Afecto Dic-2025]]-VENDIDOS[[#This Row],[Avalúo Afecto Dic-2024]]</f>
        <v>0</v>
      </c>
      <c r="V178" s="83">
        <f>+VENDIDOS[[#This Row],[Avalúo Total 2025]]-VENDIDOS[[#This Row],[Avalúo Diciembre 2024]]</f>
        <v>0</v>
      </c>
      <c r="W178" s="83">
        <f>+VENDIDOS[[#This Row],[Avalúo Afecto Dic-2025]]-VENDIDOS[[#This Row],[Avalúo Afecto Dic-2024]]</f>
        <v>0</v>
      </c>
      <c r="X178" s="83">
        <f>+VENDIDOS[[#This Row],[Avalúo Exento Dic-2025]]-VENDIDOS[[#This Row],[Avalúo Exento Dic-2024]]</f>
        <v>0</v>
      </c>
      <c r="Y178" s="31"/>
      <c r="Z178" s="31"/>
      <c r="AA178" s="31"/>
      <c r="AB178" s="31" t="s">
        <v>511</v>
      </c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</row>
    <row r="179" spans="1:48" x14ac:dyDescent="0.3">
      <c r="A179" s="30" t="s">
        <v>70</v>
      </c>
      <c r="B179" s="31" t="s">
        <v>512</v>
      </c>
      <c r="C179" s="31" t="s">
        <v>513</v>
      </c>
      <c r="D179" s="42">
        <v>12425.09</v>
      </c>
      <c r="E179" s="31" t="s">
        <v>73</v>
      </c>
      <c r="F179" s="32"/>
      <c r="G179" s="31"/>
      <c r="H179" s="31"/>
      <c r="I179" s="83"/>
      <c r="J179" s="83"/>
      <c r="K179" s="83"/>
      <c r="L179" s="83"/>
      <c r="M179" s="83"/>
      <c r="N179" s="83"/>
      <c r="O179" s="31" t="s">
        <v>514</v>
      </c>
      <c r="P179" s="31" t="s">
        <v>515</v>
      </c>
      <c r="Q179" s="99"/>
      <c r="R179" s="31"/>
      <c r="S179" s="31"/>
      <c r="T179" s="31"/>
      <c r="U179" s="31"/>
      <c r="V179" s="83">
        <f>+VENDIDOS[[#This Row],[Avalúo Total 2025]]-VENDIDOS[[#This Row],[Avalúo Diciembre 2024]]</f>
        <v>0</v>
      </c>
      <c r="W179" s="83">
        <f>+VENDIDOS[[#This Row],[Avalúo Afecto Dic-2025]]-VENDIDOS[[#This Row],[Avalúo Afecto Dic-2024]]</f>
        <v>0</v>
      </c>
      <c r="X179" s="83">
        <f>+VENDIDOS[[#This Row],[Avalúo Exento Dic-2025]]-VENDIDOS[[#This Row],[Avalúo Exento Dic-2024]]</f>
        <v>0</v>
      </c>
      <c r="Y179" s="31"/>
      <c r="Z179" s="31"/>
      <c r="AA179" s="31"/>
      <c r="AB179" s="31" t="s">
        <v>516</v>
      </c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98">
        <v>1.59995880111237</v>
      </c>
      <c r="AP179" s="31"/>
      <c r="AQ179" s="31"/>
      <c r="AR179" s="31"/>
      <c r="AS179" s="31"/>
      <c r="AT179" s="31"/>
      <c r="AU179" s="31"/>
      <c r="AV179" s="33"/>
    </row>
    <row r="180" spans="1:48" x14ac:dyDescent="0.3">
      <c r="A180" s="30" t="s">
        <v>70</v>
      </c>
      <c r="B180" s="31" t="s">
        <v>512</v>
      </c>
      <c r="C180" s="31" t="s">
        <v>517</v>
      </c>
      <c r="D180" s="42">
        <v>12588.68</v>
      </c>
      <c r="E180" s="31" t="s">
        <v>73</v>
      </c>
      <c r="F180" s="32"/>
      <c r="G180" s="31"/>
      <c r="H180" s="31"/>
      <c r="I180" s="83"/>
      <c r="J180" s="83"/>
      <c r="K180" s="83"/>
      <c r="L180" s="83"/>
      <c r="M180" s="83"/>
      <c r="N180" s="83"/>
      <c r="O180" s="31" t="s">
        <v>514</v>
      </c>
      <c r="P180" s="31" t="s">
        <v>518</v>
      </c>
      <c r="Q180" s="99"/>
      <c r="R180" s="31"/>
      <c r="S180" s="31"/>
      <c r="T180" s="31"/>
      <c r="U180" s="31"/>
      <c r="V180" s="83">
        <f>+VENDIDOS[[#This Row],[Avalúo Total 2025]]-VENDIDOS[[#This Row],[Avalúo Diciembre 2024]]</f>
        <v>0</v>
      </c>
      <c r="W180" s="83">
        <f>+VENDIDOS[[#This Row],[Avalúo Afecto Dic-2025]]-VENDIDOS[[#This Row],[Avalúo Afecto Dic-2024]]</f>
        <v>0</v>
      </c>
      <c r="X180" s="83">
        <f>+VENDIDOS[[#This Row],[Avalúo Exento Dic-2025]]-VENDIDOS[[#This Row],[Avalúo Exento Dic-2024]]</f>
        <v>0</v>
      </c>
      <c r="Y180" s="31"/>
      <c r="Z180" s="31"/>
      <c r="AA180" s="31"/>
      <c r="AB180" s="31" t="s">
        <v>519</v>
      </c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98">
        <v>1.59995880111237</v>
      </c>
      <c r="AP180" s="31"/>
      <c r="AQ180" s="31"/>
      <c r="AR180" s="31"/>
      <c r="AS180" s="31"/>
      <c r="AT180" s="31"/>
      <c r="AU180" s="31"/>
      <c r="AV180" s="33"/>
    </row>
    <row r="181" spans="1:48" x14ac:dyDescent="0.3">
      <c r="A181" s="30" t="s">
        <v>70</v>
      </c>
      <c r="B181" s="31" t="s">
        <v>512</v>
      </c>
      <c r="C181" s="31" t="s">
        <v>520</v>
      </c>
      <c r="D181" s="42">
        <v>12507.56</v>
      </c>
      <c r="E181" s="31" t="s">
        <v>73</v>
      </c>
      <c r="F181" s="32"/>
      <c r="G181" s="31"/>
      <c r="H181" s="31"/>
      <c r="I181" s="83"/>
      <c r="J181" s="83"/>
      <c r="K181" s="83"/>
      <c r="L181" s="83"/>
      <c r="M181" s="83"/>
      <c r="N181" s="83"/>
      <c r="O181" s="31" t="s">
        <v>514</v>
      </c>
      <c r="P181" s="31" t="s">
        <v>521</v>
      </c>
      <c r="Q181" s="99"/>
      <c r="R181" s="31"/>
      <c r="S181" s="31"/>
      <c r="T181" s="31"/>
      <c r="U181" s="31"/>
      <c r="V181" s="83">
        <f>+VENDIDOS[[#This Row],[Avalúo Total 2025]]-VENDIDOS[[#This Row],[Avalúo Diciembre 2024]]</f>
        <v>0</v>
      </c>
      <c r="W181" s="83">
        <f>+VENDIDOS[[#This Row],[Avalúo Afecto Dic-2025]]-VENDIDOS[[#This Row],[Avalúo Afecto Dic-2024]]</f>
        <v>0</v>
      </c>
      <c r="X181" s="83">
        <f>+VENDIDOS[[#This Row],[Avalúo Exento Dic-2025]]-VENDIDOS[[#This Row],[Avalúo Exento Dic-2024]]</f>
        <v>0</v>
      </c>
      <c r="Y181" s="31"/>
      <c r="Z181" s="31"/>
      <c r="AA181" s="31"/>
      <c r="AB181" s="31" t="s">
        <v>522</v>
      </c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98">
        <v>1.59995880111237</v>
      </c>
      <c r="AP181" s="31"/>
      <c r="AQ181" s="31"/>
      <c r="AR181" s="31"/>
      <c r="AS181" s="31"/>
      <c r="AT181" s="31"/>
      <c r="AU181" s="31"/>
      <c r="AV181" s="33"/>
    </row>
    <row r="182" spans="1:48" x14ac:dyDescent="0.3">
      <c r="A182" s="34" t="s">
        <v>70</v>
      </c>
      <c r="B182" s="35" t="s">
        <v>512</v>
      </c>
      <c r="C182" s="35" t="s">
        <v>523</v>
      </c>
      <c r="D182" s="46">
        <v>27916.63</v>
      </c>
      <c r="E182" s="35" t="s">
        <v>73</v>
      </c>
      <c r="F182" s="36"/>
      <c r="G182" s="35"/>
      <c r="H182" s="35"/>
      <c r="I182" s="85"/>
      <c r="J182" s="85"/>
      <c r="K182" s="85"/>
      <c r="L182" s="85"/>
      <c r="M182" s="85"/>
      <c r="N182" s="85"/>
      <c r="O182" s="35" t="s">
        <v>514</v>
      </c>
      <c r="P182" s="35" t="s">
        <v>524</v>
      </c>
      <c r="Q182" s="99"/>
      <c r="R182" s="35"/>
      <c r="S182" s="35"/>
      <c r="T182" s="35"/>
      <c r="U182" s="35"/>
      <c r="V182" s="83">
        <f>+VENDIDOS[[#This Row],[Avalúo Total 2025]]-VENDIDOS[[#This Row],[Avalúo Diciembre 2024]]</f>
        <v>0</v>
      </c>
      <c r="W182" s="85">
        <f>+VENDIDOS[[#This Row],[Avalúo Afecto Dic-2025]]-VENDIDOS[[#This Row],[Avalúo Afecto Dic-2024]]</f>
        <v>0</v>
      </c>
      <c r="X182" s="83">
        <f>+VENDIDOS[[#This Row],[Avalúo Exento Dic-2025]]-VENDIDOS[[#This Row],[Avalúo Exento Dic-2024]]</f>
        <v>0</v>
      </c>
      <c r="Y182" s="35"/>
      <c r="Z182" s="35"/>
      <c r="AA182" s="35"/>
      <c r="AB182" s="31" t="s">
        <v>525</v>
      </c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98">
        <v>1.59995880111237</v>
      </c>
      <c r="AP182" s="31"/>
      <c r="AQ182" s="31"/>
      <c r="AR182" s="31"/>
      <c r="AS182" s="31"/>
      <c r="AT182" s="31"/>
      <c r="AU182" s="31"/>
      <c r="AV182" s="33"/>
    </row>
    <row r="183" spans="1:48" x14ac:dyDescent="0.3">
      <c r="A183" s="34" t="s">
        <v>70</v>
      </c>
      <c r="B183" s="35" t="s">
        <v>512</v>
      </c>
      <c r="C183" s="35" t="s">
        <v>526</v>
      </c>
      <c r="D183" s="42">
        <v>61175.24</v>
      </c>
      <c r="E183" s="36" t="s">
        <v>73</v>
      </c>
      <c r="F183" s="36"/>
      <c r="G183" s="35"/>
      <c r="H183" s="35"/>
      <c r="I183" s="85"/>
      <c r="J183" s="85"/>
      <c r="K183" s="85"/>
      <c r="L183" s="85"/>
      <c r="M183" s="85"/>
      <c r="N183" s="85"/>
      <c r="O183" s="35"/>
      <c r="P183" s="35"/>
      <c r="Q183" s="35"/>
      <c r="R183" s="35"/>
      <c r="S183" s="35"/>
      <c r="T183" s="35"/>
      <c r="U183" s="35"/>
      <c r="V183" s="83">
        <f>+VENDIDOS[[#This Row],[Avalúo Total 2025]]-VENDIDOS[[#This Row],[Avalúo Diciembre 2024]]</f>
        <v>0</v>
      </c>
      <c r="W183" s="85">
        <f>+VENDIDOS[[#This Row],[Avalúo Afecto Dic-2025]]-VENDIDOS[[#This Row],[Avalúo Afecto Dic-2024]]</f>
        <v>0</v>
      </c>
      <c r="X183" s="83">
        <f>+VENDIDOS[[#This Row],[Avalúo Exento Dic-2025]]-VENDIDOS[[#This Row],[Avalúo Exento Dic-2024]]</f>
        <v>0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</row>
    <row r="184" spans="1:48" x14ac:dyDescent="0.3">
      <c r="A184" s="34" t="s">
        <v>70</v>
      </c>
      <c r="B184" s="35" t="s">
        <v>80</v>
      </c>
      <c r="C184" s="35" t="s">
        <v>527</v>
      </c>
      <c r="D184" s="42">
        <v>7238.03</v>
      </c>
      <c r="E184" s="32" t="s">
        <v>73</v>
      </c>
      <c r="F184" s="32">
        <v>45718</v>
      </c>
      <c r="G184" s="31" t="s">
        <v>528</v>
      </c>
      <c r="H184" s="31">
        <v>1.5</v>
      </c>
      <c r="I184" s="83">
        <v>0</v>
      </c>
      <c r="J184" s="83">
        <v>0</v>
      </c>
      <c r="K184" s="83">
        <v>0</v>
      </c>
      <c r="L184" s="83">
        <v>443576</v>
      </c>
      <c r="M184" s="83">
        <v>443576</v>
      </c>
      <c r="N184" s="83">
        <v>0</v>
      </c>
      <c r="O184" s="31" t="s">
        <v>514</v>
      </c>
      <c r="P184" s="31" t="s">
        <v>529</v>
      </c>
      <c r="Q184" s="35" t="s">
        <v>530</v>
      </c>
      <c r="R184" s="31"/>
      <c r="S184" s="31"/>
      <c r="T184" s="31"/>
      <c r="U184" s="31">
        <v>309233090</v>
      </c>
      <c r="V184" s="83">
        <v>443576</v>
      </c>
      <c r="W184" s="83">
        <v>0</v>
      </c>
      <c r="X184" s="83">
        <v>443576</v>
      </c>
      <c r="Y184" s="83">
        <f>+VENDIDOS[[#This Row],[Avalúo Afecto Dic-2025]]-VENDIDOS[[#This Row],[Avalúo Afecto Dic-2024]]</f>
        <v>0</v>
      </c>
      <c r="Z184" s="83">
        <f>+VENDIDOS[[#This Row],[Avalúo Exento Dic-2025]]-VENDIDOS[[#This Row],[Avalúo Exento Dic-2024]]</f>
        <v>443576</v>
      </c>
      <c r="AA184" s="31"/>
      <c r="AB184" s="31" t="s">
        <v>531</v>
      </c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106">
        <v>1.5</v>
      </c>
      <c r="AN184" s="103">
        <v>10857.045</v>
      </c>
      <c r="AO184" s="102">
        <v>1.7834963380919948</v>
      </c>
      <c r="AP184" s="103">
        <v>12909</v>
      </c>
      <c r="AQ184" s="103">
        <v>9037</v>
      </c>
      <c r="AR184" s="32">
        <v>45954</v>
      </c>
      <c r="AS184" s="31" t="s">
        <v>532</v>
      </c>
      <c r="AT184" s="103"/>
      <c r="AU184" s="31" t="s">
        <v>532</v>
      </c>
      <c r="AV184" s="31" t="s">
        <v>533</v>
      </c>
    </row>
    <row r="185" spans="1:48" x14ac:dyDescent="0.3">
      <c r="A185" s="34" t="s">
        <v>70</v>
      </c>
      <c r="B185" s="35" t="s">
        <v>80</v>
      </c>
      <c r="C185" s="35" t="s">
        <v>534</v>
      </c>
      <c r="D185" s="42">
        <v>5766.44</v>
      </c>
      <c r="E185" s="36" t="s">
        <v>73</v>
      </c>
      <c r="F185" s="32">
        <v>45719</v>
      </c>
      <c r="G185" s="35" t="s">
        <v>528</v>
      </c>
      <c r="H185" s="35">
        <v>1.5</v>
      </c>
      <c r="I185" s="85">
        <v>0</v>
      </c>
      <c r="J185" s="85">
        <v>0</v>
      </c>
      <c r="K185" s="85">
        <v>0</v>
      </c>
      <c r="L185" s="85">
        <v>443576</v>
      </c>
      <c r="M185" s="85">
        <v>443576</v>
      </c>
      <c r="N185" s="85">
        <v>0</v>
      </c>
      <c r="O185" s="35" t="s">
        <v>514</v>
      </c>
      <c r="P185" s="35" t="s">
        <v>535</v>
      </c>
      <c r="Q185" s="35"/>
      <c r="R185" s="35"/>
      <c r="S185" s="35"/>
      <c r="T185" s="35"/>
      <c r="U185" s="35">
        <v>307223181</v>
      </c>
      <c r="V185" s="85">
        <v>443576</v>
      </c>
      <c r="W185" s="85">
        <v>0</v>
      </c>
      <c r="X185" s="85">
        <v>443576</v>
      </c>
      <c r="Y185" s="85">
        <f>+VENDIDOS[[#This Row],[Avalúo Afecto Dic-2025]]-VENDIDOS[[#This Row],[Avalúo Afecto Dic-2024]]</f>
        <v>0</v>
      </c>
      <c r="Z185" s="85">
        <f>+VENDIDOS[[#This Row],[Avalúo Exento Dic-2025]]-VENDIDOS[[#This Row],[Avalúo Exento Dic-2024]]</f>
        <v>443576</v>
      </c>
      <c r="AA185" s="35"/>
      <c r="AB185" s="35" t="s">
        <v>536</v>
      </c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106">
        <v>1.5</v>
      </c>
      <c r="AN185" s="103">
        <v>8649.66</v>
      </c>
      <c r="AO185" s="102">
        <v>2.1671950111333858</v>
      </c>
      <c r="AP185" s="103">
        <v>12497</v>
      </c>
      <c r="AQ185" s="103">
        <v>8748</v>
      </c>
      <c r="AR185" s="32">
        <v>45954</v>
      </c>
      <c r="AS185" s="31" t="s">
        <v>532</v>
      </c>
      <c r="AT185" s="103"/>
      <c r="AU185" s="31" t="s">
        <v>532</v>
      </c>
      <c r="AV185" s="31" t="s">
        <v>533</v>
      </c>
    </row>
  </sheetData>
  <conditionalFormatting sqref="E1">
    <cfRule type="cellIs" dxfId="3" priority="1" operator="equal">
      <formula>"Disponible"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DE21-C5CC-49DA-AADB-4EC470E06CB8}">
  <dimension ref="A1:AV185"/>
  <sheetViews>
    <sheetView workbookViewId="0"/>
  </sheetViews>
  <sheetFormatPr baseColWidth="10" defaultColWidth="11.44140625" defaultRowHeight="14.4" x14ac:dyDescent="0.3"/>
  <cols>
    <col min="1" max="1" width="45.109375" bestFit="1" customWidth="1"/>
    <col min="2" max="2" width="19.44140625" bestFit="1" customWidth="1"/>
    <col min="3" max="3" width="31.5546875" bestFit="1" customWidth="1"/>
    <col min="4" max="4" width="16.6640625" bestFit="1" customWidth="1"/>
    <col min="5" max="5" width="11.33203125" bestFit="1" customWidth="1"/>
    <col min="6" max="6" width="18.44140625" bestFit="1" customWidth="1"/>
    <col min="7" max="7" width="80.88671875" bestFit="1" customWidth="1"/>
    <col min="8" max="8" width="21.6640625" bestFit="1" customWidth="1"/>
    <col min="9" max="9" width="23.33203125" bestFit="1" customWidth="1"/>
    <col min="10" max="10" width="23.6640625" bestFit="1" customWidth="1"/>
    <col min="11" max="11" width="23.33203125" bestFit="1" customWidth="1"/>
    <col min="12" max="12" width="18.33203125" bestFit="1" customWidth="1"/>
    <col min="13" max="13" width="23.6640625" bestFit="1" customWidth="1"/>
    <col min="14" max="14" width="23.33203125" bestFit="1" customWidth="1"/>
    <col min="15" max="15" width="11.6640625" bestFit="1" customWidth="1"/>
    <col min="16" max="16" width="15.109375" bestFit="1" customWidth="1"/>
    <col min="17" max="17" width="14.109375" bestFit="1" customWidth="1"/>
    <col min="18" max="18" width="26.6640625" bestFit="1" customWidth="1"/>
    <col min="19" max="19" width="16.33203125" bestFit="1" customWidth="1"/>
    <col min="20" max="20" width="24.109375" bestFit="1" customWidth="1"/>
    <col min="21" max="21" width="23.88671875" bestFit="1" customWidth="1"/>
    <col min="22" max="22" width="31.5546875" bestFit="1" customWidth="1"/>
    <col min="23" max="23" width="33" bestFit="1" customWidth="1"/>
    <col min="24" max="24" width="33.44140625" bestFit="1" customWidth="1"/>
    <col min="25" max="25" width="20.33203125" bestFit="1" customWidth="1"/>
    <col min="26" max="26" width="13" bestFit="1" customWidth="1"/>
    <col min="27" max="27" width="18.6640625" bestFit="1" customWidth="1"/>
    <col min="28" max="28" width="41.5546875" bestFit="1" customWidth="1"/>
    <col min="29" max="30" width="21.5546875" bestFit="1" customWidth="1"/>
    <col min="31" max="31" width="19" bestFit="1" customWidth="1"/>
    <col min="32" max="32" width="10.5546875" bestFit="1" customWidth="1"/>
    <col min="33" max="33" width="21" bestFit="1" customWidth="1"/>
    <col min="34" max="34" width="26.88671875" bestFit="1" customWidth="1"/>
    <col min="35" max="35" width="26.6640625" bestFit="1" customWidth="1"/>
    <col min="36" max="36" width="18.5546875" bestFit="1" customWidth="1"/>
    <col min="37" max="37" width="19.109375" bestFit="1" customWidth="1"/>
    <col min="38" max="38" width="8.33203125" bestFit="1" customWidth="1"/>
    <col min="39" max="39" width="19.6640625" bestFit="1" customWidth="1"/>
    <col min="40" max="40" width="21.109375" bestFit="1" customWidth="1"/>
    <col min="41" max="41" width="18.33203125" bestFit="1" customWidth="1"/>
    <col min="42" max="42" width="19.6640625" bestFit="1" customWidth="1"/>
    <col min="43" max="43" width="22.33203125" bestFit="1" customWidth="1"/>
    <col min="44" max="44" width="16.33203125" bestFit="1" customWidth="1"/>
    <col min="45" max="45" width="12.6640625" bestFit="1" customWidth="1"/>
    <col min="46" max="46" width="16" bestFit="1" customWidth="1"/>
    <col min="47" max="47" width="14" bestFit="1" customWidth="1"/>
    <col min="48" max="48" width="15.6640625" bestFit="1" customWidth="1"/>
    <col min="49" max="49" width="15.33203125" bestFit="1" customWidth="1"/>
    <col min="50" max="50" width="13.6640625" bestFit="1" customWidth="1"/>
    <col min="51" max="51" width="15.109375" bestFit="1" customWidth="1"/>
    <col min="52" max="53" width="24.109375" bestFit="1" customWidth="1"/>
    <col min="54" max="54" width="8.6640625" bestFit="1" customWidth="1"/>
  </cols>
  <sheetData>
    <row r="1" spans="1:48" x14ac:dyDescent="0.3">
      <c r="A1" t="s">
        <v>3</v>
      </c>
      <c r="B1" t="s">
        <v>13</v>
      </c>
      <c r="C1" t="s">
        <v>19</v>
      </c>
      <c r="D1" t="s">
        <v>27</v>
      </c>
      <c r="E1" t="s">
        <v>30</v>
      </c>
      <c r="F1" t="s">
        <v>60</v>
      </c>
      <c r="G1" t="s">
        <v>61</v>
      </c>
      <c r="H1" t="s">
        <v>62</v>
      </c>
      <c r="I1" t="s">
        <v>33</v>
      </c>
      <c r="J1" t="s">
        <v>36</v>
      </c>
      <c r="K1" t="s">
        <v>39</v>
      </c>
      <c r="L1" t="s">
        <v>41</v>
      </c>
      <c r="M1" t="s">
        <v>43</v>
      </c>
      <c r="N1" t="s">
        <v>45</v>
      </c>
      <c r="O1" t="s">
        <v>47</v>
      </c>
      <c r="P1" t="s">
        <v>49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11</v>
      </c>
      <c r="W1" t="s">
        <v>17</v>
      </c>
      <c r="X1" t="s">
        <v>22</v>
      </c>
      <c r="Y1" t="s">
        <v>9</v>
      </c>
      <c r="Z1" t="s">
        <v>16</v>
      </c>
      <c r="AA1" t="s">
        <v>21</v>
      </c>
      <c r="AB1" t="s">
        <v>26</v>
      </c>
      <c r="AC1" t="s">
        <v>29</v>
      </c>
      <c r="AD1" t="s">
        <v>32</v>
      </c>
      <c r="AE1" t="s">
        <v>35</v>
      </c>
      <c r="AF1" t="s">
        <v>38</v>
      </c>
      <c r="AG1" t="s">
        <v>40</v>
      </c>
      <c r="AH1" t="s">
        <v>42</v>
      </c>
      <c r="AI1" t="s">
        <v>44</v>
      </c>
      <c r="AJ1" t="s">
        <v>46</v>
      </c>
      <c r="AK1" t="s">
        <v>48</v>
      </c>
      <c r="AL1" t="s">
        <v>50</v>
      </c>
      <c r="AM1" t="s">
        <v>7</v>
      </c>
      <c r="AN1" t="s">
        <v>15</v>
      </c>
      <c r="AO1" t="s">
        <v>5</v>
      </c>
      <c r="AP1" t="s">
        <v>14</v>
      </c>
      <c r="AQ1" t="s">
        <v>20</v>
      </c>
      <c r="AR1" t="s">
        <v>25</v>
      </c>
      <c r="AS1" t="s">
        <v>28</v>
      </c>
      <c r="AT1" t="s">
        <v>31</v>
      </c>
      <c r="AU1" t="s">
        <v>34</v>
      </c>
      <c r="AV1" t="s">
        <v>37</v>
      </c>
    </row>
    <row r="2" spans="1:48" x14ac:dyDescent="0.3">
      <c r="A2" t="s">
        <v>70</v>
      </c>
      <c r="B2" t="s">
        <v>71</v>
      </c>
      <c r="C2" t="s">
        <v>72</v>
      </c>
      <c r="D2">
        <v>15857</v>
      </c>
      <c r="E2" t="s">
        <v>73</v>
      </c>
      <c r="F2" s="18">
        <v>45054</v>
      </c>
      <c r="G2" t="s">
        <v>74</v>
      </c>
      <c r="H2">
        <v>2.2734104811755063</v>
      </c>
      <c r="O2" t="s">
        <v>75</v>
      </c>
      <c r="P2" t="s">
        <v>76</v>
      </c>
      <c r="Q2" t="s">
        <v>76</v>
      </c>
      <c r="S2" t="s">
        <v>77</v>
      </c>
      <c r="T2" t="s">
        <v>78</v>
      </c>
      <c r="U2">
        <v>0</v>
      </c>
      <c r="V2">
        <v>0</v>
      </c>
      <c r="W2">
        <v>0</v>
      </c>
      <c r="X2">
        <v>0</v>
      </c>
    </row>
    <row r="3" spans="1:48" x14ac:dyDescent="0.3">
      <c r="A3" t="s">
        <v>79</v>
      </c>
      <c r="B3" t="s">
        <v>80</v>
      </c>
      <c r="C3" t="s">
        <v>81</v>
      </c>
      <c r="D3">
        <v>91338.55</v>
      </c>
      <c r="E3" t="s">
        <v>73</v>
      </c>
      <c r="F3" s="18"/>
      <c r="G3" t="s">
        <v>82</v>
      </c>
      <c r="I3">
        <v>16081312316</v>
      </c>
      <c r="J3">
        <v>0</v>
      </c>
      <c r="K3">
        <v>16081312316</v>
      </c>
      <c r="O3" t="s">
        <v>75</v>
      </c>
      <c r="P3" t="s">
        <v>83</v>
      </c>
      <c r="Q3" t="s">
        <v>83</v>
      </c>
      <c r="R3" t="s">
        <v>84</v>
      </c>
      <c r="S3" t="s">
        <v>77</v>
      </c>
      <c r="T3" t="s">
        <v>85</v>
      </c>
      <c r="U3">
        <v>106245.26258384377</v>
      </c>
      <c r="V3">
        <v>-16081312316</v>
      </c>
      <c r="W3">
        <v>-16081312316</v>
      </c>
      <c r="X3">
        <v>0</v>
      </c>
      <c r="Y3">
        <v>91338.55</v>
      </c>
      <c r="Z3">
        <v>173</v>
      </c>
      <c r="AA3">
        <v>41207</v>
      </c>
      <c r="AB3" t="s">
        <v>86</v>
      </c>
      <c r="AM3">
        <v>3</v>
      </c>
      <c r="AN3">
        <v>274015.65000000002</v>
      </c>
      <c r="AO3">
        <v>2.6999990693962186</v>
      </c>
      <c r="AP3">
        <v>246614</v>
      </c>
      <c r="AR3">
        <v>43893</v>
      </c>
      <c r="AS3" t="s">
        <v>87</v>
      </c>
      <c r="AT3">
        <v>246614</v>
      </c>
      <c r="AU3" t="s">
        <v>88</v>
      </c>
    </row>
    <row r="4" spans="1:48" x14ac:dyDescent="0.3">
      <c r="A4" t="s">
        <v>89</v>
      </c>
      <c r="B4" t="s">
        <v>80</v>
      </c>
      <c r="C4" t="s">
        <v>90</v>
      </c>
      <c r="D4">
        <v>7150.47</v>
      </c>
      <c r="E4" t="s">
        <v>73</v>
      </c>
      <c r="F4" s="18">
        <v>45657</v>
      </c>
      <c r="G4" t="s">
        <v>91</v>
      </c>
      <c r="H4">
        <v>3</v>
      </c>
      <c r="I4">
        <v>370509599</v>
      </c>
      <c r="J4">
        <v>0</v>
      </c>
      <c r="K4">
        <v>370509599</v>
      </c>
      <c r="O4" t="s">
        <v>75</v>
      </c>
      <c r="P4" t="s">
        <v>92</v>
      </c>
      <c r="Q4" t="s">
        <v>92</v>
      </c>
      <c r="S4" t="s">
        <v>77</v>
      </c>
      <c r="T4" t="s">
        <v>78</v>
      </c>
      <c r="U4">
        <v>6380.787003832038</v>
      </c>
      <c r="V4">
        <v>-370509599</v>
      </c>
      <c r="W4">
        <v>-370509599</v>
      </c>
      <c r="X4">
        <v>0</v>
      </c>
      <c r="Y4">
        <v>7150.47</v>
      </c>
      <c r="Z4">
        <v>69</v>
      </c>
      <c r="AA4">
        <v>41947</v>
      </c>
      <c r="AB4" t="s">
        <v>93</v>
      </c>
      <c r="AM4">
        <v>3</v>
      </c>
      <c r="AN4">
        <v>21451.41</v>
      </c>
      <c r="AO4">
        <v>3</v>
      </c>
      <c r="AP4">
        <v>21451.41</v>
      </c>
      <c r="AR4">
        <v>43423</v>
      </c>
      <c r="AS4" t="s">
        <v>94</v>
      </c>
      <c r="AT4">
        <v>21451.41</v>
      </c>
      <c r="AU4" t="s">
        <v>88</v>
      </c>
    </row>
    <row r="5" spans="1:48" x14ac:dyDescent="0.3">
      <c r="A5" t="s">
        <v>89</v>
      </c>
      <c r="B5" t="s">
        <v>80</v>
      </c>
      <c r="C5" t="s">
        <v>95</v>
      </c>
      <c r="D5">
        <v>9728.7559999999994</v>
      </c>
      <c r="E5" t="s">
        <v>73</v>
      </c>
      <c r="F5" s="18"/>
      <c r="O5" t="s">
        <v>96</v>
      </c>
      <c r="P5" t="s">
        <v>97</v>
      </c>
      <c r="S5" t="s">
        <v>77</v>
      </c>
      <c r="T5" t="s">
        <v>98</v>
      </c>
      <c r="U5">
        <v>5399.9309281668866</v>
      </c>
      <c r="V5">
        <v>0</v>
      </c>
      <c r="W5">
        <v>0</v>
      </c>
      <c r="X5">
        <v>0</v>
      </c>
      <c r="Y5">
        <v>9728.76</v>
      </c>
      <c r="Z5" t="s">
        <v>99</v>
      </c>
      <c r="AA5">
        <v>42648</v>
      </c>
      <c r="AB5" t="s">
        <v>100</v>
      </c>
      <c r="AM5">
        <v>2.4</v>
      </c>
      <c r="AN5">
        <v>23349.014399999996</v>
      </c>
      <c r="AO5">
        <v>2.4</v>
      </c>
      <c r="AP5">
        <v>23349.014399999996</v>
      </c>
      <c r="AR5">
        <v>44286</v>
      </c>
      <c r="AS5" t="s">
        <v>101</v>
      </c>
      <c r="AT5">
        <v>23349.014399999996</v>
      </c>
      <c r="AU5" t="s">
        <v>101</v>
      </c>
    </row>
    <row r="6" spans="1:48" x14ac:dyDescent="0.3">
      <c r="A6" t="s">
        <v>89</v>
      </c>
      <c r="B6" t="s">
        <v>80</v>
      </c>
      <c r="C6" t="s">
        <v>102</v>
      </c>
      <c r="D6">
        <v>9777.3580000000002</v>
      </c>
      <c r="E6" t="s">
        <v>73</v>
      </c>
      <c r="F6" s="18">
        <v>45657</v>
      </c>
      <c r="G6" t="s">
        <v>103</v>
      </c>
      <c r="H6">
        <v>3.0001104633323106</v>
      </c>
      <c r="I6">
        <v>464791152</v>
      </c>
      <c r="J6">
        <v>0</v>
      </c>
      <c r="K6">
        <v>464791152</v>
      </c>
      <c r="O6" t="s">
        <v>96</v>
      </c>
      <c r="P6" t="s">
        <v>104</v>
      </c>
      <c r="R6" t="s">
        <v>105</v>
      </c>
      <c r="S6" t="s">
        <v>106</v>
      </c>
      <c r="T6" t="s">
        <v>78</v>
      </c>
      <c r="U6">
        <v>5426.9062335074095</v>
      </c>
      <c r="V6">
        <v>-464791152</v>
      </c>
      <c r="W6">
        <v>-464791152</v>
      </c>
      <c r="X6">
        <v>0</v>
      </c>
      <c r="Y6">
        <v>9777.36</v>
      </c>
      <c r="Z6" t="s">
        <v>99</v>
      </c>
      <c r="AA6">
        <v>42648</v>
      </c>
      <c r="AB6" t="s">
        <v>107</v>
      </c>
      <c r="AM6">
        <v>2.2999999999999998</v>
      </c>
      <c r="AN6">
        <v>22487.9234</v>
      </c>
      <c r="AO6">
        <v>1.9999656675936417</v>
      </c>
      <c r="AP6">
        <v>19554.380319772034</v>
      </c>
      <c r="AQ6">
        <v>13688.08</v>
      </c>
      <c r="AR6">
        <v>44235</v>
      </c>
      <c r="AS6" t="s">
        <v>108</v>
      </c>
      <c r="AT6">
        <v>19554.380319772034</v>
      </c>
      <c r="AU6" t="s">
        <v>108</v>
      </c>
      <c r="AV6" t="s">
        <v>109</v>
      </c>
    </row>
    <row r="7" spans="1:48" x14ac:dyDescent="0.3">
      <c r="A7" t="s">
        <v>89</v>
      </c>
      <c r="B7" t="s">
        <v>80</v>
      </c>
      <c r="C7" t="s">
        <v>110</v>
      </c>
      <c r="D7">
        <v>5234.5510000000004</v>
      </c>
      <c r="E7" t="s">
        <v>73</v>
      </c>
      <c r="F7" s="18">
        <v>45657</v>
      </c>
      <c r="G7" t="s">
        <v>103</v>
      </c>
      <c r="H7">
        <v>3.0001104633323106</v>
      </c>
      <c r="I7">
        <v>248867923</v>
      </c>
      <c r="J7">
        <v>0</v>
      </c>
      <c r="K7">
        <v>247867923</v>
      </c>
      <c r="O7" t="s">
        <v>96</v>
      </c>
      <c r="P7" t="s">
        <v>111</v>
      </c>
      <c r="R7" t="s">
        <v>105</v>
      </c>
      <c r="S7" t="s">
        <v>106</v>
      </c>
      <c r="T7" t="s">
        <v>78</v>
      </c>
      <c r="U7">
        <v>2905.4276283342947</v>
      </c>
      <c r="V7">
        <v>-248867923</v>
      </c>
      <c r="W7">
        <v>-247867923</v>
      </c>
      <c r="X7">
        <v>0</v>
      </c>
      <c r="Y7">
        <v>5234.55</v>
      </c>
      <c r="Z7" t="s">
        <v>99</v>
      </c>
      <c r="AA7">
        <v>42648</v>
      </c>
      <c r="AB7" t="s">
        <v>112</v>
      </c>
      <c r="AM7">
        <v>2.2999999999999998</v>
      </c>
      <c r="AN7">
        <v>12039.4673</v>
      </c>
      <c r="AO7">
        <v>1.9999656675936417</v>
      </c>
      <c r="AP7">
        <v>10468.922285267965</v>
      </c>
      <c r="AQ7">
        <v>7328.24</v>
      </c>
      <c r="AR7">
        <v>44235</v>
      </c>
      <c r="AS7" t="s">
        <v>108</v>
      </c>
      <c r="AT7">
        <v>10468.922285267965</v>
      </c>
      <c r="AU7" t="s">
        <v>108</v>
      </c>
      <c r="AV7" t="s">
        <v>109</v>
      </c>
    </row>
    <row r="8" spans="1:48" x14ac:dyDescent="0.3">
      <c r="A8" t="s">
        <v>89</v>
      </c>
      <c r="B8" t="s">
        <v>80</v>
      </c>
      <c r="C8" t="s">
        <v>113</v>
      </c>
      <c r="D8">
        <v>8561.26</v>
      </c>
      <c r="E8" t="s">
        <v>73</v>
      </c>
      <c r="F8" s="18">
        <v>44551</v>
      </c>
      <c r="G8" t="s">
        <v>103</v>
      </c>
      <c r="H8">
        <v>2.85</v>
      </c>
      <c r="O8" t="s">
        <v>96</v>
      </c>
      <c r="P8" t="s">
        <v>114</v>
      </c>
      <c r="S8" t="s">
        <v>106</v>
      </c>
      <c r="T8" t="s">
        <v>78</v>
      </c>
      <c r="U8">
        <v>0</v>
      </c>
      <c r="V8">
        <v>0</v>
      </c>
      <c r="W8">
        <v>0</v>
      </c>
      <c r="X8">
        <v>0</v>
      </c>
      <c r="Y8">
        <v>8561.26</v>
      </c>
      <c r="Z8" t="s">
        <v>99</v>
      </c>
      <c r="AA8">
        <v>42648</v>
      </c>
      <c r="AB8" t="s">
        <v>115</v>
      </c>
      <c r="AM8">
        <v>1.9999649584290164</v>
      </c>
      <c r="AN8">
        <v>17122.22</v>
      </c>
      <c r="AO8">
        <v>1.9999649584290164</v>
      </c>
      <c r="AP8">
        <v>17122.22</v>
      </c>
      <c r="AR8">
        <v>44235</v>
      </c>
      <c r="AS8" t="s">
        <v>108</v>
      </c>
    </row>
    <row r="9" spans="1:48" x14ac:dyDescent="0.3">
      <c r="A9" t="s">
        <v>89</v>
      </c>
      <c r="B9" t="s">
        <v>80</v>
      </c>
      <c r="C9" t="s">
        <v>116</v>
      </c>
      <c r="D9">
        <v>28469.481</v>
      </c>
      <c r="E9" t="s">
        <v>73</v>
      </c>
      <c r="F9" s="18">
        <v>42853</v>
      </c>
      <c r="G9" t="s">
        <v>117</v>
      </c>
      <c r="H9">
        <v>1.5800000007025066</v>
      </c>
      <c r="O9" t="s">
        <v>96</v>
      </c>
      <c r="P9" t="s">
        <v>118</v>
      </c>
      <c r="U9">
        <v>0</v>
      </c>
      <c r="V9">
        <v>0</v>
      </c>
      <c r="W9">
        <v>0</v>
      </c>
      <c r="X9">
        <v>0</v>
      </c>
    </row>
    <row r="10" spans="1:48" x14ac:dyDescent="0.3">
      <c r="A10" t="s">
        <v>89</v>
      </c>
      <c r="B10" t="s">
        <v>80</v>
      </c>
      <c r="C10" t="s">
        <v>119</v>
      </c>
      <c r="D10">
        <v>10359.56</v>
      </c>
      <c r="E10" t="s">
        <v>73</v>
      </c>
      <c r="F10" s="18">
        <v>42731</v>
      </c>
      <c r="G10" t="s">
        <v>120</v>
      </c>
      <c r="H10">
        <v>1.5000028958758869</v>
      </c>
      <c r="O10" t="s">
        <v>96</v>
      </c>
      <c r="P10" t="s">
        <v>121</v>
      </c>
      <c r="U10">
        <v>0</v>
      </c>
      <c r="V10">
        <v>0</v>
      </c>
      <c r="W10">
        <v>0</v>
      </c>
      <c r="X10">
        <v>0</v>
      </c>
    </row>
    <row r="11" spans="1:48" x14ac:dyDescent="0.3">
      <c r="A11" t="s">
        <v>89</v>
      </c>
      <c r="B11" t="s">
        <v>80</v>
      </c>
      <c r="C11" t="s">
        <v>122</v>
      </c>
      <c r="D11">
        <v>10359.574000000001</v>
      </c>
      <c r="E11" t="s">
        <v>73</v>
      </c>
      <c r="F11" s="18">
        <v>42731</v>
      </c>
      <c r="G11" t="s">
        <v>120</v>
      </c>
      <c r="H11">
        <v>1.500000868761592</v>
      </c>
      <c r="O11" t="s">
        <v>96</v>
      </c>
      <c r="P11" t="s">
        <v>123</v>
      </c>
      <c r="U11">
        <v>0</v>
      </c>
      <c r="V11">
        <v>0</v>
      </c>
      <c r="W11">
        <v>0</v>
      </c>
      <c r="X11">
        <v>0</v>
      </c>
    </row>
    <row r="12" spans="1:48" x14ac:dyDescent="0.3">
      <c r="A12" t="s">
        <v>89</v>
      </c>
      <c r="B12" t="s">
        <v>80</v>
      </c>
      <c r="C12" t="s">
        <v>124</v>
      </c>
      <c r="D12">
        <v>70694.350000000006</v>
      </c>
      <c r="E12" t="s">
        <v>73</v>
      </c>
      <c r="F12" s="18">
        <v>42223</v>
      </c>
      <c r="G12" t="s">
        <v>125</v>
      </c>
      <c r="H12">
        <v>1</v>
      </c>
      <c r="O12" t="s">
        <v>96</v>
      </c>
      <c r="U12">
        <v>0</v>
      </c>
      <c r="V12">
        <v>0</v>
      </c>
      <c r="W12">
        <v>0</v>
      </c>
      <c r="X12">
        <v>0</v>
      </c>
    </row>
    <row r="13" spans="1:48" x14ac:dyDescent="0.3">
      <c r="A13" t="s">
        <v>126</v>
      </c>
      <c r="B13" t="s">
        <v>80</v>
      </c>
      <c r="C13" t="s">
        <v>127</v>
      </c>
      <c r="D13">
        <v>7585.68</v>
      </c>
      <c r="E13" t="s">
        <v>73</v>
      </c>
      <c r="F13" s="18">
        <v>45838</v>
      </c>
      <c r="G13" t="s">
        <v>128</v>
      </c>
      <c r="I13">
        <v>376767997</v>
      </c>
      <c r="J13">
        <v>0</v>
      </c>
      <c r="K13">
        <v>376767997</v>
      </c>
      <c r="O13" t="s">
        <v>129</v>
      </c>
      <c r="P13" t="s">
        <v>130</v>
      </c>
      <c r="Q13" t="s">
        <v>130</v>
      </c>
      <c r="S13" t="s">
        <v>77</v>
      </c>
      <c r="T13" t="s">
        <v>78</v>
      </c>
      <c r="U13">
        <v>0</v>
      </c>
      <c r="V13">
        <v>-376767997</v>
      </c>
      <c r="W13">
        <v>-376767997</v>
      </c>
      <c r="X13">
        <v>0</v>
      </c>
      <c r="Y13">
        <v>7585.68</v>
      </c>
      <c r="Z13" t="s">
        <v>131</v>
      </c>
      <c r="AA13">
        <v>44103</v>
      </c>
      <c r="AB13" t="s">
        <v>132</v>
      </c>
      <c r="AM13">
        <v>2.1770769041531008</v>
      </c>
      <c r="AN13">
        <v>16514.608730296095</v>
      </c>
      <c r="AO13">
        <v>2.1770769041531008</v>
      </c>
      <c r="AP13">
        <v>16514.608730296095</v>
      </c>
      <c r="AR13">
        <v>43525</v>
      </c>
      <c r="AS13" t="s">
        <v>101</v>
      </c>
      <c r="AT13">
        <v>16514.608730296095</v>
      </c>
      <c r="AU13" t="s">
        <v>88</v>
      </c>
    </row>
    <row r="14" spans="1:48" x14ac:dyDescent="0.3">
      <c r="A14" t="s">
        <v>133</v>
      </c>
      <c r="B14" t="s">
        <v>80</v>
      </c>
      <c r="C14" t="s">
        <v>134</v>
      </c>
      <c r="D14">
        <v>5207.8999999999996</v>
      </c>
      <c r="E14" t="s">
        <v>73</v>
      </c>
      <c r="F14" s="18">
        <v>44925</v>
      </c>
      <c r="G14" t="s">
        <v>135</v>
      </c>
      <c r="H14">
        <v>3</v>
      </c>
      <c r="O14" t="s">
        <v>129</v>
      </c>
      <c r="P14" t="s">
        <v>136</v>
      </c>
      <c r="Q14" t="s">
        <v>136</v>
      </c>
      <c r="S14" t="s">
        <v>77</v>
      </c>
      <c r="T14" t="s">
        <v>78</v>
      </c>
      <c r="U14">
        <v>0</v>
      </c>
      <c r="V14">
        <v>0</v>
      </c>
      <c r="W14">
        <v>0</v>
      </c>
      <c r="X14">
        <v>0</v>
      </c>
      <c r="Y14">
        <v>5207.8999999999996</v>
      </c>
      <c r="Z14" t="s">
        <v>131</v>
      </c>
      <c r="AA14">
        <v>44103</v>
      </c>
      <c r="AB14" t="s">
        <v>137</v>
      </c>
      <c r="AM14">
        <v>2.1770769041531008</v>
      </c>
      <c r="AN14">
        <v>11337.998809138933</v>
      </c>
      <c r="AO14">
        <v>2.1770769041531008</v>
      </c>
      <c r="AP14">
        <v>11337.998809138933</v>
      </c>
      <c r="AR14">
        <v>43525</v>
      </c>
      <c r="AS14" t="s">
        <v>101</v>
      </c>
      <c r="AU14" t="s">
        <v>88</v>
      </c>
    </row>
    <row r="15" spans="1:48" x14ac:dyDescent="0.3">
      <c r="A15" t="s">
        <v>133</v>
      </c>
      <c r="B15" t="s">
        <v>80</v>
      </c>
      <c r="C15" t="s">
        <v>127</v>
      </c>
      <c r="D15">
        <v>7585.68</v>
      </c>
      <c r="E15" t="s">
        <v>73</v>
      </c>
      <c r="F15" s="18">
        <v>45134</v>
      </c>
      <c r="G15" t="s">
        <v>138</v>
      </c>
      <c r="H15">
        <v>3</v>
      </c>
      <c r="O15" t="s">
        <v>129</v>
      </c>
      <c r="P15" t="s">
        <v>130</v>
      </c>
      <c r="Q15" t="s">
        <v>130</v>
      </c>
      <c r="S15" t="s">
        <v>77</v>
      </c>
      <c r="T15" t="s">
        <v>78</v>
      </c>
      <c r="U15">
        <v>0</v>
      </c>
      <c r="V15">
        <v>0</v>
      </c>
      <c r="W15">
        <v>0</v>
      </c>
      <c r="X15">
        <v>0</v>
      </c>
      <c r="Y15">
        <v>7585.68</v>
      </c>
      <c r="Z15" t="s">
        <v>131</v>
      </c>
      <c r="AA15">
        <v>44103</v>
      </c>
      <c r="AB15" t="s">
        <v>132</v>
      </c>
      <c r="AM15">
        <v>2.1770769041531008</v>
      </c>
      <c r="AN15">
        <v>16514.608730296095</v>
      </c>
      <c r="AO15">
        <v>2.1770769041531008</v>
      </c>
      <c r="AP15">
        <v>16514.608730296095</v>
      </c>
      <c r="AR15">
        <v>43525</v>
      </c>
      <c r="AS15" t="s">
        <v>101</v>
      </c>
      <c r="AU15" t="s">
        <v>88</v>
      </c>
    </row>
    <row r="16" spans="1:48" x14ac:dyDescent="0.3">
      <c r="A16" t="s">
        <v>89</v>
      </c>
      <c r="B16" t="s">
        <v>80</v>
      </c>
      <c r="C16" t="s">
        <v>139</v>
      </c>
      <c r="D16">
        <v>1311.15</v>
      </c>
      <c r="E16" t="s">
        <v>73</v>
      </c>
      <c r="F16" s="18">
        <v>45740</v>
      </c>
      <c r="G16" t="s">
        <v>140</v>
      </c>
      <c r="H16">
        <v>1.7999466117530412</v>
      </c>
      <c r="O16" t="s">
        <v>141</v>
      </c>
      <c r="P16" t="s">
        <v>142</v>
      </c>
      <c r="R16" t="s">
        <v>143</v>
      </c>
      <c r="S16" t="s">
        <v>106</v>
      </c>
      <c r="T16" t="s">
        <v>144</v>
      </c>
      <c r="U16">
        <v>2090.1998137325331</v>
      </c>
      <c r="V16">
        <v>0</v>
      </c>
      <c r="W16">
        <v>0</v>
      </c>
      <c r="X16">
        <v>0</v>
      </c>
      <c r="Y16">
        <v>1311.15</v>
      </c>
      <c r="Z16" t="s">
        <v>145</v>
      </c>
      <c r="AA16">
        <v>43633</v>
      </c>
      <c r="AB16" t="s">
        <v>146</v>
      </c>
      <c r="AM16">
        <v>1.6</v>
      </c>
      <c r="AN16">
        <v>2097.84</v>
      </c>
      <c r="AO16">
        <v>0.4</v>
      </c>
      <c r="AP16">
        <v>524.46</v>
      </c>
      <c r="AU16" t="s">
        <v>88</v>
      </c>
    </row>
    <row r="17" spans="1:48" x14ac:dyDescent="0.3">
      <c r="A17" t="s">
        <v>79</v>
      </c>
      <c r="B17" t="s">
        <v>80</v>
      </c>
      <c r="C17" t="s">
        <v>147</v>
      </c>
      <c r="D17">
        <v>17999.099999999999</v>
      </c>
      <c r="E17" t="s">
        <v>148</v>
      </c>
      <c r="F17" s="18"/>
      <c r="G17" t="s">
        <v>82</v>
      </c>
      <c r="I17">
        <v>2880851856</v>
      </c>
      <c r="J17">
        <v>0</v>
      </c>
      <c r="K17">
        <v>2880851856</v>
      </c>
      <c r="O17" t="s">
        <v>149</v>
      </c>
      <c r="P17" t="s">
        <v>150</v>
      </c>
      <c r="S17" t="s">
        <v>77</v>
      </c>
      <c r="T17" t="s">
        <v>151</v>
      </c>
      <c r="U17">
        <v>16349.857305975096</v>
      </c>
      <c r="V17">
        <v>-2880851856</v>
      </c>
      <c r="W17">
        <v>-2880851856</v>
      </c>
      <c r="X17">
        <v>0</v>
      </c>
      <c r="Y17">
        <v>17999.099999999999</v>
      </c>
      <c r="Z17" t="s">
        <v>152</v>
      </c>
      <c r="AA17">
        <v>43357</v>
      </c>
      <c r="AB17" t="s">
        <v>153</v>
      </c>
      <c r="AM17">
        <v>3.5</v>
      </c>
      <c r="AN17">
        <v>62996.849999999991</v>
      </c>
      <c r="AO17">
        <v>3.4500000136028515</v>
      </c>
      <c r="AP17">
        <v>62096.895244839077</v>
      </c>
      <c r="AR17">
        <v>45251</v>
      </c>
      <c r="AS17" t="s">
        <v>154</v>
      </c>
      <c r="AT17">
        <v>62996.849999999991</v>
      </c>
      <c r="AU17" t="s">
        <v>154</v>
      </c>
      <c r="AV17" t="s">
        <v>155</v>
      </c>
    </row>
    <row r="18" spans="1:48" x14ac:dyDescent="0.3">
      <c r="A18" t="s">
        <v>89</v>
      </c>
      <c r="B18" t="s">
        <v>80</v>
      </c>
      <c r="C18" t="s">
        <v>156</v>
      </c>
      <c r="D18">
        <v>19722.749</v>
      </c>
      <c r="E18" t="s">
        <v>73</v>
      </c>
      <c r="F18" s="18"/>
      <c r="G18" t="s">
        <v>157</v>
      </c>
      <c r="H18">
        <v>3</v>
      </c>
      <c r="O18" t="s">
        <v>158</v>
      </c>
      <c r="P18" t="s">
        <v>159</v>
      </c>
      <c r="S18" t="s">
        <v>77</v>
      </c>
      <c r="T18" t="s">
        <v>78</v>
      </c>
      <c r="U18">
        <v>0</v>
      </c>
      <c r="V18">
        <v>0</v>
      </c>
      <c r="W18">
        <v>0</v>
      </c>
      <c r="X18">
        <v>0</v>
      </c>
      <c r="Y18">
        <v>19722.75</v>
      </c>
      <c r="Z18" t="s">
        <v>160</v>
      </c>
      <c r="AA18">
        <v>43731</v>
      </c>
      <c r="AB18" t="s">
        <v>161</v>
      </c>
      <c r="AM18">
        <v>2.7</v>
      </c>
      <c r="AN18">
        <v>53251.422300000006</v>
      </c>
      <c r="AO18">
        <v>1.49</v>
      </c>
      <c r="AP18">
        <v>29386.89601</v>
      </c>
      <c r="AR18">
        <v>43525</v>
      </c>
      <c r="AS18" t="s">
        <v>101</v>
      </c>
    </row>
    <row r="19" spans="1:48" x14ac:dyDescent="0.3">
      <c r="A19" t="s">
        <v>89</v>
      </c>
      <c r="B19" t="s">
        <v>80</v>
      </c>
      <c r="C19" t="s">
        <v>162</v>
      </c>
      <c r="D19">
        <v>10213.209000000001</v>
      </c>
      <c r="E19" t="s">
        <v>73</v>
      </c>
      <c r="F19" s="18"/>
      <c r="O19" t="s">
        <v>158</v>
      </c>
      <c r="P19" t="s">
        <v>163</v>
      </c>
      <c r="S19" t="s">
        <v>106</v>
      </c>
      <c r="T19" t="s">
        <v>78</v>
      </c>
      <c r="U19">
        <v>7776.2253924900024</v>
      </c>
      <c r="V19">
        <v>0</v>
      </c>
      <c r="W19">
        <v>0</v>
      </c>
      <c r="X19">
        <v>0</v>
      </c>
      <c r="Y19">
        <v>10213.209999999999</v>
      </c>
      <c r="Z19" t="s">
        <v>160</v>
      </c>
      <c r="AA19">
        <v>43731</v>
      </c>
      <c r="AB19" t="s">
        <v>164</v>
      </c>
      <c r="AM19">
        <v>2.8</v>
      </c>
      <c r="AN19">
        <v>28596.985199999999</v>
      </c>
      <c r="AO19">
        <v>2.4999485013904623</v>
      </c>
      <c r="AP19">
        <v>25532.496533937585</v>
      </c>
      <c r="AR19">
        <v>44235</v>
      </c>
      <c r="AS19" t="s">
        <v>108</v>
      </c>
      <c r="AT19">
        <v>25532.496533937585</v>
      </c>
      <c r="AU19" t="s">
        <v>88</v>
      </c>
    </row>
    <row r="20" spans="1:48" x14ac:dyDescent="0.3">
      <c r="A20" t="s">
        <v>89</v>
      </c>
      <c r="B20" t="s">
        <v>80</v>
      </c>
      <c r="C20" t="s">
        <v>165</v>
      </c>
      <c r="D20">
        <v>19310</v>
      </c>
      <c r="E20" t="s">
        <v>73</v>
      </c>
      <c r="F20" s="18">
        <v>45657</v>
      </c>
      <c r="G20" t="s">
        <v>166</v>
      </c>
      <c r="H20">
        <v>3.33</v>
      </c>
      <c r="I20">
        <v>741087832</v>
      </c>
      <c r="J20">
        <v>0</v>
      </c>
      <c r="K20">
        <v>741087832</v>
      </c>
      <c r="O20" t="s">
        <v>167</v>
      </c>
      <c r="S20" t="s">
        <v>77</v>
      </c>
      <c r="T20" t="s">
        <v>78</v>
      </c>
      <c r="U20">
        <v>0</v>
      </c>
      <c r="V20">
        <v>-741087832</v>
      </c>
      <c r="W20">
        <v>-741087832</v>
      </c>
      <c r="X20">
        <v>0</v>
      </c>
      <c r="AM20">
        <v>3.3</v>
      </c>
      <c r="AN20">
        <v>63723</v>
      </c>
      <c r="AO20">
        <v>3.2236011519851204</v>
      </c>
      <c r="AP20">
        <v>46317.172870001981</v>
      </c>
      <c r="AR20">
        <v>45496</v>
      </c>
      <c r="AS20" t="s">
        <v>154</v>
      </c>
      <c r="AT20">
        <v>63181</v>
      </c>
      <c r="AU20" t="s">
        <v>88</v>
      </c>
    </row>
    <row r="21" spans="1:48" x14ac:dyDescent="0.3">
      <c r="A21" t="s">
        <v>168</v>
      </c>
      <c r="B21" t="s">
        <v>169</v>
      </c>
      <c r="C21" t="s">
        <v>170</v>
      </c>
      <c r="D21">
        <v>778.6</v>
      </c>
      <c r="E21" t="s">
        <v>73</v>
      </c>
      <c r="F21" s="18">
        <v>44316</v>
      </c>
      <c r="G21" t="s">
        <v>171</v>
      </c>
      <c r="H21">
        <v>2.8088877472386335</v>
      </c>
      <c r="O21" t="s">
        <v>172</v>
      </c>
      <c r="P21" t="s">
        <v>173</v>
      </c>
      <c r="U21">
        <v>0</v>
      </c>
      <c r="V21">
        <v>0</v>
      </c>
      <c r="W21">
        <v>0</v>
      </c>
      <c r="X21">
        <v>0</v>
      </c>
      <c r="Y21">
        <v>778.6</v>
      </c>
      <c r="Z21" t="s">
        <v>174</v>
      </c>
      <c r="AA21">
        <v>44085</v>
      </c>
      <c r="AB21" t="s">
        <v>175</v>
      </c>
      <c r="AC21" t="s">
        <v>176</v>
      </c>
      <c r="AD21" t="s">
        <v>177</v>
      </c>
      <c r="AE21" t="s">
        <v>178</v>
      </c>
    </row>
    <row r="22" spans="1:48" x14ac:dyDescent="0.3">
      <c r="A22" t="s">
        <v>168</v>
      </c>
      <c r="B22" t="s">
        <v>169</v>
      </c>
      <c r="C22" t="s">
        <v>179</v>
      </c>
      <c r="D22">
        <v>794.7</v>
      </c>
      <c r="E22" t="s">
        <v>73</v>
      </c>
      <c r="F22" s="18">
        <v>44407</v>
      </c>
      <c r="G22" t="s">
        <v>180</v>
      </c>
      <c r="H22">
        <v>0.52975965773247768</v>
      </c>
      <c r="O22" t="s">
        <v>172</v>
      </c>
      <c r="P22" t="s">
        <v>181</v>
      </c>
      <c r="U22">
        <v>0</v>
      </c>
      <c r="V22">
        <v>0</v>
      </c>
      <c r="W22">
        <v>0</v>
      </c>
      <c r="X22">
        <v>0</v>
      </c>
      <c r="Y22">
        <v>794.7</v>
      </c>
      <c r="Z22" t="s">
        <v>174</v>
      </c>
      <c r="AA22">
        <v>44085</v>
      </c>
      <c r="AB22" t="s">
        <v>182</v>
      </c>
      <c r="AC22" t="s">
        <v>176</v>
      </c>
      <c r="AD22" t="s">
        <v>177</v>
      </c>
      <c r="AE22" t="s">
        <v>178</v>
      </c>
    </row>
    <row r="23" spans="1:48" x14ac:dyDescent="0.3">
      <c r="A23" t="s">
        <v>168</v>
      </c>
      <c r="B23" t="s">
        <v>169</v>
      </c>
      <c r="C23" t="s">
        <v>183</v>
      </c>
      <c r="D23">
        <v>774.6</v>
      </c>
      <c r="E23" t="s">
        <v>73</v>
      </c>
      <c r="F23" s="18">
        <v>44351</v>
      </c>
      <c r="G23" t="s">
        <v>184</v>
      </c>
      <c r="H23">
        <v>2.5006454944487477</v>
      </c>
      <c r="O23" t="s">
        <v>172</v>
      </c>
      <c r="P23" t="s">
        <v>185</v>
      </c>
      <c r="U23">
        <v>0</v>
      </c>
      <c r="V23">
        <v>0</v>
      </c>
      <c r="W23">
        <v>0</v>
      </c>
      <c r="X23">
        <v>0</v>
      </c>
      <c r="Y23">
        <v>774.6</v>
      </c>
      <c r="Z23" t="s">
        <v>174</v>
      </c>
      <c r="AA23">
        <v>44085</v>
      </c>
      <c r="AB23" t="s">
        <v>186</v>
      </c>
      <c r="AC23" t="s">
        <v>176</v>
      </c>
      <c r="AD23" t="s">
        <v>177</v>
      </c>
      <c r="AE23" t="s">
        <v>178</v>
      </c>
    </row>
    <row r="24" spans="1:48" x14ac:dyDescent="0.3">
      <c r="A24" t="s">
        <v>168</v>
      </c>
      <c r="B24" t="s">
        <v>169</v>
      </c>
      <c r="C24" t="s">
        <v>187</v>
      </c>
      <c r="D24">
        <v>756.9</v>
      </c>
      <c r="E24" t="s">
        <v>73</v>
      </c>
      <c r="F24" s="18">
        <v>44405</v>
      </c>
      <c r="G24" t="s">
        <v>188</v>
      </c>
      <c r="H24">
        <v>2.3246928260007929</v>
      </c>
      <c r="O24" t="s">
        <v>172</v>
      </c>
      <c r="P24" t="s">
        <v>189</v>
      </c>
      <c r="U24">
        <v>0</v>
      </c>
      <c r="V24">
        <v>0</v>
      </c>
      <c r="W24">
        <v>0</v>
      </c>
      <c r="X24">
        <v>0</v>
      </c>
      <c r="Y24">
        <v>756.9</v>
      </c>
      <c r="Z24" t="s">
        <v>174</v>
      </c>
      <c r="AA24">
        <v>44085</v>
      </c>
      <c r="AB24" t="s">
        <v>190</v>
      </c>
      <c r="AC24" t="s">
        <v>176</v>
      </c>
      <c r="AD24" t="s">
        <v>177</v>
      </c>
      <c r="AE24" t="s">
        <v>178</v>
      </c>
    </row>
    <row r="25" spans="1:48" x14ac:dyDescent="0.3">
      <c r="A25" t="s">
        <v>168</v>
      </c>
      <c r="B25" t="s">
        <v>169</v>
      </c>
      <c r="C25" t="s">
        <v>191</v>
      </c>
      <c r="D25">
        <v>865</v>
      </c>
      <c r="E25" t="s">
        <v>73</v>
      </c>
      <c r="F25" s="18">
        <v>44319</v>
      </c>
      <c r="G25" t="s">
        <v>192</v>
      </c>
      <c r="H25">
        <v>2.5005780346820807</v>
      </c>
      <c r="O25" t="s">
        <v>172</v>
      </c>
      <c r="P25" t="s">
        <v>193</v>
      </c>
      <c r="U25">
        <v>0</v>
      </c>
      <c r="V25">
        <v>0</v>
      </c>
      <c r="W25">
        <v>0</v>
      </c>
      <c r="X25">
        <v>0</v>
      </c>
      <c r="Y25">
        <v>865</v>
      </c>
      <c r="Z25" t="s">
        <v>174</v>
      </c>
      <c r="AA25">
        <v>44085</v>
      </c>
      <c r="AB25" t="s">
        <v>194</v>
      </c>
      <c r="AC25" t="s">
        <v>176</v>
      </c>
      <c r="AD25" t="s">
        <v>177</v>
      </c>
      <c r="AE25" t="s">
        <v>178</v>
      </c>
    </row>
    <row r="26" spans="1:48" x14ac:dyDescent="0.3">
      <c r="A26" t="s">
        <v>168</v>
      </c>
      <c r="B26" t="s">
        <v>169</v>
      </c>
      <c r="C26" t="s">
        <v>195</v>
      </c>
      <c r="D26">
        <v>846</v>
      </c>
      <c r="E26" t="s">
        <v>73</v>
      </c>
      <c r="F26" s="18">
        <v>44326</v>
      </c>
      <c r="G26" t="s">
        <v>196</v>
      </c>
      <c r="H26">
        <v>2.3687943262411348</v>
      </c>
      <c r="O26" t="s">
        <v>172</v>
      </c>
      <c r="P26" t="s">
        <v>197</v>
      </c>
      <c r="U26">
        <v>0</v>
      </c>
      <c r="V26">
        <v>0</v>
      </c>
      <c r="W26">
        <v>0</v>
      </c>
      <c r="X26">
        <v>0</v>
      </c>
      <c r="Y26">
        <v>846</v>
      </c>
      <c r="Z26" t="s">
        <v>174</v>
      </c>
      <c r="AA26">
        <v>44085</v>
      </c>
      <c r="AB26" t="s">
        <v>198</v>
      </c>
      <c r="AC26" t="s">
        <v>176</v>
      </c>
      <c r="AD26" t="s">
        <v>177</v>
      </c>
      <c r="AE26" t="s">
        <v>178</v>
      </c>
    </row>
    <row r="27" spans="1:48" x14ac:dyDescent="0.3">
      <c r="A27" t="s">
        <v>168</v>
      </c>
      <c r="B27" t="s">
        <v>169</v>
      </c>
      <c r="C27" t="s">
        <v>199</v>
      </c>
      <c r="D27">
        <v>767.5</v>
      </c>
      <c r="E27" t="s">
        <v>73</v>
      </c>
      <c r="F27" s="18">
        <v>44259</v>
      </c>
      <c r="G27" t="s">
        <v>200</v>
      </c>
      <c r="H27">
        <v>2.4351791530944626</v>
      </c>
      <c r="O27" t="s">
        <v>172</v>
      </c>
      <c r="P27" t="s">
        <v>201</v>
      </c>
      <c r="U27">
        <v>0</v>
      </c>
      <c r="V27">
        <v>0</v>
      </c>
      <c r="W27">
        <v>0</v>
      </c>
      <c r="X27">
        <v>0</v>
      </c>
      <c r="Y27">
        <v>767.5</v>
      </c>
      <c r="Z27" t="s">
        <v>174</v>
      </c>
      <c r="AA27">
        <v>44085</v>
      </c>
      <c r="AB27" t="s">
        <v>202</v>
      </c>
      <c r="AC27" t="s">
        <v>176</v>
      </c>
      <c r="AD27" t="s">
        <v>177</v>
      </c>
      <c r="AE27" t="s">
        <v>178</v>
      </c>
    </row>
    <row r="28" spans="1:48" x14ac:dyDescent="0.3">
      <c r="A28" t="s">
        <v>168</v>
      </c>
      <c r="B28" t="s">
        <v>169</v>
      </c>
      <c r="C28" t="s">
        <v>203</v>
      </c>
      <c r="D28">
        <v>989.5</v>
      </c>
      <c r="E28" t="s">
        <v>73</v>
      </c>
      <c r="F28" s="18">
        <v>44407</v>
      </c>
      <c r="G28" t="s">
        <v>204</v>
      </c>
      <c r="H28">
        <v>0.52956038403233952</v>
      </c>
      <c r="O28" t="s">
        <v>172</v>
      </c>
      <c r="P28" t="s">
        <v>205</v>
      </c>
      <c r="U28">
        <v>0</v>
      </c>
      <c r="V28">
        <v>0</v>
      </c>
      <c r="W28">
        <v>0</v>
      </c>
      <c r="X28">
        <v>0</v>
      </c>
      <c r="Y28">
        <v>989.5</v>
      </c>
      <c r="Z28" t="s">
        <v>174</v>
      </c>
      <c r="AA28">
        <v>44085</v>
      </c>
      <c r="AB28" t="s">
        <v>206</v>
      </c>
      <c r="AC28" t="s">
        <v>176</v>
      </c>
      <c r="AD28" t="s">
        <v>177</v>
      </c>
      <c r="AE28" t="s">
        <v>178</v>
      </c>
    </row>
    <row r="29" spans="1:48" x14ac:dyDescent="0.3">
      <c r="A29" t="s">
        <v>168</v>
      </c>
      <c r="B29" t="s">
        <v>169</v>
      </c>
      <c r="C29" t="s">
        <v>207</v>
      </c>
      <c r="D29">
        <v>840</v>
      </c>
      <c r="E29" t="s">
        <v>73</v>
      </c>
      <c r="F29" s="18">
        <v>44309</v>
      </c>
      <c r="G29" t="s">
        <v>208</v>
      </c>
      <c r="H29">
        <v>2.8952380952380952</v>
      </c>
      <c r="O29" t="s">
        <v>172</v>
      </c>
      <c r="P29" t="s">
        <v>209</v>
      </c>
      <c r="U29">
        <v>0</v>
      </c>
      <c r="V29">
        <v>0</v>
      </c>
      <c r="W29">
        <v>0</v>
      </c>
      <c r="X29">
        <v>0</v>
      </c>
      <c r="Y29">
        <v>840</v>
      </c>
      <c r="Z29" t="s">
        <v>174</v>
      </c>
      <c r="AA29">
        <v>44085</v>
      </c>
      <c r="AB29" t="s">
        <v>210</v>
      </c>
      <c r="AC29" t="s">
        <v>176</v>
      </c>
      <c r="AD29" t="s">
        <v>177</v>
      </c>
      <c r="AE29" t="s">
        <v>178</v>
      </c>
    </row>
    <row r="30" spans="1:48" x14ac:dyDescent="0.3">
      <c r="A30" t="s">
        <v>168</v>
      </c>
      <c r="B30" t="s">
        <v>169</v>
      </c>
      <c r="C30" t="s">
        <v>211</v>
      </c>
      <c r="D30">
        <v>835.5</v>
      </c>
      <c r="E30" t="s">
        <v>73</v>
      </c>
      <c r="F30" s="18">
        <v>44468</v>
      </c>
      <c r="G30" t="s">
        <v>212</v>
      </c>
      <c r="H30">
        <v>2.7504488330341115</v>
      </c>
      <c r="O30" t="s">
        <v>172</v>
      </c>
      <c r="P30" t="s">
        <v>213</v>
      </c>
      <c r="U30">
        <v>0</v>
      </c>
      <c r="V30">
        <v>0</v>
      </c>
      <c r="W30">
        <v>0</v>
      </c>
      <c r="X30">
        <v>0</v>
      </c>
      <c r="Y30">
        <v>835.5</v>
      </c>
      <c r="Z30" t="s">
        <v>174</v>
      </c>
      <c r="AA30">
        <v>44085</v>
      </c>
      <c r="AB30" t="s">
        <v>214</v>
      </c>
      <c r="AC30" t="s">
        <v>176</v>
      </c>
      <c r="AD30" t="s">
        <v>177</v>
      </c>
      <c r="AE30" t="s">
        <v>178</v>
      </c>
    </row>
    <row r="31" spans="1:48" x14ac:dyDescent="0.3">
      <c r="A31" t="s">
        <v>168</v>
      </c>
      <c r="B31" t="s">
        <v>169</v>
      </c>
      <c r="C31" t="s">
        <v>215</v>
      </c>
      <c r="D31">
        <v>740</v>
      </c>
      <c r="E31" t="s">
        <v>73</v>
      </c>
      <c r="F31" s="18">
        <v>44364</v>
      </c>
      <c r="G31" t="s">
        <v>216</v>
      </c>
      <c r="H31">
        <v>0.6</v>
      </c>
      <c r="O31" t="s">
        <v>172</v>
      </c>
      <c r="P31" t="s">
        <v>217</v>
      </c>
      <c r="U31">
        <v>0</v>
      </c>
      <c r="V31">
        <v>0</v>
      </c>
      <c r="W31">
        <v>0</v>
      </c>
      <c r="X31">
        <v>0</v>
      </c>
      <c r="Y31">
        <v>740</v>
      </c>
      <c r="Z31" t="s">
        <v>174</v>
      </c>
      <c r="AA31">
        <v>44085</v>
      </c>
      <c r="AB31" t="s">
        <v>218</v>
      </c>
      <c r="AC31" t="s">
        <v>176</v>
      </c>
      <c r="AD31" t="s">
        <v>177</v>
      </c>
      <c r="AE31" t="s">
        <v>178</v>
      </c>
    </row>
    <row r="32" spans="1:48" x14ac:dyDescent="0.3">
      <c r="A32" t="s">
        <v>168</v>
      </c>
      <c r="B32" t="s">
        <v>169</v>
      </c>
      <c r="C32" t="s">
        <v>219</v>
      </c>
      <c r="D32">
        <v>842.1</v>
      </c>
      <c r="E32" t="s">
        <v>73</v>
      </c>
      <c r="F32" s="18">
        <v>44438</v>
      </c>
      <c r="G32" t="s">
        <v>220</v>
      </c>
      <c r="H32">
        <v>2.3678897993112455</v>
      </c>
      <c r="O32" t="s">
        <v>172</v>
      </c>
      <c r="P32" t="s">
        <v>221</v>
      </c>
      <c r="U32">
        <v>0</v>
      </c>
      <c r="V32">
        <v>0</v>
      </c>
      <c r="W32">
        <v>0</v>
      </c>
      <c r="X32">
        <v>0</v>
      </c>
      <c r="Y32">
        <v>842.1</v>
      </c>
      <c r="Z32" t="s">
        <v>174</v>
      </c>
      <c r="AA32">
        <v>44085</v>
      </c>
      <c r="AB32" t="s">
        <v>222</v>
      </c>
      <c r="AC32" t="s">
        <v>176</v>
      </c>
      <c r="AD32" t="s">
        <v>177</v>
      </c>
      <c r="AE32" t="s">
        <v>178</v>
      </c>
    </row>
    <row r="33" spans="1:31" x14ac:dyDescent="0.3">
      <c r="A33" t="s">
        <v>168</v>
      </c>
      <c r="B33" t="s">
        <v>169</v>
      </c>
      <c r="C33" t="s">
        <v>223</v>
      </c>
      <c r="D33">
        <v>761.2</v>
      </c>
      <c r="E33" t="s">
        <v>73</v>
      </c>
      <c r="F33" s="18">
        <v>44315</v>
      </c>
      <c r="G33" t="s">
        <v>224</v>
      </c>
      <c r="H33">
        <v>2.425118234366789</v>
      </c>
      <c r="O33" t="s">
        <v>172</v>
      </c>
      <c r="P33" t="s">
        <v>225</v>
      </c>
      <c r="U33">
        <v>0</v>
      </c>
      <c r="V33">
        <v>0</v>
      </c>
      <c r="W33">
        <v>0</v>
      </c>
      <c r="X33">
        <v>0</v>
      </c>
      <c r="Y33">
        <v>761.2</v>
      </c>
      <c r="Z33" t="s">
        <v>174</v>
      </c>
      <c r="AA33">
        <v>44085</v>
      </c>
      <c r="AB33" t="s">
        <v>226</v>
      </c>
      <c r="AC33" t="s">
        <v>176</v>
      </c>
      <c r="AD33" t="s">
        <v>177</v>
      </c>
      <c r="AE33" t="s">
        <v>178</v>
      </c>
    </row>
    <row r="34" spans="1:31" x14ac:dyDescent="0.3">
      <c r="A34" t="s">
        <v>168</v>
      </c>
      <c r="B34" t="s">
        <v>169</v>
      </c>
      <c r="C34" t="s">
        <v>227</v>
      </c>
      <c r="D34">
        <v>761.2</v>
      </c>
      <c r="E34" t="s">
        <v>73</v>
      </c>
      <c r="F34" s="18">
        <v>44426</v>
      </c>
      <c r="G34" t="s">
        <v>228</v>
      </c>
      <c r="H34">
        <v>2.5</v>
      </c>
      <c r="O34" t="s">
        <v>172</v>
      </c>
      <c r="P34" t="s">
        <v>229</v>
      </c>
      <c r="U34">
        <v>0</v>
      </c>
      <c r="V34">
        <v>0</v>
      </c>
      <c r="W34">
        <v>0</v>
      </c>
      <c r="X34">
        <v>0</v>
      </c>
      <c r="Y34">
        <v>761.2</v>
      </c>
      <c r="Z34" t="s">
        <v>174</v>
      </c>
      <c r="AA34">
        <v>44085</v>
      </c>
      <c r="AB34" t="s">
        <v>230</v>
      </c>
      <c r="AC34" t="s">
        <v>176</v>
      </c>
      <c r="AD34" t="s">
        <v>177</v>
      </c>
      <c r="AE34" t="s">
        <v>178</v>
      </c>
    </row>
    <row r="35" spans="1:31" x14ac:dyDescent="0.3">
      <c r="A35" t="s">
        <v>168</v>
      </c>
      <c r="B35" t="s">
        <v>169</v>
      </c>
      <c r="C35" t="s">
        <v>231</v>
      </c>
      <c r="D35">
        <v>842.1</v>
      </c>
      <c r="E35" t="s">
        <v>73</v>
      </c>
      <c r="F35" s="18">
        <v>44433</v>
      </c>
      <c r="G35" t="s">
        <v>232</v>
      </c>
      <c r="H35">
        <v>2.3678897993112455</v>
      </c>
      <c r="O35" t="s">
        <v>172</v>
      </c>
      <c r="P35" t="s">
        <v>233</v>
      </c>
      <c r="U35">
        <v>0</v>
      </c>
      <c r="V35">
        <v>0</v>
      </c>
      <c r="W35">
        <v>0</v>
      </c>
      <c r="X35">
        <v>0</v>
      </c>
      <c r="Y35">
        <v>842.1</v>
      </c>
      <c r="Z35" t="s">
        <v>174</v>
      </c>
      <c r="AA35">
        <v>44085</v>
      </c>
      <c r="AB35" t="s">
        <v>234</v>
      </c>
      <c r="AC35" t="s">
        <v>176</v>
      </c>
      <c r="AD35" t="s">
        <v>177</v>
      </c>
      <c r="AE35" t="s">
        <v>178</v>
      </c>
    </row>
    <row r="36" spans="1:31" x14ac:dyDescent="0.3">
      <c r="A36" t="s">
        <v>168</v>
      </c>
      <c r="B36" t="s">
        <v>169</v>
      </c>
      <c r="C36" t="s">
        <v>235</v>
      </c>
      <c r="D36">
        <v>740</v>
      </c>
      <c r="E36" t="s">
        <v>73</v>
      </c>
      <c r="F36" s="18">
        <v>44268</v>
      </c>
      <c r="G36" t="s">
        <v>236</v>
      </c>
      <c r="H36">
        <v>2.631081081081081</v>
      </c>
      <c r="O36" t="s">
        <v>172</v>
      </c>
      <c r="P36" t="s">
        <v>237</v>
      </c>
      <c r="U36">
        <v>0</v>
      </c>
      <c r="V36">
        <v>0</v>
      </c>
      <c r="W36">
        <v>0</v>
      </c>
      <c r="X36">
        <v>0</v>
      </c>
      <c r="Y36">
        <v>740</v>
      </c>
      <c r="Z36" t="s">
        <v>174</v>
      </c>
      <c r="AA36">
        <v>44085</v>
      </c>
      <c r="AB36" t="s">
        <v>238</v>
      </c>
      <c r="AC36" t="s">
        <v>176</v>
      </c>
      <c r="AD36" t="s">
        <v>177</v>
      </c>
      <c r="AE36" t="s">
        <v>178</v>
      </c>
    </row>
    <row r="37" spans="1:31" x14ac:dyDescent="0.3">
      <c r="A37" t="s">
        <v>168</v>
      </c>
      <c r="B37" t="s">
        <v>169</v>
      </c>
      <c r="C37" t="s">
        <v>239</v>
      </c>
      <c r="D37">
        <v>735.5</v>
      </c>
      <c r="E37" t="s">
        <v>73</v>
      </c>
      <c r="F37" s="18">
        <v>44237</v>
      </c>
      <c r="G37" t="s">
        <v>240</v>
      </c>
      <c r="H37">
        <v>2.8076138681169271</v>
      </c>
      <c r="O37" t="s">
        <v>172</v>
      </c>
      <c r="P37" t="s">
        <v>241</v>
      </c>
      <c r="U37">
        <v>0</v>
      </c>
      <c r="V37">
        <v>0</v>
      </c>
      <c r="W37">
        <v>0</v>
      </c>
      <c r="X37">
        <v>0</v>
      </c>
      <c r="Y37">
        <v>735.5</v>
      </c>
      <c r="Z37" t="s">
        <v>174</v>
      </c>
      <c r="AA37">
        <v>44085</v>
      </c>
      <c r="AB37" t="s">
        <v>242</v>
      </c>
      <c r="AC37" t="s">
        <v>176</v>
      </c>
      <c r="AD37" t="s">
        <v>177</v>
      </c>
      <c r="AE37" t="s">
        <v>178</v>
      </c>
    </row>
    <row r="38" spans="1:31" x14ac:dyDescent="0.3">
      <c r="A38" t="s">
        <v>168</v>
      </c>
      <c r="B38" t="s">
        <v>169</v>
      </c>
      <c r="C38" t="s">
        <v>243</v>
      </c>
      <c r="D38">
        <v>740</v>
      </c>
      <c r="E38" t="s">
        <v>73</v>
      </c>
      <c r="F38" s="18">
        <v>44335</v>
      </c>
      <c r="G38" t="s">
        <v>244</v>
      </c>
      <c r="H38">
        <v>2.6918918918918919</v>
      </c>
      <c r="O38" t="s">
        <v>172</v>
      </c>
      <c r="P38" t="s">
        <v>245</v>
      </c>
      <c r="U38">
        <v>0</v>
      </c>
      <c r="V38">
        <v>0</v>
      </c>
      <c r="W38">
        <v>0</v>
      </c>
      <c r="X38">
        <v>0</v>
      </c>
      <c r="Y38">
        <v>740</v>
      </c>
      <c r="Z38" t="s">
        <v>174</v>
      </c>
      <c r="AA38">
        <v>44085</v>
      </c>
      <c r="AB38" t="s">
        <v>246</v>
      </c>
      <c r="AC38" t="s">
        <v>176</v>
      </c>
      <c r="AD38" t="s">
        <v>177</v>
      </c>
      <c r="AE38" t="s">
        <v>178</v>
      </c>
    </row>
    <row r="39" spans="1:31" x14ac:dyDescent="0.3">
      <c r="A39" t="s">
        <v>168</v>
      </c>
      <c r="B39" t="s">
        <v>169</v>
      </c>
      <c r="C39" t="s">
        <v>247</v>
      </c>
      <c r="D39">
        <v>740</v>
      </c>
      <c r="E39" t="s">
        <v>73</v>
      </c>
      <c r="F39" s="18">
        <v>44419</v>
      </c>
      <c r="G39" t="s">
        <v>248</v>
      </c>
      <c r="H39">
        <v>2.8945945945945946</v>
      </c>
      <c r="O39" t="s">
        <v>172</v>
      </c>
      <c r="P39" t="s">
        <v>249</v>
      </c>
      <c r="U39">
        <v>0</v>
      </c>
      <c r="V39">
        <v>0</v>
      </c>
      <c r="W39">
        <v>0</v>
      </c>
      <c r="X39">
        <v>0</v>
      </c>
      <c r="Y39">
        <v>740</v>
      </c>
      <c r="Z39" t="s">
        <v>174</v>
      </c>
      <c r="AA39">
        <v>44085</v>
      </c>
      <c r="AB39" t="s">
        <v>250</v>
      </c>
      <c r="AC39" t="s">
        <v>176</v>
      </c>
      <c r="AD39" t="s">
        <v>177</v>
      </c>
      <c r="AE39" t="s">
        <v>178</v>
      </c>
    </row>
    <row r="40" spans="1:31" x14ac:dyDescent="0.3">
      <c r="A40" t="s">
        <v>168</v>
      </c>
      <c r="B40" t="s">
        <v>169</v>
      </c>
      <c r="C40" t="s">
        <v>251</v>
      </c>
      <c r="D40">
        <v>735.5</v>
      </c>
      <c r="E40" t="s">
        <v>73</v>
      </c>
      <c r="F40" s="18">
        <v>44280</v>
      </c>
      <c r="G40" t="s">
        <v>252</v>
      </c>
      <c r="H40">
        <v>2.8266485384092452</v>
      </c>
      <c r="O40" t="s">
        <v>172</v>
      </c>
      <c r="P40" t="s">
        <v>253</v>
      </c>
      <c r="U40">
        <v>0</v>
      </c>
      <c r="V40">
        <v>0</v>
      </c>
      <c r="W40">
        <v>0</v>
      </c>
      <c r="X40">
        <v>0</v>
      </c>
      <c r="Y40">
        <v>735.5</v>
      </c>
      <c r="Z40" t="s">
        <v>174</v>
      </c>
      <c r="AA40">
        <v>44085</v>
      </c>
      <c r="AB40" t="s">
        <v>254</v>
      </c>
      <c r="AC40" t="s">
        <v>176</v>
      </c>
      <c r="AD40" t="s">
        <v>177</v>
      </c>
      <c r="AE40" t="s">
        <v>178</v>
      </c>
    </row>
    <row r="41" spans="1:31" x14ac:dyDescent="0.3">
      <c r="A41" t="s">
        <v>168</v>
      </c>
      <c r="B41" t="s">
        <v>169</v>
      </c>
      <c r="C41" t="s">
        <v>255</v>
      </c>
      <c r="D41">
        <v>740</v>
      </c>
      <c r="E41" t="s">
        <v>73</v>
      </c>
      <c r="F41" s="18">
        <v>44363</v>
      </c>
      <c r="G41" t="s">
        <v>256</v>
      </c>
      <c r="H41">
        <v>2.8040540540540539</v>
      </c>
      <c r="O41" t="s">
        <v>172</v>
      </c>
      <c r="P41" t="s">
        <v>257</v>
      </c>
      <c r="U41">
        <v>0</v>
      </c>
      <c r="V41">
        <v>0</v>
      </c>
      <c r="W41">
        <v>0</v>
      </c>
      <c r="X41">
        <v>0</v>
      </c>
      <c r="Y41">
        <v>740</v>
      </c>
      <c r="Z41" t="s">
        <v>174</v>
      </c>
      <c r="AA41">
        <v>44085</v>
      </c>
      <c r="AB41" t="s">
        <v>258</v>
      </c>
      <c r="AC41" t="s">
        <v>176</v>
      </c>
      <c r="AD41" t="s">
        <v>177</v>
      </c>
      <c r="AE41" t="s">
        <v>178</v>
      </c>
    </row>
    <row r="42" spans="1:31" x14ac:dyDescent="0.3">
      <c r="A42" t="s">
        <v>168</v>
      </c>
      <c r="B42" t="s">
        <v>169</v>
      </c>
      <c r="C42" t="s">
        <v>259</v>
      </c>
      <c r="D42">
        <v>842.1</v>
      </c>
      <c r="E42" t="s">
        <v>73</v>
      </c>
      <c r="F42" s="18">
        <v>44342</v>
      </c>
      <c r="G42" t="s">
        <v>260</v>
      </c>
      <c r="H42">
        <v>2.3678897993112455</v>
      </c>
      <c r="O42" t="s">
        <v>172</v>
      </c>
      <c r="P42" t="s">
        <v>261</v>
      </c>
      <c r="U42">
        <v>0</v>
      </c>
      <c r="V42">
        <v>0</v>
      </c>
      <c r="W42">
        <v>0</v>
      </c>
      <c r="X42">
        <v>0</v>
      </c>
      <c r="Y42">
        <v>842.1</v>
      </c>
      <c r="Z42" t="s">
        <v>174</v>
      </c>
      <c r="AA42">
        <v>44085</v>
      </c>
      <c r="AB42" t="s">
        <v>262</v>
      </c>
      <c r="AC42" t="s">
        <v>176</v>
      </c>
      <c r="AD42" t="s">
        <v>177</v>
      </c>
      <c r="AE42" t="s">
        <v>178</v>
      </c>
    </row>
    <row r="43" spans="1:31" x14ac:dyDescent="0.3">
      <c r="A43" t="s">
        <v>168</v>
      </c>
      <c r="B43" t="s">
        <v>169</v>
      </c>
      <c r="C43" t="s">
        <v>263</v>
      </c>
      <c r="D43">
        <v>761.2</v>
      </c>
      <c r="E43" t="s">
        <v>73</v>
      </c>
      <c r="F43" s="18">
        <v>44278</v>
      </c>
      <c r="G43" t="s">
        <v>264</v>
      </c>
      <c r="H43">
        <v>2.4343142406726219</v>
      </c>
      <c r="O43" t="s">
        <v>172</v>
      </c>
      <c r="P43" t="s">
        <v>265</v>
      </c>
      <c r="U43">
        <v>0</v>
      </c>
      <c r="V43">
        <v>0</v>
      </c>
      <c r="W43">
        <v>0</v>
      </c>
      <c r="X43">
        <v>0</v>
      </c>
      <c r="Y43">
        <v>761.2</v>
      </c>
      <c r="Z43" t="s">
        <v>174</v>
      </c>
      <c r="AA43">
        <v>44085</v>
      </c>
      <c r="AB43" t="s">
        <v>266</v>
      </c>
      <c r="AC43" t="s">
        <v>176</v>
      </c>
      <c r="AD43" t="s">
        <v>177</v>
      </c>
      <c r="AE43" t="s">
        <v>178</v>
      </c>
    </row>
    <row r="44" spans="1:31" x14ac:dyDescent="0.3">
      <c r="A44" t="s">
        <v>168</v>
      </c>
      <c r="B44" t="s">
        <v>169</v>
      </c>
      <c r="C44" t="s">
        <v>267</v>
      </c>
      <c r="D44">
        <v>761.2</v>
      </c>
      <c r="E44" t="s">
        <v>73</v>
      </c>
      <c r="F44" s="18">
        <v>44376</v>
      </c>
      <c r="G44" t="s">
        <v>268</v>
      </c>
      <c r="H44">
        <v>2.5</v>
      </c>
      <c r="O44" t="s">
        <v>172</v>
      </c>
      <c r="P44" t="s">
        <v>269</v>
      </c>
      <c r="U44">
        <v>0</v>
      </c>
      <c r="V44">
        <v>0</v>
      </c>
      <c r="W44">
        <v>0</v>
      </c>
      <c r="X44">
        <v>0</v>
      </c>
      <c r="Y44">
        <v>761.2</v>
      </c>
      <c r="Z44" t="s">
        <v>174</v>
      </c>
      <c r="AA44">
        <v>44085</v>
      </c>
      <c r="AB44" t="s">
        <v>270</v>
      </c>
      <c r="AC44" t="s">
        <v>176</v>
      </c>
      <c r="AD44" t="s">
        <v>177</v>
      </c>
      <c r="AE44" t="s">
        <v>178</v>
      </c>
    </row>
    <row r="45" spans="1:31" x14ac:dyDescent="0.3">
      <c r="A45" t="s">
        <v>168</v>
      </c>
      <c r="B45" t="s">
        <v>169</v>
      </c>
      <c r="C45" t="s">
        <v>271</v>
      </c>
      <c r="D45">
        <v>843.6</v>
      </c>
      <c r="E45" t="s">
        <v>73</v>
      </c>
      <c r="F45" s="18">
        <v>44505</v>
      </c>
      <c r="G45" t="s">
        <v>272</v>
      </c>
      <c r="H45">
        <v>2.0376955903271692</v>
      </c>
      <c r="O45" t="s">
        <v>172</v>
      </c>
      <c r="P45" t="s">
        <v>273</v>
      </c>
      <c r="U45">
        <v>0</v>
      </c>
      <c r="V45">
        <v>0</v>
      </c>
      <c r="W45">
        <v>0</v>
      </c>
      <c r="X45">
        <v>0</v>
      </c>
      <c r="Y45">
        <v>843.6</v>
      </c>
      <c r="Z45" t="s">
        <v>174</v>
      </c>
      <c r="AA45">
        <v>44085</v>
      </c>
      <c r="AB45" t="s">
        <v>274</v>
      </c>
      <c r="AC45" t="s">
        <v>176</v>
      </c>
      <c r="AD45" t="s">
        <v>177</v>
      </c>
      <c r="AE45" t="s">
        <v>178</v>
      </c>
    </row>
    <row r="46" spans="1:31" x14ac:dyDescent="0.3">
      <c r="A46" t="s">
        <v>168</v>
      </c>
      <c r="B46" t="s">
        <v>169</v>
      </c>
      <c r="C46" t="s">
        <v>275</v>
      </c>
      <c r="D46">
        <v>779.4</v>
      </c>
      <c r="E46" t="s">
        <v>73</v>
      </c>
      <c r="F46" s="18">
        <v>44390</v>
      </c>
      <c r="G46" t="s">
        <v>276</v>
      </c>
      <c r="H46">
        <v>2.3684885809597125</v>
      </c>
      <c r="O46" t="s">
        <v>172</v>
      </c>
      <c r="P46" t="s">
        <v>277</v>
      </c>
      <c r="U46">
        <v>0</v>
      </c>
      <c r="V46">
        <v>0</v>
      </c>
      <c r="W46">
        <v>0</v>
      </c>
      <c r="X46">
        <v>0</v>
      </c>
      <c r="Y46">
        <v>779.4</v>
      </c>
      <c r="Z46" t="s">
        <v>174</v>
      </c>
      <c r="AA46">
        <v>44085</v>
      </c>
      <c r="AB46" t="s">
        <v>278</v>
      </c>
      <c r="AC46" t="s">
        <v>176</v>
      </c>
      <c r="AD46" t="s">
        <v>177</v>
      </c>
      <c r="AE46" t="s">
        <v>178</v>
      </c>
    </row>
    <row r="47" spans="1:31" x14ac:dyDescent="0.3">
      <c r="A47" t="s">
        <v>168</v>
      </c>
      <c r="B47" t="s">
        <v>169</v>
      </c>
      <c r="C47" t="s">
        <v>279</v>
      </c>
      <c r="D47">
        <v>801.7</v>
      </c>
      <c r="E47" t="s">
        <v>73</v>
      </c>
      <c r="F47" s="18">
        <v>44377</v>
      </c>
      <c r="G47" t="s">
        <v>280</v>
      </c>
      <c r="H47">
        <v>2.3687164774853433</v>
      </c>
      <c r="O47" t="s">
        <v>172</v>
      </c>
      <c r="P47" t="s">
        <v>281</v>
      </c>
      <c r="U47">
        <v>0</v>
      </c>
      <c r="V47">
        <v>0</v>
      </c>
      <c r="W47">
        <v>0</v>
      </c>
      <c r="X47">
        <v>0</v>
      </c>
      <c r="Y47">
        <v>801.7</v>
      </c>
      <c r="Z47" t="s">
        <v>174</v>
      </c>
      <c r="AA47">
        <v>44085</v>
      </c>
      <c r="AB47" t="s">
        <v>282</v>
      </c>
      <c r="AC47" t="s">
        <v>176</v>
      </c>
      <c r="AD47" t="s">
        <v>177</v>
      </c>
      <c r="AE47" t="s">
        <v>178</v>
      </c>
    </row>
    <row r="48" spans="1:31" x14ac:dyDescent="0.3">
      <c r="A48" t="s">
        <v>168</v>
      </c>
      <c r="B48" t="s">
        <v>169</v>
      </c>
      <c r="C48" t="s">
        <v>283</v>
      </c>
      <c r="D48">
        <v>802.3</v>
      </c>
      <c r="E48" t="s">
        <v>73</v>
      </c>
      <c r="F48" s="18">
        <v>44459</v>
      </c>
      <c r="G48" t="s">
        <v>284</v>
      </c>
      <c r="H48">
        <v>2.3681914495824508</v>
      </c>
      <c r="O48" t="s">
        <v>172</v>
      </c>
      <c r="P48" t="s">
        <v>285</v>
      </c>
      <c r="U48">
        <v>0</v>
      </c>
      <c r="V48">
        <v>0</v>
      </c>
      <c r="W48">
        <v>0</v>
      </c>
      <c r="X48">
        <v>0</v>
      </c>
      <c r="Y48">
        <v>802.3</v>
      </c>
      <c r="Z48" t="s">
        <v>174</v>
      </c>
      <c r="AA48">
        <v>44085</v>
      </c>
      <c r="AB48" t="s">
        <v>286</v>
      </c>
      <c r="AC48" t="s">
        <v>176</v>
      </c>
      <c r="AD48" t="s">
        <v>177</v>
      </c>
      <c r="AE48" t="s">
        <v>178</v>
      </c>
    </row>
    <row r="49" spans="1:46" x14ac:dyDescent="0.3">
      <c r="A49" t="s">
        <v>168</v>
      </c>
      <c r="B49" t="s">
        <v>169</v>
      </c>
      <c r="C49" t="s">
        <v>287</v>
      </c>
      <c r="D49">
        <v>1115.8</v>
      </c>
      <c r="E49" t="s">
        <v>73</v>
      </c>
      <c r="F49" s="18">
        <v>44519</v>
      </c>
      <c r="G49" t="s">
        <v>288</v>
      </c>
      <c r="H49">
        <v>2.6312959311704609</v>
      </c>
      <c r="O49" t="s">
        <v>172</v>
      </c>
      <c r="P49" t="s">
        <v>289</v>
      </c>
      <c r="U49">
        <v>0</v>
      </c>
      <c r="V49">
        <v>0</v>
      </c>
      <c r="W49">
        <v>0</v>
      </c>
      <c r="X49">
        <v>0</v>
      </c>
      <c r="Y49">
        <v>1115.8</v>
      </c>
      <c r="Z49" t="s">
        <v>174</v>
      </c>
      <c r="AA49">
        <v>44085</v>
      </c>
      <c r="AB49" t="s">
        <v>290</v>
      </c>
      <c r="AC49" t="s">
        <v>176</v>
      </c>
      <c r="AD49" t="s">
        <v>177</v>
      </c>
      <c r="AE49" t="s">
        <v>178</v>
      </c>
    </row>
    <row r="50" spans="1:46" x14ac:dyDescent="0.3">
      <c r="A50" t="s">
        <v>168</v>
      </c>
      <c r="B50" t="s">
        <v>169</v>
      </c>
      <c r="C50" t="s">
        <v>291</v>
      </c>
      <c r="D50">
        <v>704</v>
      </c>
      <c r="E50" t="s">
        <v>73</v>
      </c>
      <c r="F50" s="18">
        <v>44369</v>
      </c>
      <c r="G50" t="s">
        <v>292</v>
      </c>
      <c r="H50">
        <v>0.80113636363636365</v>
      </c>
      <c r="O50" t="s">
        <v>172</v>
      </c>
      <c r="P50" t="s">
        <v>293</v>
      </c>
      <c r="U50">
        <v>0</v>
      </c>
      <c r="V50">
        <v>0</v>
      </c>
      <c r="W50">
        <v>0</v>
      </c>
      <c r="X50">
        <v>0</v>
      </c>
      <c r="Y50">
        <v>704</v>
      </c>
      <c r="Z50" t="s">
        <v>174</v>
      </c>
      <c r="AA50">
        <v>44085</v>
      </c>
      <c r="AB50" t="s">
        <v>294</v>
      </c>
      <c r="AC50" t="s">
        <v>176</v>
      </c>
      <c r="AD50" t="s">
        <v>177</v>
      </c>
      <c r="AE50" t="s">
        <v>178</v>
      </c>
    </row>
    <row r="51" spans="1:46" x14ac:dyDescent="0.3">
      <c r="A51" t="s">
        <v>168</v>
      </c>
      <c r="B51" t="s">
        <v>169</v>
      </c>
      <c r="C51" t="s">
        <v>295</v>
      </c>
      <c r="D51">
        <v>785.3</v>
      </c>
      <c r="E51" t="s">
        <v>73</v>
      </c>
      <c r="F51" s="18">
        <v>44369</v>
      </c>
      <c r="G51" t="s">
        <v>296</v>
      </c>
      <c r="H51">
        <v>2.422004329555584</v>
      </c>
      <c r="O51" t="s">
        <v>172</v>
      </c>
      <c r="P51" t="s">
        <v>297</v>
      </c>
      <c r="U51">
        <v>0</v>
      </c>
      <c r="V51">
        <v>0</v>
      </c>
      <c r="W51">
        <v>0</v>
      </c>
      <c r="X51">
        <v>0</v>
      </c>
      <c r="Y51">
        <v>785.3</v>
      </c>
      <c r="Z51" t="s">
        <v>174</v>
      </c>
      <c r="AA51">
        <v>44085</v>
      </c>
      <c r="AB51" t="s">
        <v>298</v>
      </c>
      <c r="AC51" t="s">
        <v>176</v>
      </c>
      <c r="AD51" t="s">
        <v>177</v>
      </c>
      <c r="AE51" t="s">
        <v>178</v>
      </c>
    </row>
    <row r="52" spans="1:46" x14ac:dyDescent="0.3">
      <c r="A52" t="s">
        <v>168</v>
      </c>
      <c r="B52" t="s">
        <v>169</v>
      </c>
      <c r="C52" t="s">
        <v>299</v>
      </c>
      <c r="D52">
        <v>1019.8</v>
      </c>
      <c r="E52" t="s">
        <v>73</v>
      </c>
      <c r="F52" s="18">
        <v>44407</v>
      </c>
      <c r="G52" t="s">
        <v>300</v>
      </c>
      <c r="H52">
        <v>2.5004902922141596</v>
      </c>
      <c r="O52" t="s">
        <v>172</v>
      </c>
      <c r="P52" t="s">
        <v>301</v>
      </c>
      <c r="U52">
        <v>0</v>
      </c>
      <c r="V52">
        <v>0</v>
      </c>
      <c r="W52">
        <v>0</v>
      </c>
      <c r="X52">
        <v>0</v>
      </c>
      <c r="Y52">
        <v>1019.8</v>
      </c>
      <c r="Z52" t="s">
        <v>174</v>
      </c>
      <c r="AA52">
        <v>44085</v>
      </c>
      <c r="AB52" t="s">
        <v>302</v>
      </c>
      <c r="AC52" t="s">
        <v>176</v>
      </c>
      <c r="AD52" t="s">
        <v>177</v>
      </c>
      <c r="AE52" t="s">
        <v>178</v>
      </c>
    </row>
    <row r="53" spans="1:46" x14ac:dyDescent="0.3">
      <c r="A53" t="s">
        <v>70</v>
      </c>
      <c r="B53" t="s">
        <v>303</v>
      </c>
      <c r="C53" t="s">
        <v>304</v>
      </c>
      <c r="D53">
        <v>5237.49</v>
      </c>
      <c r="E53" t="s">
        <v>73</v>
      </c>
      <c r="F53" s="18">
        <v>40599</v>
      </c>
      <c r="G53" t="s">
        <v>305</v>
      </c>
      <c r="H53">
        <v>3.7699355989223848</v>
      </c>
      <c r="U53">
        <v>0</v>
      </c>
      <c r="V53">
        <v>0</v>
      </c>
      <c r="W53">
        <v>0</v>
      </c>
      <c r="X53">
        <v>0</v>
      </c>
      <c r="AT53">
        <v>3404.3685</v>
      </c>
    </row>
    <row r="54" spans="1:46" x14ac:dyDescent="0.3">
      <c r="A54" t="s">
        <v>70</v>
      </c>
      <c r="B54" t="s">
        <v>71</v>
      </c>
      <c r="C54" t="s">
        <v>306</v>
      </c>
      <c r="D54">
        <v>6535.5</v>
      </c>
      <c r="E54" t="s">
        <v>73</v>
      </c>
      <c r="F54" s="18">
        <v>43592</v>
      </c>
      <c r="G54" t="s">
        <v>307</v>
      </c>
      <c r="H54">
        <v>1.033738811108561</v>
      </c>
      <c r="U54">
        <v>0</v>
      </c>
      <c r="V54">
        <v>0</v>
      </c>
      <c r="W54">
        <v>0</v>
      </c>
      <c r="X54">
        <v>0</v>
      </c>
      <c r="AT54">
        <v>4248.0749999999998</v>
      </c>
    </row>
    <row r="55" spans="1:46" x14ac:dyDescent="0.3">
      <c r="A55" t="s">
        <v>70</v>
      </c>
      <c r="B55" t="s">
        <v>71</v>
      </c>
      <c r="C55" t="s">
        <v>308</v>
      </c>
      <c r="D55">
        <v>7132</v>
      </c>
      <c r="E55" t="s">
        <v>73</v>
      </c>
      <c r="F55" s="18">
        <v>43980</v>
      </c>
      <c r="G55" t="s">
        <v>309</v>
      </c>
      <c r="H55">
        <v>4.37</v>
      </c>
      <c r="U55">
        <v>0</v>
      </c>
      <c r="V55">
        <v>0</v>
      </c>
      <c r="W55">
        <v>0</v>
      </c>
      <c r="X55">
        <v>0</v>
      </c>
      <c r="AT55">
        <v>4635.8</v>
      </c>
    </row>
    <row r="56" spans="1:46" x14ac:dyDescent="0.3">
      <c r="A56" t="s">
        <v>70</v>
      </c>
      <c r="B56" t="s">
        <v>71</v>
      </c>
      <c r="C56" t="s">
        <v>310</v>
      </c>
      <c r="D56">
        <v>19963</v>
      </c>
      <c r="E56" t="s">
        <v>73</v>
      </c>
      <c r="F56" s="18">
        <v>43164</v>
      </c>
      <c r="G56" t="s">
        <v>311</v>
      </c>
      <c r="H56">
        <v>0.55803235986575161</v>
      </c>
      <c r="U56">
        <v>0</v>
      </c>
      <c r="V56">
        <v>0</v>
      </c>
      <c r="W56">
        <v>0</v>
      </c>
      <c r="X56">
        <v>0</v>
      </c>
    </row>
    <row r="57" spans="1:46" x14ac:dyDescent="0.3">
      <c r="A57" t="s">
        <v>70</v>
      </c>
      <c r="B57" t="s">
        <v>71</v>
      </c>
      <c r="C57" t="s">
        <v>312</v>
      </c>
      <c r="D57">
        <v>20000</v>
      </c>
      <c r="E57" t="s">
        <v>73</v>
      </c>
      <c r="F57" s="18">
        <v>43005</v>
      </c>
      <c r="G57" t="s">
        <v>311</v>
      </c>
      <c r="H57">
        <v>0.65</v>
      </c>
      <c r="U57">
        <v>0</v>
      </c>
      <c r="V57">
        <v>0</v>
      </c>
      <c r="W57">
        <v>0</v>
      </c>
      <c r="X57">
        <v>0</v>
      </c>
    </row>
    <row r="58" spans="1:46" x14ac:dyDescent="0.3">
      <c r="A58" t="s">
        <v>70</v>
      </c>
      <c r="B58" t="s">
        <v>71</v>
      </c>
      <c r="C58" t="s">
        <v>313</v>
      </c>
      <c r="D58">
        <v>25000</v>
      </c>
      <c r="E58" t="s">
        <v>73</v>
      </c>
      <c r="F58" s="18">
        <v>42358</v>
      </c>
      <c r="G58" t="s">
        <v>314</v>
      </c>
      <c r="H58">
        <v>0.39944000000000002</v>
      </c>
      <c r="U58">
        <v>0</v>
      </c>
      <c r="V58">
        <v>0</v>
      </c>
      <c r="W58">
        <v>0</v>
      </c>
      <c r="X58">
        <v>0</v>
      </c>
    </row>
    <row r="59" spans="1:46" x14ac:dyDescent="0.3">
      <c r="A59" t="s">
        <v>70</v>
      </c>
      <c r="B59" t="s">
        <v>71</v>
      </c>
      <c r="C59" t="s">
        <v>315</v>
      </c>
      <c r="D59">
        <v>25000</v>
      </c>
      <c r="E59" t="s">
        <v>73</v>
      </c>
      <c r="F59" s="18">
        <v>43164</v>
      </c>
      <c r="G59" t="s">
        <v>311</v>
      </c>
      <c r="H59">
        <v>0.97755999999999998</v>
      </c>
      <c r="U59">
        <v>0</v>
      </c>
      <c r="V59">
        <v>0</v>
      </c>
      <c r="W59">
        <v>0</v>
      </c>
      <c r="X59">
        <v>0</v>
      </c>
    </row>
    <row r="60" spans="1:46" x14ac:dyDescent="0.3">
      <c r="A60" t="s">
        <v>70</v>
      </c>
      <c r="B60" t="s">
        <v>71</v>
      </c>
      <c r="C60" t="s">
        <v>316</v>
      </c>
      <c r="D60">
        <v>27280</v>
      </c>
      <c r="E60" t="s">
        <v>73</v>
      </c>
      <c r="F60" s="18">
        <v>43164</v>
      </c>
      <c r="G60" t="s">
        <v>311</v>
      </c>
      <c r="H60">
        <v>0.55700146627565983</v>
      </c>
      <c r="U60">
        <v>0</v>
      </c>
      <c r="V60">
        <v>0</v>
      </c>
      <c r="W60">
        <v>0</v>
      </c>
      <c r="X60">
        <v>0</v>
      </c>
    </row>
    <row r="61" spans="1:46" x14ac:dyDescent="0.3">
      <c r="A61" t="s">
        <v>70</v>
      </c>
      <c r="B61" t="s">
        <v>80</v>
      </c>
      <c r="C61" t="s">
        <v>317</v>
      </c>
      <c r="D61">
        <v>20936.939999999999</v>
      </c>
      <c r="E61" t="s">
        <v>73</v>
      </c>
      <c r="F61" s="18">
        <v>42744</v>
      </c>
      <c r="G61" t="s">
        <v>117</v>
      </c>
      <c r="H61">
        <v>1.0014933720609394</v>
      </c>
      <c r="U61">
        <v>0</v>
      </c>
      <c r="V61">
        <v>0</v>
      </c>
      <c r="W61">
        <v>0</v>
      </c>
      <c r="X61">
        <v>0</v>
      </c>
    </row>
    <row r="62" spans="1:46" x14ac:dyDescent="0.3">
      <c r="A62" t="s">
        <v>70</v>
      </c>
      <c r="B62" t="s">
        <v>80</v>
      </c>
      <c r="C62" t="s">
        <v>318</v>
      </c>
      <c r="D62">
        <v>43065.4</v>
      </c>
      <c r="E62" t="s">
        <v>73</v>
      </c>
      <c r="F62" s="18">
        <v>43395</v>
      </c>
      <c r="G62" t="s">
        <v>319</v>
      </c>
      <c r="H62">
        <v>0.81000060373292715</v>
      </c>
      <c r="U62">
        <v>0</v>
      </c>
      <c r="V62">
        <v>0</v>
      </c>
      <c r="W62">
        <v>0</v>
      </c>
      <c r="X62">
        <v>0</v>
      </c>
    </row>
    <row r="63" spans="1:46" x14ac:dyDescent="0.3">
      <c r="A63" t="s">
        <v>70</v>
      </c>
      <c r="B63" t="s">
        <v>71</v>
      </c>
      <c r="C63" t="s">
        <v>320</v>
      </c>
      <c r="D63">
        <v>29525</v>
      </c>
      <c r="E63" t="s">
        <v>73</v>
      </c>
      <c r="F63" s="18">
        <v>41271</v>
      </c>
      <c r="G63" t="s">
        <v>321</v>
      </c>
      <c r="H63">
        <v>0.54904318374259098</v>
      </c>
      <c r="U63">
        <v>0</v>
      </c>
      <c r="V63">
        <v>0</v>
      </c>
      <c r="W63">
        <v>0</v>
      </c>
      <c r="X63">
        <v>0</v>
      </c>
    </row>
    <row r="64" spans="1:46" x14ac:dyDescent="0.3">
      <c r="A64" t="s">
        <v>70</v>
      </c>
      <c r="B64" t="s">
        <v>71</v>
      </c>
      <c r="C64" t="s">
        <v>322</v>
      </c>
      <c r="D64">
        <v>34753</v>
      </c>
      <c r="E64" t="s">
        <v>73</v>
      </c>
      <c r="F64" s="18">
        <v>42279</v>
      </c>
      <c r="G64" t="s">
        <v>323</v>
      </c>
      <c r="H64">
        <v>0.60018835608845111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t="s">
        <v>70</v>
      </c>
      <c r="B65" t="s">
        <v>71</v>
      </c>
      <c r="C65" t="s">
        <v>324</v>
      </c>
      <c r="D65">
        <v>50000</v>
      </c>
      <c r="E65" t="s">
        <v>73</v>
      </c>
      <c r="F65" s="18">
        <v>39647</v>
      </c>
      <c r="G65" t="s">
        <v>325</v>
      </c>
      <c r="H65">
        <v>0.46710000000000002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t="s">
        <v>70</v>
      </c>
      <c r="B66" t="s">
        <v>71</v>
      </c>
      <c r="C66" t="s">
        <v>326</v>
      </c>
      <c r="D66">
        <v>161800</v>
      </c>
      <c r="E66" t="s">
        <v>73</v>
      </c>
      <c r="F66" s="18">
        <v>42358</v>
      </c>
      <c r="G66" t="s">
        <v>314</v>
      </c>
      <c r="H66">
        <v>0.39203955500618048</v>
      </c>
      <c r="U66">
        <v>0</v>
      </c>
      <c r="V66">
        <v>0</v>
      </c>
      <c r="W66">
        <v>0</v>
      </c>
      <c r="X66">
        <v>0</v>
      </c>
    </row>
    <row r="67" spans="1:24" x14ac:dyDescent="0.3">
      <c r="A67" t="s">
        <v>327</v>
      </c>
      <c r="B67" t="s">
        <v>80</v>
      </c>
      <c r="C67" t="s">
        <v>328</v>
      </c>
      <c r="D67">
        <v>45268.31</v>
      </c>
      <c r="E67" t="s">
        <v>73</v>
      </c>
      <c r="F67" s="18">
        <v>37027</v>
      </c>
      <c r="G67" t="s">
        <v>329</v>
      </c>
      <c r="H67">
        <v>0.69999984536643856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t="s">
        <v>327</v>
      </c>
      <c r="B68" t="s">
        <v>80</v>
      </c>
      <c r="C68" t="s">
        <v>330</v>
      </c>
      <c r="D68">
        <v>301215.86</v>
      </c>
      <c r="E68" t="s">
        <v>73</v>
      </c>
      <c r="F68" s="18">
        <v>35580</v>
      </c>
      <c r="G68" t="s">
        <v>125</v>
      </c>
      <c r="H68">
        <v>0.49798174637949011</v>
      </c>
      <c r="U68">
        <v>0</v>
      </c>
      <c r="V68">
        <v>0</v>
      </c>
      <c r="W68">
        <v>0</v>
      </c>
      <c r="X68">
        <v>0</v>
      </c>
    </row>
    <row r="69" spans="1:24" x14ac:dyDescent="0.3">
      <c r="A69" t="s">
        <v>331</v>
      </c>
      <c r="B69" t="s">
        <v>80</v>
      </c>
      <c r="C69" t="s">
        <v>332</v>
      </c>
      <c r="D69">
        <v>25035.8</v>
      </c>
      <c r="E69" t="s">
        <v>73</v>
      </c>
      <c r="F69" s="18">
        <v>40046</v>
      </c>
      <c r="G69" t="s">
        <v>333</v>
      </c>
      <c r="H69">
        <v>0.57728572739641781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t="s">
        <v>331</v>
      </c>
      <c r="B70" t="s">
        <v>80</v>
      </c>
      <c r="C70" t="s">
        <v>334</v>
      </c>
      <c r="D70">
        <v>5023</v>
      </c>
      <c r="E70" t="s">
        <v>73</v>
      </c>
      <c r="F70" s="18">
        <v>38456</v>
      </c>
      <c r="G70" t="s">
        <v>335</v>
      </c>
      <c r="H70">
        <v>0.54545454907425839</v>
      </c>
      <c r="U70">
        <v>0</v>
      </c>
      <c r="V70">
        <v>0</v>
      </c>
      <c r="W70">
        <v>0</v>
      </c>
      <c r="X70">
        <v>0</v>
      </c>
    </row>
    <row r="71" spans="1:24" x14ac:dyDescent="0.3">
      <c r="A71" t="s">
        <v>336</v>
      </c>
      <c r="B71" t="s">
        <v>71</v>
      </c>
      <c r="C71" t="s">
        <v>337</v>
      </c>
      <c r="D71">
        <v>17163</v>
      </c>
      <c r="E71" t="s">
        <v>73</v>
      </c>
      <c r="F71" s="18">
        <v>43171</v>
      </c>
      <c r="G71" t="s">
        <v>311</v>
      </c>
      <c r="H71">
        <v>0.72819437161335432</v>
      </c>
      <c r="U71">
        <v>0</v>
      </c>
      <c r="V71">
        <v>0</v>
      </c>
      <c r="W71">
        <v>0</v>
      </c>
      <c r="X71">
        <v>0</v>
      </c>
    </row>
    <row r="72" spans="1:24" x14ac:dyDescent="0.3">
      <c r="A72" t="s">
        <v>336</v>
      </c>
      <c r="B72" t="s">
        <v>71</v>
      </c>
      <c r="C72" t="s">
        <v>338</v>
      </c>
      <c r="D72">
        <v>22438</v>
      </c>
      <c r="E72" t="s">
        <v>73</v>
      </c>
      <c r="F72" s="18">
        <v>43171</v>
      </c>
      <c r="G72" t="s">
        <v>311</v>
      </c>
      <c r="H72">
        <v>0.42356716284873874</v>
      </c>
      <c r="U72">
        <v>0</v>
      </c>
      <c r="V72">
        <v>0</v>
      </c>
      <c r="W72">
        <v>0</v>
      </c>
      <c r="X72">
        <v>0</v>
      </c>
    </row>
    <row r="73" spans="1:24" x14ac:dyDescent="0.3">
      <c r="A73" t="s">
        <v>336</v>
      </c>
      <c r="B73" t="s">
        <v>80</v>
      </c>
      <c r="C73" t="s">
        <v>339</v>
      </c>
      <c r="D73">
        <v>4510</v>
      </c>
      <c r="E73" t="s">
        <v>73</v>
      </c>
      <c r="F73" s="18">
        <v>44133</v>
      </c>
      <c r="G73" t="s">
        <v>340</v>
      </c>
      <c r="H73">
        <v>4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t="s">
        <v>341</v>
      </c>
      <c r="B74" t="s">
        <v>80</v>
      </c>
      <c r="C74" t="s">
        <v>342</v>
      </c>
      <c r="D74">
        <v>15354.64</v>
      </c>
      <c r="E74" t="s">
        <v>73</v>
      </c>
      <c r="F74" s="18">
        <v>39308</v>
      </c>
      <c r="G74" t="s">
        <v>343</v>
      </c>
      <c r="H74">
        <v>4</v>
      </c>
      <c r="U74">
        <v>0</v>
      </c>
      <c r="V74">
        <v>0</v>
      </c>
      <c r="W74">
        <v>0</v>
      </c>
      <c r="X74">
        <v>0</v>
      </c>
    </row>
    <row r="75" spans="1:24" x14ac:dyDescent="0.3">
      <c r="A75" t="s">
        <v>341</v>
      </c>
      <c r="B75" t="s">
        <v>80</v>
      </c>
      <c r="C75" t="s">
        <v>344</v>
      </c>
      <c r="D75">
        <v>13847.23</v>
      </c>
      <c r="E75" t="s">
        <v>73</v>
      </c>
      <c r="F75" s="18">
        <v>40127</v>
      </c>
      <c r="G75" t="s">
        <v>345</v>
      </c>
      <c r="H75">
        <v>1.9499928866639755</v>
      </c>
      <c r="U75">
        <v>0</v>
      </c>
      <c r="V75">
        <v>0</v>
      </c>
      <c r="W75">
        <v>0</v>
      </c>
      <c r="X75">
        <v>0</v>
      </c>
    </row>
    <row r="76" spans="1:24" x14ac:dyDescent="0.3">
      <c r="A76" t="s">
        <v>341</v>
      </c>
      <c r="B76" t="s">
        <v>80</v>
      </c>
      <c r="C76" t="s">
        <v>346</v>
      </c>
      <c r="D76">
        <v>23997</v>
      </c>
      <c r="E76" t="s">
        <v>73</v>
      </c>
      <c r="F76" s="18">
        <v>38639</v>
      </c>
      <c r="G76" t="s">
        <v>347</v>
      </c>
      <c r="H76">
        <v>1.0657503021210986</v>
      </c>
      <c r="U76">
        <v>0</v>
      </c>
      <c r="V76">
        <v>0</v>
      </c>
      <c r="W76">
        <v>0</v>
      </c>
      <c r="X76">
        <v>0</v>
      </c>
    </row>
    <row r="77" spans="1:24" x14ac:dyDescent="0.3">
      <c r="A77" t="s">
        <v>341</v>
      </c>
      <c r="B77" t="s">
        <v>80</v>
      </c>
      <c r="C77" t="s">
        <v>348</v>
      </c>
      <c r="D77">
        <v>68550.820000000007</v>
      </c>
      <c r="E77" t="s">
        <v>73</v>
      </c>
      <c r="F77" s="18">
        <v>40088</v>
      </c>
      <c r="G77" t="s">
        <v>349</v>
      </c>
      <c r="H77">
        <v>1.0211402285195128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t="s">
        <v>341</v>
      </c>
      <c r="B78" t="s">
        <v>80</v>
      </c>
      <c r="C78" t="s">
        <v>350</v>
      </c>
      <c r="D78">
        <v>28473.97</v>
      </c>
      <c r="E78" t="s">
        <v>73</v>
      </c>
      <c r="F78" s="18">
        <v>39014</v>
      </c>
      <c r="G78" t="s">
        <v>351</v>
      </c>
      <c r="H78">
        <v>0.96361483839450546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t="s">
        <v>341</v>
      </c>
      <c r="B79" t="s">
        <v>80</v>
      </c>
      <c r="C79" t="s">
        <v>352</v>
      </c>
      <c r="D79">
        <v>24412.42</v>
      </c>
      <c r="E79" t="s">
        <v>73</v>
      </c>
      <c r="F79" s="18">
        <v>39014</v>
      </c>
      <c r="G79" t="s">
        <v>351</v>
      </c>
      <c r="H79">
        <v>0.96361483212233767</v>
      </c>
      <c r="U79">
        <v>0</v>
      </c>
      <c r="V79">
        <v>0</v>
      </c>
      <c r="W79">
        <v>0</v>
      </c>
      <c r="X79">
        <v>0</v>
      </c>
    </row>
    <row r="80" spans="1:24" x14ac:dyDescent="0.3">
      <c r="A80" t="s">
        <v>341</v>
      </c>
      <c r="B80" t="s">
        <v>80</v>
      </c>
      <c r="C80" t="s">
        <v>353</v>
      </c>
      <c r="D80">
        <v>9001.1299999999992</v>
      </c>
      <c r="E80" t="s">
        <v>73</v>
      </c>
      <c r="F80" s="18">
        <v>38030</v>
      </c>
      <c r="G80" t="s">
        <v>329</v>
      </c>
      <c r="H80">
        <v>0.84000008887772981</v>
      </c>
      <c r="U80">
        <v>0</v>
      </c>
      <c r="V80">
        <v>0</v>
      </c>
      <c r="W80">
        <v>0</v>
      </c>
      <c r="X80">
        <v>0</v>
      </c>
    </row>
    <row r="81" spans="1:24" x14ac:dyDescent="0.3">
      <c r="A81" t="s">
        <v>341</v>
      </c>
      <c r="B81" t="s">
        <v>80</v>
      </c>
      <c r="C81" t="s">
        <v>354</v>
      </c>
      <c r="D81">
        <v>74156.44</v>
      </c>
      <c r="E81" t="s">
        <v>73</v>
      </c>
      <c r="F81" s="18">
        <v>38516</v>
      </c>
      <c r="G81" t="s">
        <v>329</v>
      </c>
      <c r="H81">
        <v>0.84000000539400221</v>
      </c>
      <c r="U81">
        <v>0</v>
      </c>
      <c r="V81">
        <v>0</v>
      </c>
      <c r="W81">
        <v>0</v>
      </c>
      <c r="X81">
        <v>0</v>
      </c>
    </row>
    <row r="82" spans="1:24" x14ac:dyDescent="0.3">
      <c r="A82" t="s">
        <v>341</v>
      </c>
      <c r="B82" t="s">
        <v>80</v>
      </c>
      <c r="C82" t="s">
        <v>355</v>
      </c>
      <c r="D82">
        <v>68233.62</v>
      </c>
      <c r="E82" t="s">
        <v>73</v>
      </c>
      <c r="F82" s="18">
        <v>38865</v>
      </c>
      <c r="G82" t="s">
        <v>329</v>
      </c>
      <c r="H82">
        <v>0.83999998827557443</v>
      </c>
      <c r="U82">
        <v>0</v>
      </c>
      <c r="V82">
        <v>0</v>
      </c>
      <c r="W82">
        <v>0</v>
      </c>
      <c r="X82">
        <v>0</v>
      </c>
    </row>
    <row r="83" spans="1:24" x14ac:dyDescent="0.3">
      <c r="A83" t="s">
        <v>341</v>
      </c>
      <c r="B83" t="s">
        <v>80</v>
      </c>
      <c r="C83" t="s">
        <v>356</v>
      </c>
      <c r="D83">
        <v>7437.05</v>
      </c>
      <c r="E83" t="s">
        <v>73</v>
      </c>
      <c r="F83" s="18">
        <v>38030</v>
      </c>
      <c r="G83" t="s">
        <v>329</v>
      </c>
      <c r="H83">
        <v>0.83999973107616588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t="s">
        <v>341</v>
      </c>
      <c r="B84" t="s">
        <v>80</v>
      </c>
      <c r="C84" t="s">
        <v>357</v>
      </c>
      <c r="D84">
        <v>83534.820000000007</v>
      </c>
      <c r="E84" t="s">
        <v>73</v>
      </c>
      <c r="F84" s="18">
        <v>38441</v>
      </c>
      <c r="G84" t="s">
        <v>358</v>
      </c>
      <c r="H84">
        <v>0.83000118992295657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t="s">
        <v>341</v>
      </c>
      <c r="B85" t="s">
        <v>80</v>
      </c>
      <c r="C85" t="s">
        <v>359</v>
      </c>
      <c r="D85">
        <v>40676.75</v>
      </c>
      <c r="E85" t="s">
        <v>73</v>
      </c>
      <c r="F85" s="18">
        <v>39967</v>
      </c>
      <c r="G85" t="s">
        <v>360</v>
      </c>
      <c r="H85">
        <v>0.79996558230438763</v>
      </c>
      <c r="U85">
        <v>0</v>
      </c>
      <c r="V85">
        <v>0</v>
      </c>
      <c r="W85">
        <v>0</v>
      </c>
      <c r="X85">
        <v>0</v>
      </c>
    </row>
    <row r="86" spans="1:24" x14ac:dyDescent="0.3">
      <c r="A86" t="s">
        <v>341</v>
      </c>
      <c r="B86" t="s">
        <v>80</v>
      </c>
      <c r="C86" t="s">
        <v>361</v>
      </c>
      <c r="D86">
        <v>150012.97</v>
      </c>
      <c r="E86" t="s">
        <v>73</v>
      </c>
      <c r="F86" s="18">
        <v>38569</v>
      </c>
      <c r="G86" t="s">
        <v>362</v>
      </c>
      <c r="H86">
        <v>0.68764308979416922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t="s">
        <v>341</v>
      </c>
      <c r="B87" t="s">
        <v>80</v>
      </c>
      <c r="C87" t="s">
        <v>363</v>
      </c>
      <c r="D87">
        <v>93831.29</v>
      </c>
      <c r="E87" t="s">
        <v>73</v>
      </c>
      <c r="F87" s="18">
        <v>38569</v>
      </c>
      <c r="G87" t="s">
        <v>362</v>
      </c>
      <c r="H87">
        <v>0.67519753165495222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t="s">
        <v>341</v>
      </c>
      <c r="B88" t="s">
        <v>80</v>
      </c>
      <c r="C88" t="s">
        <v>364</v>
      </c>
      <c r="D88">
        <v>49838.27</v>
      </c>
      <c r="E88" t="s">
        <v>73</v>
      </c>
      <c r="F88" s="18">
        <v>38569</v>
      </c>
      <c r="G88" t="s">
        <v>362</v>
      </c>
      <c r="H88">
        <v>0.66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t="s">
        <v>341</v>
      </c>
      <c r="B89" t="s">
        <v>80</v>
      </c>
      <c r="C89" t="s">
        <v>365</v>
      </c>
      <c r="D89">
        <v>178792.29</v>
      </c>
      <c r="E89" t="s">
        <v>73</v>
      </c>
      <c r="F89" s="18">
        <v>37676</v>
      </c>
      <c r="G89" t="s">
        <v>366</v>
      </c>
      <c r="H89">
        <v>0.63205807140788894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t="s">
        <v>341</v>
      </c>
      <c r="B90" t="s">
        <v>80</v>
      </c>
      <c r="C90" t="s">
        <v>367</v>
      </c>
      <c r="D90">
        <v>147975.26</v>
      </c>
      <c r="E90" t="s">
        <v>73</v>
      </c>
      <c r="F90" s="18">
        <v>37676</v>
      </c>
      <c r="G90" t="s">
        <v>366</v>
      </c>
      <c r="H90">
        <v>0.56800001567829639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t="s">
        <v>341</v>
      </c>
      <c r="B91" t="s">
        <v>80</v>
      </c>
      <c r="C91" t="s">
        <v>368</v>
      </c>
      <c r="D91">
        <v>765.69</v>
      </c>
      <c r="E91" t="s">
        <v>73</v>
      </c>
      <c r="F91" s="18">
        <v>38764</v>
      </c>
      <c r="G91" t="s">
        <v>369</v>
      </c>
      <c r="H91">
        <v>0.50000653005785634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t="s">
        <v>341</v>
      </c>
      <c r="B92" t="s">
        <v>80</v>
      </c>
      <c r="C92" t="s">
        <v>370</v>
      </c>
      <c r="D92">
        <v>78848.41</v>
      </c>
      <c r="E92" t="s">
        <v>73</v>
      </c>
      <c r="F92" s="18">
        <v>40046</v>
      </c>
      <c r="G92" t="s">
        <v>333</v>
      </c>
      <c r="H92">
        <v>0.4358445528578192</v>
      </c>
      <c r="U92">
        <v>0</v>
      </c>
      <c r="V92">
        <v>0</v>
      </c>
      <c r="W92">
        <v>0</v>
      </c>
      <c r="X92">
        <v>0</v>
      </c>
    </row>
    <row r="93" spans="1:24" x14ac:dyDescent="0.3">
      <c r="A93" t="s">
        <v>341</v>
      </c>
      <c r="B93" t="s">
        <v>80</v>
      </c>
      <c r="C93" t="s">
        <v>371</v>
      </c>
      <c r="D93">
        <v>188845.8</v>
      </c>
      <c r="E93" t="s">
        <v>73</v>
      </c>
      <c r="F93" s="18">
        <v>37237</v>
      </c>
      <c r="G93" t="s">
        <v>366</v>
      </c>
      <c r="H93">
        <v>0.4125336650325292</v>
      </c>
      <c r="U93">
        <v>0</v>
      </c>
      <c r="V93">
        <v>0</v>
      </c>
      <c r="W93">
        <v>0</v>
      </c>
      <c r="X93">
        <v>0</v>
      </c>
    </row>
    <row r="94" spans="1:24" x14ac:dyDescent="0.3">
      <c r="A94" t="s">
        <v>341</v>
      </c>
      <c r="B94" t="s">
        <v>80</v>
      </c>
      <c r="C94" t="s">
        <v>372</v>
      </c>
      <c r="D94">
        <v>300143.53999999998</v>
      </c>
      <c r="E94" t="s">
        <v>73</v>
      </c>
      <c r="F94" s="18">
        <v>37181</v>
      </c>
      <c r="G94" t="s">
        <v>373</v>
      </c>
      <c r="H94">
        <v>0.40000001332695684</v>
      </c>
      <c r="U94">
        <v>0</v>
      </c>
      <c r="V94">
        <v>0</v>
      </c>
      <c r="W94">
        <v>0</v>
      </c>
      <c r="X94">
        <v>0</v>
      </c>
    </row>
    <row r="95" spans="1:24" x14ac:dyDescent="0.3">
      <c r="A95" t="s">
        <v>341</v>
      </c>
      <c r="B95" t="s">
        <v>80</v>
      </c>
      <c r="C95" t="s">
        <v>374</v>
      </c>
      <c r="D95">
        <v>145938.49</v>
      </c>
      <c r="E95" t="s">
        <v>73</v>
      </c>
      <c r="F95" s="18">
        <v>40046</v>
      </c>
      <c r="G95" t="s">
        <v>333</v>
      </c>
      <c r="H95">
        <v>0.38904404177403784</v>
      </c>
      <c r="U95">
        <v>0</v>
      </c>
      <c r="V95">
        <v>0</v>
      </c>
      <c r="W95">
        <v>0</v>
      </c>
      <c r="X95">
        <v>0</v>
      </c>
    </row>
    <row r="96" spans="1:24" x14ac:dyDescent="0.3">
      <c r="A96" t="s">
        <v>341</v>
      </c>
      <c r="B96" t="s">
        <v>80</v>
      </c>
      <c r="C96" t="s">
        <v>375</v>
      </c>
      <c r="D96">
        <v>149583.35999999999</v>
      </c>
      <c r="E96" t="s">
        <v>73</v>
      </c>
      <c r="F96" s="18">
        <v>40046</v>
      </c>
      <c r="G96" t="s">
        <v>333</v>
      </c>
      <c r="H96">
        <v>0.3669856727379302</v>
      </c>
      <c r="U96">
        <v>0</v>
      </c>
      <c r="V96">
        <v>0</v>
      </c>
      <c r="W96">
        <v>0</v>
      </c>
      <c r="X96">
        <v>0</v>
      </c>
    </row>
    <row r="97" spans="1:46" x14ac:dyDescent="0.3">
      <c r="A97" t="s">
        <v>341</v>
      </c>
      <c r="B97" t="s">
        <v>71</v>
      </c>
      <c r="C97" t="s">
        <v>376</v>
      </c>
      <c r="D97">
        <v>192111.5</v>
      </c>
      <c r="E97" t="s">
        <v>73</v>
      </c>
      <c r="F97" s="18">
        <v>39276</v>
      </c>
      <c r="G97" t="s">
        <v>377</v>
      </c>
      <c r="H97">
        <v>0.33044081171611278</v>
      </c>
      <c r="U97">
        <v>0</v>
      </c>
      <c r="V97">
        <v>0</v>
      </c>
      <c r="W97">
        <v>0</v>
      </c>
      <c r="X97">
        <v>0</v>
      </c>
    </row>
    <row r="98" spans="1:46" x14ac:dyDescent="0.3">
      <c r="A98" t="s">
        <v>378</v>
      </c>
      <c r="B98" t="s">
        <v>169</v>
      </c>
      <c r="C98" t="s">
        <v>379</v>
      </c>
      <c r="D98">
        <v>240244.51</v>
      </c>
      <c r="E98" t="s">
        <v>73</v>
      </c>
      <c r="F98" s="18">
        <v>39422</v>
      </c>
      <c r="G98" t="s">
        <v>377</v>
      </c>
      <c r="H98">
        <v>0.24294011963062132</v>
      </c>
      <c r="U98">
        <v>0</v>
      </c>
      <c r="V98">
        <v>0</v>
      </c>
      <c r="W98">
        <v>0</v>
      </c>
      <c r="X98">
        <v>0</v>
      </c>
    </row>
    <row r="99" spans="1:46" x14ac:dyDescent="0.3">
      <c r="A99" t="s">
        <v>168</v>
      </c>
      <c r="B99" t="s">
        <v>380</v>
      </c>
      <c r="C99" t="s">
        <v>381</v>
      </c>
      <c r="D99">
        <v>10180</v>
      </c>
      <c r="E99" t="s">
        <v>73</v>
      </c>
      <c r="F99" s="18">
        <v>42990</v>
      </c>
      <c r="G99" t="s">
        <v>117</v>
      </c>
      <c r="H99">
        <v>0.32416502946954812</v>
      </c>
      <c r="U99">
        <v>0</v>
      </c>
      <c r="V99">
        <v>0</v>
      </c>
      <c r="W99">
        <v>0</v>
      </c>
      <c r="X99">
        <v>0</v>
      </c>
    </row>
    <row r="100" spans="1:46" x14ac:dyDescent="0.3">
      <c r="A100" t="s">
        <v>168</v>
      </c>
      <c r="B100" t="s">
        <v>80</v>
      </c>
      <c r="C100" t="s">
        <v>317</v>
      </c>
      <c r="D100">
        <v>4950.22</v>
      </c>
      <c r="E100" t="s">
        <v>73</v>
      </c>
      <c r="F100" s="18">
        <v>42787</v>
      </c>
      <c r="G100" t="s">
        <v>117</v>
      </c>
      <c r="H100">
        <v>1.0723732383001319</v>
      </c>
      <c r="U100">
        <v>0</v>
      </c>
      <c r="V100">
        <v>0</v>
      </c>
      <c r="W100">
        <v>0</v>
      </c>
      <c r="X100">
        <v>0</v>
      </c>
    </row>
    <row r="101" spans="1:46" x14ac:dyDescent="0.3">
      <c r="A101" t="s">
        <v>382</v>
      </c>
      <c r="B101" t="s">
        <v>383</v>
      </c>
      <c r="C101" t="s">
        <v>384</v>
      </c>
      <c r="D101">
        <v>50000</v>
      </c>
      <c r="E101" t="s">
        <v>73</v>
      </c>
      <c r="F101" s="18">
        <v>41556</v>
      </c>
      <c r="G101" t="s">
        <v>385</v>
      </c>
      <c r="H101">
        <v>2.3394528000000001</v>
      </c>
      <c r="U101">
        <v>0</v>
      </c>
      <c r="V101">
        <v>0</v>
      </c>
      <c r="W101">
        <v>0</v>
      </c>
      <c r="X101">
        <v>0</v>
      </c>
    </row>
    <row r="102" spans="1:46" x14ac:dyDescent="0.3">
      <c r="A102" t="s">
        <v>382</v>
      </c>
      <c r="B102" t="s">
        <v>386</v>
      </c>
      <c r="C102" t="s">
        <v>387</v>
      </c>
      <c r="D102">
        <v>10000</v>
      </c>
      <c r="E102" t="s">
        <v>73</v>
      </c>
      <c r="F102" s="18">
        <v>42493</v>
      </c>
      <c r="G102" t="s">
        <v>388</v>
      </c>
      <c r="H102">
        <v>0.5</v>
      </c>
      <c r="U102">
        <v>0</v>
      </c>
      <c r="V102">
        <v>0</v>
      </c>
      <c r="W102">
        <v>0</v>
      </c>
      <c r="X102">
        <v>0</v>
      </c>
    </row>
    <row r="103" spans="1:46" x14ac:dyDescent="0.3">
      <c r="A103" t="s">
        <v>382</v>
      </c>
      <c r="B103" t="s">
        <v>80</v>
      </c>
      <c r="C103" t="s">
        <v>389</v>
      </c>
      <c r="D103">
        <v>6070.11</v>
      </c>
      <c r="E103" t="s">
        <v>73</v>
      </c>
      <c r="F103" s="18">
        <v>43356</v>
      </c>
      <c r="G103" t="s">
        <v>390</v>
      </c>
      <c r="H103">
        <v>2.4838100133276004</v>
      </c>
      <c r="U103">
        <v>0</v>
      </c>
      <c r="V103">
        <v>0</v>
      </c>
      <c r="W103">
        <v>0</v>
      </c>
      <c r="X103">
        <v>0</v>
      </c>
    </row>
    <row r="104" spans="1:46" x14ac:dyDescent="0.3">
      <c r="A104" t="s">
        <v>382</v>
      </c>
      <c r="B104" t="s">
        <v>80</v>
      </c>
      <c r="C104" t="s">
        <v>391</v>
      </c>
      <c r="D104">
        <v>12579.79</v>
      </c>
      <c r="E104" t="s">
        <v>73</v>
      </c>
      <c r="F104" s="18">
        <v>40833</v>
      </c>
      <c r="G104" t="s">
        <v>392</v>
      </c>
      <c r="H104">
        <v>2.191451526615309</v>
      </c>
      <c r="U104">
        <v>0</v>
      </c>
      <c r="V104">
        <v>0</v>
      </c>
      <c r="W104">
        <v>0</v>
      </c>
      <c r="X104">
        <v>0</v>
      </c>
    </row>
    <row r="105" spans="1:46" x14ac:dyDescent="0.3">
      <c r="A105" t="s">
        <v>382</v>
      </c>
      <c r="B105" t="s">
        <v>80</v>
      </c>
      <c r="C105" t="s">
        <v>393</v>
      </c>
      <c r="D105">
        <v>21745.66</v>
      </c>
      <c r="E105" t="s">
        <v>73</v>
      </c>
      <c r="F105" s="18">
        <v>43356</v>
      </c>
      <c r="G105" t="s">
        <v>390</v>
      </c>
      <c r="H105">
        <v>1.3012416270648948</v>
      </c>
      <c r="U105">
        <v>0</v>
      </c>
      <c r="V105">
        <v>0</v>
      </c>
      <c r="W105">
        <v>0</v>
      </c>
      <c r="X105">
        <v>0</v>
      </c>
    </row>
    <row r="106" spans="1:46" x14ac:dyDescent="0.3">
      <c r="A106" t="s">
        <v>382</v>
      </c>
      <c r="B106" t="s">
        <v>80</v>
      </c>
      <c r="C106" t="s">
        <v>317</v>
      </c>
      <c r="D106">
        <v>19458.71</v>
      </c>
      <c r="E106" t="s">
        <v>73</v>
      </c>
      <c r="F106" s="18">
        <v>42699</v>
      </c>
      <c r="G106" t="s">
        <v>117</v>
      </c>
      <c r="H106">
        <v>1.0662099388911188</v>
      </c>
      <c r="U106">
        <v>0</v>
      </c>
      <c r="V106">
        <v>0</v>
      </c>
      <c r="W106">
        <v>0</v>
      </c>
      <c r="X106">
        <v>0</v>
      </c>
    </row>
    <row r="107" spans="1:46" x14ac:dyDescent="0.3">
      <c r="A107" t="s">
        <v>382</v>
      </c>
      <c r="B107" t="s">
        <v>80</v>
      </c>
      <c r="C107" t="s">
        <v>394</v>
      </c>
      <c r="D107">
        <v>30013.91</v>
      </c>
      <c r="E107" t="s">
        <v>73</v>
      </c>
      <c r="F107" s="18">
        <v>40626</v>
      </c>
      <c r="G107" t="s">
        <v>395</v>
      </c>
      <c r="H107">
        <v>0.93330059295839829</v>
      </c>
      <c r="U107">
        <v>0</v>
      </c>
      <c r="V107">
        <v>0</v>
      </c>
      <c r="W107">
        <v>0</v>
      </c>
      <c r="X107">
        <v>0</v>
      </c>
    </row>
    <row r="108" spans="1:46" x14ac:dyDescent="0.3">
      <c r="A108" t="s">
        <v>382</v>
      </c>
      <c r="B108" t="s">
        <v>80</v>
      </c>
      <c r="C108" t="s">
        <v>317</v>
      </c>
      <c r="D108">
        <v>13208.92</v>
      </c>
      <c r="E108" t="s">
        <v>73</v>
      </c>
      <c r="F108" s="18">
        <v>42584</v>
      </c>
      <c r="G108" t="s">
        <v>117</v>
      </c>
      <c r="H108">
        <v>0.90820157837261706</v>
      </c>
      <c r="U108">
        <v>0</v>
      </c>
      <c r="V108">
        <v>0</v>
      </c>
      <c r="W108">
        <v>0</v>
      </c>
      <c r="X108">
        <v>0</v>
      </c>
    </row>
    <row r="109" spans="1:46" x14ac:dyDescent="0.3">
      <c r="A109" t="s">
        <v>396</v>
      </c>
      <c r="B109" t="s">
        <v>80</v>
      </c>
      <c r="C109" t="s">
        <v>397</v>
      </c>
      <c r="D109">
        <v>25440</v>
      </c>
      <c r="E109" t="s">
        <v>73</v>
      </c>
      <c r="F109" s="18">
        <v>44144</v>
      </c>
      <c r="G109" t="s">
        <v>82</v>
      </c>
      <c r="H109">
        <v>2.57</v>
      </c>
      <c r="U109">
        <v>0</v>
      </c>
      <c r="V109">
        <v>0</v>
      </c>
      <c r="W109">
        <v>0</v>
      </c>
      <c r="X109">
        <v>0</v>
      </c>
      <c r="Y109">
        <v>25440</v>
      </c>
      <c r="Z109" t="s">
        <v>398</v>
      </c>
      <c r="AA109">
        <v>43427</v>
      </c>
      <c r="AB109" t="s">
        <v>399</v>
      </c>
    </row>
    <row r="110" spans="1:46" x14ac:dyDescent="0.3">
      <c r="A110" t="s">
        <v>79</v>
      </c>
      <c r="B110" t="s">
        <v>71</v>
      </c>
      <c r="C110" t="s">
        <v>381</v>
      </c>
      <c r="D110">
        <v>9728.58</v>
      </c>
      <c r="E110" t="s">
        <v>73</v>
      </c>
      <c r="F110" s="18">
        <v>41635</v>
      </c>
      <c r="G110" t="s">
        <v>400</v>
      </c>
      <c r="H110">
        <v>1.6698223173371654</v>
      </c>
      <c r="U110">
        <v>0</v>
      </c>
      <c r="V110">
        <v>0</v>
      </c>
      <c r="W110">
        <v>0</v>
      </c>
      <c r="X110">
        <v>0</v>
      </c>
      <c r="AT110">
        <v>6323.5770000000002</v>
      </c>
    </row>
    <row r="111" spans="1:46" x14ac:dyDescent="0.3">
      <c r="A111" t="s">
        <v>79</v>
      </c>
      <c r="B111" t="s">
        <v>401</v>
      </c>
      <c r="C111" t="s">
        <v>402</v>
      </c>
      <c r="D111">
        <v>17790.89</v>
      </c>
      <c r="E111" t="s">
        <v>73</v>
      </c>
      <c r="F111" s="18">
        <v>41038</v>
      </c>
      <c r="G111" t="s">
        <v>403</v>
      </c>
      <c r="H111">
        <v>6.0143140674806039</v>
      </c>
      <c r="U111">
        <v>0</v>
      </c>
      <c r="V111">
        <v>0</v>
      </c>
      <c r="W111">
        <v>0</v>
      </c>
      <c r="X111">
        <v>0</v>
      </c>
    </row>
    <row r="112" spans="1:46" x14ac:dyDescent="0.3">
      <c r="A112" t="s">
        <v>79</v>
      </c>
      <c r="B112" t="s">
        <v>404</v>
      </c>
      <c r="C112" t="s">
        <v>405</v>
      </c>
      <c r="D112">
        <v>22766.58</v>
      </c>
      <c r="E112" t="s">
        <v>73</v>
      </c>
      <c r="F112" s="18">
        <v>41177</v>
      </c>
      <c r="G112" t="s">
        <v>406</v>
      </c>
      <c r="H112">
        <v>1.2085961088578081</v>
      </c>
      <c r="U112">
        <v>0</v>
      </c>
      <c r="V112">
        <v>0</v>
      </c>
      <c r="W112">
        <v>0</v>
      </c>
      <c r="X112">
        <v>0</v>
      </c>
    </row>
    <row r="113" spans="1:28" x14ac:dyDescent="0.3">
      <c r="A113" t="s">
        <v>79</v>
      </c>
      <c r="B113" t="s">
        <v>386</v>
      </c>
      <c r="C113" t="s">
        <v>407</v>
      </c>
      <c r="D113">
        <v>964551</v>
      </c>
      <c r="E113" t="s">
        <v>73</v>
      </c>
      <c r="F113" s="18">
        <v>41460</v>
      </c>
      <c r="G113" t="s">
        <v>408</v>
      </c>
      <c r="H113">
        <v>0.12202568863647438</v>
      </c>
      <c r="U113">
        <v>0</v>
      </c>
      <c r="V113">
        <v>0</v>
      </c>
      <c r="W113">
        <v>0</v>
      </c>
      <c r="X113">
        <v>0</v>
      </c>
    </row>
    <row r="114" spans="1:28" x14ac:dyDescent="0.3">
      <c r="A114" t="s">
        <v>79</v>
      </c>
      <c r="B114" t="s">
        <v>386</v>
      </c>
      <c r="C114" t="s">
        <v>409</v>
      </c>
      <c r="D114">
        <v>20000</v>
      </c>
      <c r="E114" t="s">
        <v>73</v>
      </c>
      <c r="F114" s="18">
        <v>42493</v>
      </c>
      <c r="G114" t="s">
        <v>410</v>
      </c>
      <c r="H114">
        <v>1.0035000000000001</v>
      </c>
      <c r="U114">
        <v>0</v>
      </c>
      <c r="V114">
        <v>0</v>
      </c>
      <c r="W114">
        <v>0</v>
      </c>
      <c r="X114">
        <v>0</v>
      </c>
    </row>
    <row r="115" spans="1:28" x14ac:dyDescent="0.3">
      <c r="A115" t="s">
        <v>79</v>
      </c>
      <c r="B115" t="s">
        <v>80</v>
      </c>
      <c r="C115" t="s">
        <v>411</v>
      </c>
      <c r="D115">
        <v>10000.280000000001</v>
      </c>
      <c r="E115" t="s">
        <v>73</v>
      </c>
      <c r="F115" s="18">
        <v>41814</v>
      </c>
      <c r="G115" t="s">
        <v>412</v>
      </c>
      <c r="H115">
        <v>1.1999664009407736</v>
      </c>
      <c r="U115">
        <v>0</v>
      </c>
      <c r="V115">
        <v>0</v>
      </c>
      <c r="W115">
        <v>0</v>
      </c>
      <c r="X115">
        <v>0</v>
      </c>
    </row>
    <row r="116" spans="1:28" x14ac:dyDescent="0.3">
      <c r="A116" t="s">
        <v>79</v>
      </c>
      <c r="B116" t="s">
        <v>80</v>
      </c>
      <c r="C116" t="s">
        <v>413</v>
      </c>
      <c r="D116">
        <v>10583.06</v>
      </c>
      <c r="E116" t="s">
        <v>73</v>
      </c>
      <c r="F116" s="18">
        <v>41927</v>
      </c>
      <c r="G116" t="s">
        <v>414</v>
      </c>
      <c r="H116">
        <v>1.1338875523714314</v>
      </c>
      <c r="U116">
        <v>0</v>
      </c>
      <c r="V116">
        <v>0</v>
      </c>
      <c r="W116">
        <v>0</v>
      </c>
      <c r="X116">
        <v>0</v>
      </c>
    </row>
    <row r="117" spans="1:28" x14ac:dyDescent="0.3">
      <c r="A117" t="s">
        <v>79</v>
      </c>
      <c r="B117" t="s">
        <v>80</v>
      </c>
      <c r="C117" t="s">
        <v>415</v>
      </c>
      <c r="D117">
        <v>10000.280000000001</v>
      </c>
      <c r="E117" t="s">
        <v>73</v>
      </c>
      <c r="F117" s="18">
        <v>41880</v>
      </c>
      <c r="G117" t="s">
        <v>416</v>
      </c>
      <c r="H117">
        <v>1.1111688872711563</v>
      </c>
      <c r="U117">
        <v>0</v>
      </c>
      <c r="V117">
        <v>0</v>
      </c>
      <c r="W117">
        <v>0</v>
      </c>
      <c r="X117">
        <v>0</v>
      </c>
    </row>
    <row r="118" spans="1:28" x14ac:dyDescent="0.3">
      <c r="A118" t="s">
        <v>79</v>
      </c>
      <c r="B118" t="s">
        <v>80</v>
      </c>
      <c r="C118" t="s">
        <v>417</v>
      </c>
      <c r="D118">
        <v>175857.18</v>
      </c>
      <c r="E118" t="s">
        <v>73</v>
      </c>
      <c r="F118" s="18">
        <v>39548</v>
      </c>
      <c r="G118" t="s">
        <v>418</v>
      </c>
      <c r="H118">
        <v>1.0764706905910808</v>
      </c>
      <c r="U118">
        <v>0</v>
      </c>
      <c r="V118">
        <v>0</v>
      </c>
      <c r="W118">
        <v>0</v>
      </c>
      <c r="X118">
        <v>0</v>
      </c>
    </row>
    <row r="119" spans="1:28" x14ac:dyDescent="0.3">
      <c r="A119" t="s">
        <v>79</v>
      </c>
      <c r="B119" t="s">
        <v>80</v>
      </c>
      <c r="C119" t="s">
        <v>419</v>
      </c>
      <c r="D119">
        <v>47309.8</v>
      </c>
      <c r="E119" t="s">
        <v>73</v>
      </c>
      <c r="F119" s="18">
        <v>39548</v>
      </c>
      <c r="G119" t="s">
        <v>418</v>
      </c>
      <c r="H119">
        <v>1.0764706255363581</v>
      </c>
      <c r="U119">
        <v>0</v>
      </c>
      <c r="V119">
        <v>0</v>
      </c>
      <c r="W119">
        <v>0</v>
      </c>
      <c r="X119">
        <v>0</v>
      </c>
    </row>
    <row r="120" spans="1:28" x14ac:dyDescent="0.3">
      <c r="A120" t="s">
        <v>79</v>
      </c>
      <c r="B120" t="s">
        <v>80</v>
      </c>
      <c r="C120" t="s">
        <v>420</v>
      </c>
      <c r="D120">
        <v>40081.21</v>
      </c>
      <c r="E120" t="s">
        <v>73</v>
      </c>
      <c r="F120" s="18">
        <v>39997</v>
      </c>
      <c r="G120" t="s">
        <v>421</v>
      </c>
      <c r="H120">
        <v>1.0053376632092694</v>
      </c>
      <c r="U120">
        <v>0</v>
      </c>
      <c r="V120">
        <v>0</v>
      </c>
      <c r="W120">
        <v>0</v>
      </c>
      <c r="X120">
        <v>0</v>
      </c>
    </row>
    <row r="121" spans="1:28" x14ac:dyDescent="0.3">
      <c r="A121" t="s">
        <v>79</v>
      </c>
      <c r="B121" t="s">
        <v>80</v>
      </c>
      <c r="C121" t="s">
        <v>422</v>
      </c>
      <c r="D121">
        <v>31663.569999999996</v>
      </c>
      <c r="E121" t="s">
        <v>73</v>
      </c>
      <c r="F121" s="18">
        <v>41046</v>
      </c>
      <c r="G121" t="s">
        <v>423</v>
      </c>
      <c r="H121">
        <v>0.9893157973027048</v>
      </c>
      <c r="U121">
        <v>0</v>
      </c>
      <c r="V121">
        <v>0</v>
      </c>
      <c r="W121">
        <v>0</v>
      </c>
      <c r="X121">
        <v>0</v>
      </c>
    </row>
    <row r="122" spans="1:28" x14ac:dyDescent="0.3">
      <c r="A122" t="s">
        <v>79</v>
      </c>
      <c r="B122" t="s">
        <v>80</v>
      </c>
      <c r="C122" t="s">
        <v>424</v>
      </c>
      <c r="D122">
        <v>4978.1099999999997</v>
      </c>
      <c r="E122" t="s">
        <v>73</v>
      </c>
      <c r="F122" s="18">
        <v>40046</v>
      </c>
      <c r="G122" t="s">
        <v>333</v>
      </c>
      <c r="H122">
        <v>0.92360755145772822</v>
      </c>
      <c r="U122">
        <v>0</v>
      </c>
      <c r="V122">
        <v>0</v>
      </c>
      <c r="W122">
        <v>0</v>
      </c>
      <c r="X122">
        <v>0</v>
      </c>
    </row>
    <row r="123" spans="1:28" x14ac:dyDescent="0.3">
      <c r="A123" t="s">
        <v>79</v>
      </c>
      <c r="B123" t="s">
        <v>80</v>
      </c>
      <c r="C123" t="s">
        <v>425</v>
      </c>
      <c r="D123">
        <v>195133.65</v>
      </c>
      <c r="E123" t="s">
        <v>73</v>
      </c>
      <c r="F123" s="18">
        <v>42069</v>
      </c>
      <c r="G123" t="s">
        <v>426</v>
      </c>
      <c r="H123">
        <v>0.40997541941125992</v>
      </c>
      <c r="U123">
        <v>0</v>
      </c>
      <c r="V123">
        <v>0</v>
      </c>
      <c r="W123">
        <v>0</v>
      </c>
      <c r="X123">
        <v>0</v>
      </c>
    </row>
    <row r="124" spans="1:28" x14ac:dyDescent="0.3">
      <c r="A124" t="s">
        <v>79</v>
      </c>
      <c r="B124" t="s">
        <v>71</v>
      </c>
      <c r="C124" t="s">
        <v>427</v>
      </c>
      <c r="D124">
        <v>615999.13</v>
      </c>
      <c r="E124" t="s">
        <v>73</v>
      </c>
      <c r="F124" s="18">
        <v>40127</v>
      </c>
      <c r="G124" t="s">
        <v>428</v>
      </c>
      <c r="H124">
        <v>0.30701017386177154</v>
      </c>
      <c r="U124">
        <v>0</v>
      </c>
      <c r="V124">
        <v>0</v>
      </c>
      <c r="W124">
        <v>0</v>
      </c>
      <c r="X124">
        <v>0</v>
      </c>
    </row>
    <row r="125" spans="1:28" x14ac:dyDescent="0.3">
      <c r="A125" t="s">
        <v>429</v>
      </c>
      <c r="B125" t="s">
        <v>401</v>
      </c>
      <c r="C125" t="s">
        <v>430</v>
      </c>
      <c r="D125">
        <v>126643.96</v>
      </c>
      <c r="E125" t="s">
        <v>73</v>
      </c>
      <c r="F125" s="18">
        <v>40598</v>
      </c>
      <c r="G125" t="s">
        <v>431</v>
      </c>
      <c r="H125">
        <v>0.82499789172732751</v>
      </c>
      <c r="R125" t="s">
        <v>432</v>
      </c>
      <c r="U125">
        <v>0</v>
      </c>
      <c r="V125">
        <v>0</v>
      </c>
      <c r="W125">
        <v>0</v>
      </c>
      <c r="X125">
        <v>0</v>
      </c>
    </row>
    <row r="126" spans="1:28" x14ac:dyDescent="0.3">
      <c r="A126" t="s">
        <v>433</v>
      </c>
      <c r="B126" t="s">
        <v>80</v>
      </c>
      <c r="C126" t="s">
        <v>434</v>
      </c>
      <c r="D126">
        <v>13100</v>
      </c>
      <c r="E126" t="s">
        <v>73</v>
      </c>
      <c r="F126" s="18">
        <v>44144</v>
      </c>
      <c r="G126" t="s">
        <v>82</v>
      </c>
      <c r="H126">
        <v>2.36</v>
      </c>
      <c r="U126">
        <v>0</v>
      </c>
      <c r="V126">
        <v>0</v>
      </c>
      <c r="W126">
        <v>0</v>
      </c>
      <c r="X126">
        <v>0</v>
      </c>
      <c r="Y126">
        <v>13100</v>
      </c>
      <c r="Z126" t="s">
        <v>398</v>
      </c>
      <c r="AA126">
        <v>43427</v>
      </c>
      <c r="AB126" t="s">
        <v>435</v>
      </c>
    </row>
    <row r="127" spans="1:28" x14ac:dyDescent="0.3">
      <c r="A127" t="s">
        <v>89</v>
      </c>
      <c r="B127" t="s">
        <v>80</v>
      </c>
      <c r="C127" t="s">
        <v>436</v>
      </c>
      <c r="D127">
        <v>9857.9599999999991</v>
      </c>
      <c r="E127" t="s">
        <v>73</v>
      </c>
      <c r="F127" s="18">
        <v>43830</v>
      </c>
      <c r="G127" t="s">
        <v>437</v>
      </c>
      <c r="H127">
        <v>3.3</v>
      </c>
      <c r="U127">
        <v>0</v>
      </c>
      <c r="V127">
        <v>0</v>
      </c>
      <c r="W127">
        <v>0</v>
      </c>
      <c r="X127">
        <v>0</v>
      </c>
    </row>
    <row r="128" spans="1:28" x14ac:dyDescent="0.3">
      <c r="A128" t="s">
        <v>89</v>
      </c>
      <c r="B128" t="s">
        <v>80</v>
      </c>
      <c r="C128" t="s">
        <v>438</v>
      </c>
      <c r="D128">
        <v>10380.18</v>
      </c>
      <c r="E128" t="s">
        <v>73</v>
      </c>
      <c r="F128" s="18">
        <v>44195</v>
      </c>
      <c r="G128" t="s">
        <v>439</v>
      </c>
      <c r="H128">
        <v>3.3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t="s">
        <v>89</v>
      </c>
      <c r="B129" t="s">
        <v>80</v>
      </c>
      <c r="C129" t="s">
        <v>440</v>
      </c>
      <c r="D129">
        <v>1311.15</v>
      </c>
      <c r="E129" t="s">
        <v>73</v>
      </c>
      <c r="F129" s="18">
        <v>43711</v>
      </c>
      <c r="G129" t="s">
        <v>441</v>
      </c>
      <c r="H129">
        <v>3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t="s">
        <v>89</v>
      </c>
      <c r="B130" t="s">
        <v>80</v>
      </c>
      <c r="C130" t="s">
        <v>442</v>
      </c>
      <c r="D130">
        <v>3883.86</v>
      </c>
      <c r="E130" t="s">
        <v>73</v>
      </c>
      <c r="F130" s="18">
        <v>42027</v>
      </c>
      <c r="G130" t="s">
        <v>443</v>
      </c>
      <c r="H130">
        <v>2.3167673397084343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t="s">
        <v>89</v>
      </c>
      <c r="B131" t="s">
        <v>80</v>
      </c>
      <c r="C131" t="s">
        <v>444</v>
      </c>
      <c r="D131">
        <v>5239.2299999999996</v>
      </c>
      <c r="E131" t="s">
        <v>73</v>
      </c>
      <c r="F131" s="18">
        <v>44141</v>
      </c>
      <c r="G131" t="s">
        <v>445</v>
      </c>
      <c r="H131">
        <v>2.2999999999999998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t="s">
        <v>89</v>
      </c>
      <c r="B132" t="s">
        <v>80</v>
      </c>
      <c r="C132" t="s">
        <v>446</v>
      </c>
      <c r="D132">
        <v>10635.6</v>
      </c>
      <c r="E132" t="s">
        <v>73</v>
      </c>
      <c r="F132" s="18">
        <v>43356</v>
      </c>
      <c r="G132" t="s">
        <v>390</v>
      </c>
      <c r="H132">
        <v>2.0791492722554441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t="s">
        <v>89</v>
      </c>
      <c r="B133" t="s">
        <v>80</v>
      </c>
      <c r="C133" t="s">
        <v>447</v>
      </c>
      <c r="D133">
        <v>5600</v>
      </c>
      <c r="E133" t="s">
        <v>73</v>
      </c>
      <c r="F133" s="18">
        <v>41279</v>
      </c>
      <c r="G133" t="s">
        <v>448</v>
      </c>
      <c r="H133">
        <v>2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 t="s">
        <v>89</v>
      </c>
      <c r="B134" t="s">
        <v>80</v>
      </c>
      <c r="C134" t="s">
        <v>449</v>
      </c>
      <c r="D134">
        <v>5000</v>
      </c>
      <c r="E134" t="s">
        <v>73</v>
      </c>
      <c r="F134" s="18">
        <v>38961</v>
      </c>
      <c r="G134" t="s">
        <v>450</v>
      </c>
      <c r="H134">
        <v>2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t="s">
        <v>89</v>
      </c>
      <c r="B135" t="s">
        <v>80</v>
      </c>
      <c r="C135" t="s">
        <v>451</v>
      </c>
      <c r="D135">
        <v>1500</v>
      </c>
      <c r="E135" t="s">
        <v>73</v>
      </c>
      <c r="F135" s="18">
        <v>41606</v>
      </c>
      <c r="G135" t="s">
        <v>448</v>
      </c>
      <c r="H135">
        <v>2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 t="s">
        <v>89</v>
      </c>
      <c r="B136" t="s">
        <v>452</v>
      </c>
      <c r="C136" t="s">
        <v>453</v>
      </c>
      <c r="D136">
        <v>193159.99</v>
      </c>
      <c r="E136" t="s">
        <v>73</v>
      </c>
      <c r="F136" s="18">
        <v>40759</v>
      </c>
      <c r="G136" t="s">
        <v>351</v>
      </c>
      <c r="H136">
        <v>0.27192484323487487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 t="s">
        <v>89</v>
      </c>
      <c r="B137" t="s">
        <v>80</v>
      </c>
      <c r="C137" t="s">
        <v>447</v>
      </c>
      <c r="D137">
        <v>12423.48</v>
      </c>
      <c r="E137" t="s">
        <v>73</v>
      </c>
      <c r="F137" s="18">
        <v>41051</v>
      </c>
      <c r="G137" t="s">
        <v>448</v>
      </c>
      <c r="H137">
        <v>1.9575835405718895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 t="s">
        <v>89</v>
      </c>
      <c r="B138" t="s">
        <v>80</v>
      </c>
      <c r="C138" t="s">
        <v>454</v>
      </c>
      <c r="D138">
        <v>5000</v>
      </c>
      <c r="E138" t="s">
        <v>73</v>
      </c>
      <c r="F138" s="18">
        <v>42474</v>
      </c>
      <c r="G138" t="s">
        <v>455</v>
      </c>
      <c r="H138">
        <v>1.8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 t="s">
        <v>89</v>
      </c>
      <c r="B139" t="s">
        <v>80</v>
      </c>
      <c r="C139" t="s">
        <v>456</v>
      </c>
      <c r="D139">
        <v>2000</v>
      </c>
      <c r="E139" t="s">
        <v>73</v>
      </c>
      <c r="F139" s="18">
        <v>39246</v>
      </c>
      <c r="G139" t="s">
        <v>457</v>
      </c>
      <c r="H139">
        <v>1.5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 t="s">
        <v>89</v>
      </c>
      <c r="B140" t="s">
        <v>80</v>
      </c>
      <c r="C140" t="s">
        <v>458</v>
      </c>
      <c r="D140">
        <v>12043.16</v>
      </c>
      <c r="E140" t="s">
        <v>73</v>
      </c>
      <c r="F140" s="18">
        <v>40217</v>
      </c>
      <c r="G140" t="s">
        <v>351</v>
      </c>
      <c r="H140">
        <v>1.2291749009396205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t="s">
        <v>89</v>
      </c>
      <c r="B141" t="s">
        <v>80</v>
      </c>
      <c r="C141" t="s">
        <v>459</v>
      </c>
      <c r="D141">
        <v>8980.6200000000008</v>
      </c>
      <c r="E141" t="s">
        <v>73</v>
      </c>
      <c r="F141" s="18">
        <v>42150</v>
      </c>
      <c r="G141" t="s">
        <v>460</v>
      </c>
      <c r="H141">
        <v>1.2000006681053199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t="s">
        <v>89</v>
      </c>
      <c r="B142" t="s">
        <v>80</v>
      </c>
      <c r="C142" t="s">
        <v>461</v>
      </c>
      <c r="D142">
        <v>7405.43</v>
      </c>
      <c r="E142" t="s">
        <v>73</v>
      </c>
      <c r="F142" s="18">
        <v>41641</v>
      </c>
      <c r="G142" t="s">
        <v>462</v>
      </c>
      <c r="H142">
        <v>1.1995360302966624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t="s">
        <v>89</v>
      </c>
      <c r="B143" t="s">
        <v>80</v>
      </c>
      <c r="C143" t="s">
        <v>463</v>
      </c>
      <c r="D143">
        <v>53340</v>
      </c>
      <c r="E143" t="s">
        <v>73</v>
      </c>
      <c r="F143" s="18">
        <v>43579</v>
      </c>
      <c r="G143" t="s">
        <v>464</v>
      </c>
      <c r="H143">
        <v>1.17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t="s">
        <v>89</v>
      </c>
      <c r="B144" t="s">
        <v>80</v>
      </c>
      <c r="C144" t="s">
        <v>465</v>
      </c>
      <c r="D144">
        <v>35337</v>
      </c>
      <c r="E144" t="s">
        <v>73</v>
      </c>
      <c r="F144" s="18">
        <v>43579</v>
      </c>
      <c r="G144" t="s">
        <v>464</v>
      </c>
      <c r="H144">
        <v>1.17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t="s">
        <v>89</v>
      </c>
      <c r="B145" t="s">
        <v>80</v>
      </c>
      <c r="C145" t="s">
        <v>466</v>
      </c>
      <c r="D145">
        <v>62373.74</v>
      </c>
      <c r="E145" t="s">
        <v>73</v>
      </c>
      <c r="F145" s="18">
        <v>43557</v>
      </c>
      <c r="G145" t="s">
        <v>467</v>
      </c>
      <c r="H145">
        <v>1.08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t="s">
        <v>89</v>
      </c>
      <c r="B146" t="s">
        <v>80</v>
      </c>
      <c r="C146" t="s">
        <v>317</v>
      </c>
      <c r="D146">
        <v>393.4</v>
      </c>
      <c r="E146" t="s">
        <v>73</v>
      </c>
      <c r="F146" s="18">
        <v>42972</v>
      </c>
      <c r="G146" t="s">
        <v>117</v>
      </c>
      <c r="H146">
        <v>1.0085814259190162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 t="s">
        <v>89</v>
      </c>
      <c r="B147" t="s">
        <v>80</v>
      </c>
      <c r="C147" t="s">
        <v>317</v>
      </c>
      <c r="D147">
        <v>435.26</v>
      </c>
      <c r="E147" t="s">
        <v>73</v>
      </c>
      <c r="F147" s="18">
        <v>42549</v>
      </c>
      <c r="G147" t="s">
        <v>117</v>
      </c>
      <c r="H147">
        <v>1.0080981710522532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 t="s">
        <v>89</v>
      </c>
      <c r="B148" t="s">
        <v>80</v>
      </c>
      <c r="C148" t="s">
        <v>387</v>
      </c>
      <c r="D148">
        <v>60311.46</v>
      </c>
      <c r="E148" t="s">
        <v>73</v>
      </c>
      <c r="F148" s="18"/>
      <c r="G148" t="s">
        <v>125</v>
      </c>
      <c r="H148">
        <v>1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t="s">
        <v>89</v>
      </c>
      <c r="B149" t="s">
        <v>80</v>
      </c>
      <c r="C149" t="s">
        <v>468</v>
      </c>
      <c r="D149">
        <v>1264.23</v>
      </c>
      <c r="E149" t="s">
        <v>73</v>
      </c>
      <c r="F149" s="18">
        <v>39380</v>
      </c>
      <c r="G149" t="s">
        <v>469</v>
      </c>
      <c r="H149">
        <v>1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t="s">
        <v>89</v>
      </c>
      <c r="B150" t="s">
        <v>80</v>
      </c>
      <c r="C150" t="s">
        <v>470</v>
      </c>
      <c r="D150">
        <v>45536.01</v>
      </c>
      <c r="E150" t="s">
        <v>73</v>
      </c>
      <c r="F150" s="18">
        <v>42125</v>
      </c>
      <c r="G150" t="s">
        <v>471</v>
      </c>
      <c r="H150">
        <v>1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 t="s">
        <v>89</v>
      </c>
      <c r="B151" t="s">
        <v>80</v>
      </c>
      <c r="C151" t="s">
        <v>472</v>
      </c>
      <c r="D151">
        <v>66570.350000000006</v>
      </c>
      <c r="E151" t="s">
        <v>73</v>
      </c>
      <c r="F151" s="18">
        <v>39163</v>
      </c>
      <c r="G151" t="s">
        <v>421</v>
      </c>
      <c r="H151">
        <v>0.9989882883295641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 t="s">
        <v>89</v>
      </c>
      <c r="B152" t="s">
        <v>80</v>
      </c>
      <c r="C152" t="s">
        <v>473</v>
      </c>
      <c r="D152">
        <v>54587.1</v>
      </c>
      <c r="E152" t="s">
        <v>73</v>
      </c>
      <c r="F152" s="18">
        <v>42355</v>
      </c>
      <c r="G152" t="s">
        <v>474</v>
      </c>
      <c r="H152">
        <v>0.97858285199250372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t="s">
        <v>89</v>
      </c>
      <c r="B153" t="s">
        <v>80</v>
      </c>
      <c r="C153" t="s">
        <v>317</v>
      </c>
      <c r="D153">
        <v>332.03</v>
      </c>
      <c r="E153" t="s">
        <v>73</v>
      </c>
      <c r="F153" s="18">
        <v>42726</v>
      </c>
      <c r="G153" t="s">
        <v>117</v>
      </c>
      <c r="H153">
        <v>0.9562256979371736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 t="s">
        <v>89</v>
      </c>
      <c r="B154" t="s">
        <v>80</v>
      </c>
      <c r="C154" t="s">
        <v>466</v>
      </c>
      <c r="D154">
        <v>67451.98</v>
      </c>
      <c r="E154" t="s">
        <v>73</v>
      </c>
      <c r="F154" s="18">
        <v>43557</v>
      </c>
      <c r="G154" t="s">
        <v>475</v>
      </c>
      <c r="H154">
        <v>0.92471177273076344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t="s">
        <v>89</v>
      </c>
      <c r="B155" t="s">
        <v>80</v>
      </c>
      <c r="C155" t="s">
        <v>317</v>
      </c>
      <c r="D155">
        <v>945.47</v>
      </c>
      <c r="E155" t="s">
        <v>73</v>
      </c>
      <c r="F155" s="18">
        <v>42887</v>
      </c>
      <c r="G155" t="s">
        <v>117</v>
      </c>
      <c r="H155">
        <v>0.86821264228112549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t="s">
        <v>89</v>
      </c>
      <c r="B156" t="s">
        <v>80</v>
      </c>
      <c r="C156" t="s">
        <v>317</v>
      </c>
      <c r="D156">
        <v>36395.160000000003</v>
      </c>
      <c r="E156" t="s">
        <v>73</v>
      </c>
      <c r="F156" s="18">
        <v>42726</v>
      </c>
      <c r="G156" t="s">
        <v>117</v>
      </c>
      <c r="H156">
        <v>0.85153233387946869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t="s">
        <v>89</v>
      </c>
      <c r="B157" t="s">
        <v>80</v>
      </c>
      <c r="C157" t="s">
        <v>463</v>
      </c>
      <c r="D157">
        <v>53340</v>
      </c>
      <c r="E157" t="s">
        <v>73</v>
      </c>
      <c r="F157" s="18">
        <v>43579</v>
      </c>
      <c r="G157" t="s">
        <v>464</v>
      </c>
      <c r="H157">
        <v>0.85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t="s">
        <v>89</v>
      </c>
      <c r="B158" t="s">
        <v>80</v>
      </c>
      <c r="C158" t="s">
        <v>465</v>
      </c>
      <c r="D158">
        <v>35337</v>
      </c>
      <c r="E158" t="s">
        <v>73</v>
      </c>
      <c r="F158" s="18">
        <v>43579</v>
      </c>
      <c r="G158" t="s">
        <v>464</v>
      </c>
      <c r="H158">
        <v>0.84998726547245096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 t="s">
        <v>89</v>
      </c>
      <c r="B159" t="s">
        <v>80</v>
      </c>
      <c r="C159" t="s">
        <v>476</v>
      </c>
      <c r="D159">
        <v>19648.560000000001</v>
      </c>
      <c r="E159" t="s">
        <v>73</v>
      </c>
      <c r="F159" s="18">
        <v>38639</v>
      </c>
      <c r="G159" t="s">
        <v>347</v>
      </c>
      <c r="H159">
        <v>0.83645773532513312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t="s">
        <v>89</v>
      </c>
      <c r="B160" t="s">
        <v>80</v>
      </c>
      <c r="C160" t="s">
        <v>477</v>
      </c>
      <c r="D160">
        <v>97312.17</v>
      </c>
      <c r="E160" t="s">
        <v>73</v>
      </c>
      <c r="F160" s="18">
        <v>39014</v>
      </c>
      <c r="G160" t="s">
        <v>351</v>
      </c>
      <c r="H160">
        <v>0.82659229570155512</v>
      </c>
      <c r="U160">
        <v>0</v>
      </c>
      <c r="V160">
        <v>0</v>
      </c>
      <c r="W160">
        <v>0</v>
      </c>
      <c r="X160">
        <v>0</v>
      </c>
    </row>
    <row r="161" spans="1:46" x14ac:dyDescent="0.3">
      <c r="A161" t="s">
        <v>89</v>
      </c>
      <c r="B161" t="s">
        <v>80</v>
      </c>
      <c r="C161" t="s">
        <v>317</v>
      </c>
      <c r="D161">
        <v>6041.9</v>
      </c>
      <c r="E161" t="s">
        <v>73</v>
      </c>
      <c r="F161" s="18">
        <v>42676</v>
      </c>
      <c r="G161" t="s">
        <v>117</v>
      </c>
      <c r="H161">
        <v>0.79415245423914949</v>
      </c>
      <c r="U161">
        <v>0</v>
      </c>
      <c r="V161">
        <v>0</v>
      </c>
      <c r="W161">
        <v>0</v>
      </c>
      <c r="X161">
        <v>0</v>
      </c>
    </row>
    <row r="162" spans="1:46" x14ac:dyDescent="0.3">
      <c r="A162" t="s">
        <v>89</v>
      </c>
      <c r="B162" t="s">
        <v>80</v>
      </c>
      <c r="C162" t="s">
        <v>317</v>
      </c>
      <c r="D162">
        <v>5632.3</v>
      </c>
      <c r="E162" t="s">
        <v>73</v>
      </c>
      <c r="F162" s="18">
        <v>42689</v>
      </c>
      <c r="G162" t="s">
        <v>117</v>
      </c>
      <c r="H162">
        <v>0.76804222112407172</v>
      </c>
      <c r="U162">
        <v>0</v>
      </c>
      <c r="V162">
        <v>0</v>
      </c>
      <c r="W162">
        <v>0</v>
      </c>
      <c r="X162">
        <v>0</v>
      </c>
    </row>
    <row r="163" spans="1:46" x14ac:dyDescent="0.3">
      <c r="A163" t="s">
        <v>89</v>
      </c>
      <c r="B163" t="s">
        <v>80</v>
      </c>
      <c r="C163" t="s">
        <v>478</v>
      </c>
      <c r="D163">
        <v>13411.9</v>
      </c>
      <c r="E163" t="s">
        <v>73</v>
      </c>
      <c r="F163" s="18">
        <v>39282</v>
      </c>
      <c r="G163" t="s">
        <v>421</v>
      </c>
      <c r="H163">
        <v>0.75157136572745098</v>
      </c>
      <c r="U163">
        <v>0</v>
      </c>
      <c r="V163">
        <v>0</v>
      </c>
      <c r="W163">
        <v>0</v>
      </c>
      <c r="X163">
        <v>0</v>
      </c>
    </row>
    <row r="164" spans="1:46" x14ac:dyDescent="0.3">
      <c r="A164" t="s">
        <v>89</v>
      </c>
      <c r="B164" t="s">
        <v>80</v>
      </c>
      <c r="C164" t="s">
        <v>479</v>
      </c>
      <c r="D164">
        <v>66221.02</v>
      </c>
      <c r="E164" t="s">
        <v>73</v>
      </c>
      <c r="F164" s="18">
        <v>38351</v>
      </c>
      <c r="G164" t="s">
        <v>480</v>
      </c>
      <c r="H164">
        <v>0.75058006854940296</v>
      </c>
      <c r="U164">
        <v>0</v>
      </c>
      <c r="V164">
        <v>0</v>
      </c>
      <c r="W164">
        <v>0</v>
      </c>
      <c r="X164">
        <v>0</v>
      </c>
    </row>
    <row r="165" spans="1:46" x14ac:dyDescent="0.3">
      <c r="A165" t="s">
        <v>89</v>
      </c>
      <c r="B165" t="s">
        <v>80</v>
      </c>
      <c r="C165" t="s">
        <v>481</v>
      </c>
      <c r="D165">
        <v>17314.310000000001</v>
      </c>
      <c r="E165" t="s">
        <v>73</v>
      </c>
      <c r="F165" s="18">
        <v>38960</v>
      </c>
      <c r="G165" t="s">
        <v>482</v>
      </c>
      <c r="H165">
        <v>0.69304581008425981</v>
      </c>
      <c r="U165">
        <v>0</v>
      </c>
      <c r="V165">
        <v>0</v>
      </c>
      <c r="W165">
        <v>0</v>
      </c>
      <c r="X165">
        <v>0</v>
      </c>
    </row>
    <row r="166" spans="1:46" x14ac:dyDescent="0.3">
      <c r="A166" t="s">
        <v>89</v>
      </c>
      <c r="B166" t="s">
        <v>80</v>
      </c>
      <c r="C166" t="s">
        <v>483</v>
      </c>
      <c r="D166">
        <v>8233.24</v>
      </c>
      <c r="E166" t="s">
        <v>73</v>
      </c>
      <c r="F166" s="18">
        <v>37320</v>
      </c>
      <c r="G166" t="s">
        <v>103</v>
      </c>
      <c r="H166">
        <v>0.67626353659069827</v>
      </c>
      <c r="U166">
        <v>0</v>
      </c>
      <c r="V166">
        <v>0</v>
      </c>
      <c r="W166">
        <v>0</v>
      </c>
      <c r="X166">
        <v>0</v>
      </c>
    </row>
    <row r="167" spans="1:46" x14ac:dyDescent="0.3">
      <c r="A167" t="s">
        <v>89</v>
      </c>
      <c r="B167" t="s">
        <v>80</v>
      </c>
      <c r="C167" t="s">
        <v>484</v>
      </c>
      <c r="D167">
        <v>18769.900000000001</v>
      </c>
      <c r="E167" t="s">
        <v>73</v>
      </c>
      <c r="F167" s="18">
        <v>39014</v>
      </c>
      <c r="G167" t="s">
        <v>351</v>
      </c>
      <c r="H167">
        <v>0.64483774553940088</v>
      </c>
      <c r="U167">
        <v>0</v>
      </c>
      <c r="V167">
        <v>0</v>
      </c>
      <c r="W167">
        <v>0</v>
      </c>
      <c r="X167">
        <v>0</v>
      </c>
    </row>
    <row r="168" spans="1:46" x14ac:dyDescent="0.3">
      <c r="A168" t="s">
        <v>89</v>
      </c>
      <c r="B168" t="s">
        <v>80</v>
      </c>
      <c r="C168" t="s">
        <v>485</v>
      </c>
      <c r="D168">
        <v>20400.599999999999</v>
      </c>
      <c r="E168" t="s">
        <v>73</v>
      </c>
      <c r="F168" s="18">
        <v>39014</v>
      </c>
      <c r="G168" t="s">
        <v>351</v>
      </c>
      <c r="H168">
        <v>0.63912630020685668</v>
      </c>
      <c r="U168">
        <v>0</v>
      </c>
      <c r="V168">
        <v>0</v>
      </c>
      <c r="W168">
        <v>0</v>
      </c>
      <c r="X168">
        <v>0</v>
      </c>
    </row>
    <row r="169" spans="1:46" x14ac:dyDescent="0.3">
      <c r="A169" t="s">
        <v>89</v>
      </c>
      <c r="B169" t="s">
        <v>80</v>
      </c>
      <c r="C169" t="s">
        <v>486</v>
      </c>
      <c r="D169">
        <v>109436.52</v>
      </c>
      <c r="E169" t="s">
        <v>73</v>
      </c>
      <c r="F169" s="18">
        <v>38351</v>
      </c>
      <c r="G169" t="s">
        <v>480</v>
      </c>
      <c r="H169">
        <v>0.6335028745431599</v>
      </c>
      <c r="U169">
        <v>0</v>
      </c>
      <c r="V169">
        <v>0</v>
      </c>
      <c r="W169">
        <v>0</v>
      </c>
      <c r="X169">
        <v>0</v>
      </c>
    </row>
    <row r="170" spans="1:46" x14ac:dyDescent="0.3">
      <c r="A170" t="s">
        <v>89</v>
      </c>
      <c r="B170" t="s">
        <v>80</v>
      </c>
      <c r="C170" t="s">
        <v>487</v>
      </c>
      <c r="D170">
        <v>91575.49</v>
      </c>
      <c r="E170" t="s">
        <v>73</v>
      </c>
      <c r="F170" s="18">
        <v>38351</v>
      </c>
      <c r="G170" t="s">
        <v>480</v>
      </c>
      <c r="H170">
        <v>0.51999994758422807</v>
      </c>
      <c r="U170">
        <v>0</v>
      </c>
      <c r="V170">
        <v>0</v>
      </c>
      <c r="W170">
        <v>0</v>
      </c>
      <c r="X170">
        <v>0</v>
      </c>
    </row>
    <row r="171" spans="1:46" x14ac:dyDescent="0.3">
      <c r="A171" t="s">
        <v>89</v>
      </c>
      <c r="B171" t="s">
        <v>380</v>
      </c>
      <c r="C171" t="s">
        <v>488</v>
      </c>
      <c r="D171">
        <v>121300</v>
      </c>
      <c r="E171" t="s">
        <v>73</v>
      </c>
      <c r="F171" s="18">
        <v>45622</v>
      </c>
      <c r="G171" t="s">
        <v>489</v>
      </c>
      <c r="H171">
        <v>0.109</v>
      </c>
      <c r="U171">
        <v>0</v>
      </c>
      <c r="V171">
        <v>0</v>
      </c>
      <c r="W171">
        <v>0</v>
      </c>
      <c r="X171">
        <v>0</v>
      </c>
    </row>
    <row r="172" spans="1:46" x14ac:dyDescent="0.3">
      <c r="A172" t="s">
        <v>89</v>
      </c>
      <c r="B172" t="s">
        <v>380</v>
      </c>
      <c r="C172" t="s">
        <v>490</v>
      </c>
      <c r="D172">
        <v>42380</v>
      </c>
      <c r="E172" t="s">
        <v>73</v>
      </c>
      <c r="F172" s="18">
        <v>45622</v>
      </c>
      <c r="G172" t="s">
        <v>489</v>
      </c>
      <c r="H172">
        <v>0.41618688060405851</v>
      </c>
      <c r="I172">
        <v>9502428</v>
      </c>
      <c r="J172">
        <v>9502428</v>
      </c>
      <c r="K172">
        <v>0</v>
      </c>
      <c r="R172" t="s">
        <v>491</v>
      </c>
      <c r="S172" t="s">
        <v>492</v>
      </c>
      <c r="T172" t="s">
        <v>98</v>
      </c>
      <c r="U172">
        <v>0</v>
      </c>
      <c r="V172">
        <v>-9502428</v>
      </c>
      <c r="W172">
        <v>0</v>
      </c>
      <c r="X172">
        <v>-9502428</v>
      </c>
    </row>
    <row r="173" spans="1:46" x14ac:dyDescent="0.3">
      <c r="A173" t="s">
        <v>493</v>
      </c>
      <c r="B173" t="s">
        <v>80</v>
      </c>
      <c r="C173" t="s">
        <v>494</v>
      </c>
      <c r="D173">
        <v>17002.310000000001</v>
      </c>
      <c r="E173" t="s">
        <v>73</v>
      </c>
      <c r="F173" s="18">
        <v>43404</v>
      </c>
      <c r="G173" t="s">
        <v>495</v>
      </c>
      <c r="H173">
        <v>2.9995924083256922</v>
      </c>
      <c r="P173" t="s">
        <v>149</v>
      </c>
      <c r="Q173" t="s">
        <v>149</v>
      </c>
      <c r="U173">
        <v>0</v>
      </c>
      <c r="V173">
        <v>0</v>
      </c>
      <c r="W173">
        <v>0</v>
      </c>
      <c r="X173">
        <v>0</v>
      </c>
      <c r="AR173">
        <v>43381</v>
      </c>
      <c r="AS173" t="s">
        <v>154</v>
      </c>
    </row>
    <row r="174" spans="1:46" x14ac:dyDescent="0.3">
      <c r="A174" t="s">
        <v>496</v>
      </c>
      <c r="B174" t="s">
        <v>71</v>
      </c>
      <c r="C174" t="s">
        <v>497</v>
      </c>
      <c r="D174">
        <v>8842.86</v>
      </c>
      <c r="E174" t="s">
        <v>73</v>
      </c>
      <c r="F174" s="18">
        <v>44015</v>
      </c>
      <c r="G174" t="s">
        <v>498</v>
      </c>
      <c r="H174">
        <v>3.15</v>
      </c>
      <c r="V174">
        <v>0</v>
      </c>
      <c r="W174">
        <v>0</v>
      </c>
      <c r="X174">
        <v>0</v>
      </c>
      <c r="AT174">
        <v>5747.8590000000004</v>
      </c>
    </row>
    <row r="175" spans="1:46" x14ac:dyDescent="0.3">
      <c r="A175" t="s">
        <v>70</v>
      </c>
      <c r="B175" t="s">
        <v>71</v>
      </c>
      <c r="C175" t="s">
        <v>499</v>
      </c>
      <c r="D175">
        <v>5000</v>
      </c>
      <c r="E175" t="s">
        <v>73</v>
      </c>
      <c r="F175" s="18">
        <v>45770</v>
      </c>
      <c r="G175" t="s">
        <v>500</v>
      </c>
      <c r="H175">
        <v>0.5</v>
      </c>
      <c r="V175">
        <v>0</v>
      </c>
      <c r="W175">
        <v>0</v>
      </c>
      <c r="X175">
        <v>0</v>
      </c>
    </row>
    <row r="176" spans="1:46" x14ac:dyDescent="0.3">
      <c r="A176" t="s">
        <v>70</v>
      </c>
      <c r="B176" t="s">
        <v>71</v>
      </c>
      <c r="C176" t="s">
        <v>501</v>
      </c>
      <c r="D176">
        <v>5000</v>
      </c>
      <c r="E176" t="s">
        <v>73</v>
      </c>
      <c r="F176" s="18"/>
      <c r="V176">
        <v>0</v>
      </c>
      <c r="W176">
        <v>0</v>
      </c>
      <c r="X176">
        <v>0</v>
      </c>
    </row>
    <row r="177" spans="1:48" x14ac:dyDescent="0.3">
      <c r="A177" t="s">
        <v>89</v>
      </c>
      <c r="B177" t="s">
        <v>502</v>
      </c>
      <c r="C177" t="s">
        <v>503</v>
      </c>
      <c r="D177">
        <v>42380</v>
      </c>
      <c r="E177" t="s">
        <v>73</v>
      </c>
      <c r="F177" s="18"/>
      <c r="G177" t="s">
        <v>504</v>
      </c>
      <c r="O177" t="s">
        <v>505</v>
      </c>
      <c r="U177">
        <v>0</v>
      </c>
      <c r="V177">
        <v>0</v>
      </c>
      <c r="W177">
        <v>0</v>
      </c>
      <c r="X177">
        <v>0</v>
      </c>
      <c r="AB177" t="s">
        <v>506</v>
      </c>
    </row>
    <row r="178" spans="1:48" x14ac:dyDescent="0.3">
      <c r="A178" t="s">
        <v>507</v>
      </c>
      <c r="B178" t="s">
        <v>508</v>
      </c>
      <c r="C178" t="s">
        <v>509</v>
      </c>
      <c r="D178">
        <v>383000</v>
      </c>
      <c r="E178" t="s">
        <v>73</v>
      </c>
      <c r="F178" s="18"/>
      <c r="K178">
        <v>0</v>
      </c>
      <c r="O178" t="s">
        <v>510</v>
      </c>
      <c r="U178">
        <v>0</v>
      </c>
      <c r="V178">
        <v>0</v>
      </c>
      <c r="W178">
        <v>0</v>
      </c>
      <c r="X178">
        <v>0</v>
      </c>
      <c r="AB178" t="s">
        <v>511</v>
      </c>
    </row>
    <row r="179" spans="1:48" x14ac:dyDescent="0.3">
      <c r="A179" t="s">
        <v>70</v>
      </c>
      <c r="B179" t="s">
        <v>512</v>
      </c>
      <c r="C179" t="s">
        <v>513</v>
      </c>
      <c r="D179">
        <v>12425.09</v>
      </c>
      <c r="E179" t="s">
        <v>73</v>
      </c>
      <c r="F179" s="18"/>
      <c r="O179" t="s">
        <v>514</v>
      </c>
      <c r="P179" t="s">
        <v>515</v>
      </c>
      <c r="V179">
        <v>0</v>
      </c>
      <c r="W179">
        <v>0</v>
      </c>
      <c r="X179">
        <v>0</v>
      </c>
      <c r="AB179" t="s">
        <v>516</v>
      </c>
      <c r="AO179">
        <v>1.59995880111237</v>
      </c>
    </row>
    <row r="180" spans="1:48" x14ac:dyDescent="0.3">
      <c r="A180" t="s">
        <v>70</v>
      </c>
      <c r="B180" t="s">
        <v>512</v>
      </c>
      <c r="C180" t="s">
        <v>517</v>
      </c>
      <c r="D180">
        <v>12588.68</v>
      </c>
      <c r="E180" t="s">
        <v>73</v>
      </c>
      <c r="F180" s="18"/>
      <c r="O180" t="s">
        <v>514</v>
      </c>
      <c r="P180" t="s">
        <v>518</v>
      </c>
      <c r="V180">
        <v>0</v>
      </c>
      <c r="W180">
        <v>0</v>
      </c>
      <c r="X180">
        <v>0</v>
      </c>
      <c r="AB180" t="s">
        <v>519</v>
      </c>
      <c r="AO180">
        <v>1.59995880111237</v>
      </c>
    </row>
    <row r="181" spans="1:48" x14ac:dyDescent="0.3">
      <c r="A181" t="s">
        <v>70</v>
      </c>
      <c r="B181" t="s">
        <v>512</v>
      </c>
      <c r="C181" t="s">
        <v>520</v>
      </c>
      <c r="D181">
        <v>12507.56</v>
      </c>
      <c r="E181" t="s">
        <v>73</v>
      </c>
      <c r="F181" s="18"/>
      <c r="O181" t="s">
        <v>514</v>
      </c>
      <c r="P181" t="s">
        <v>521</v>
      </c>
      <c r="V181">
        <v>0</v>
      </c>
      <c r="W181">
        <v>0</v>
      </c>
      <c r="X181">
        <v>0</v>
      </c>
      <c r="AB181" t="s">
        <v>522</v>
      </c>
      <c r="AO181">
        <v>1.59995880111237</v>
      </c>
    </row>
    <row r="182" spans="1:48" x14ac:dyDescent="0.3">
      <c r="A182" t="s">
        <v>70</v>
      </c>
      <c r="B182" t="s">
        <v>512</v>
      </c>
      <c r="C182" t="s">
        <v>523</v>
      </c>
      <c r="D182">
        <v>27916.63</v>
      </c>
      <c r="E182" t="s">
        <v>73</v>
      </c>
      <c r="F182" s="18"/>
      <c r="O182" t="s">
        <v>514</v>
      </c>
      <c r="P182" t="s">
        <v>524</v>
      </c>
      <c r="V182">
        <v>0</v>
      </c>
      <c r="W182">
        <v>0</v>
      </c>
      <c r="X182">
        <v>0</v>
      </c>
      <c r="AB182" t="s">
        <v>525</v>
      </c>
      <c r="AO182">
        <v>1.59995880111237</v>
      </c>
    </row>
    <row r="183" spans="1:48" x14ac:dyDescent="0.3">
      <c r="A183" t="s">
        <v>70</v>
      </c>
      <c r="B183" t="s">
        <v>512</v>
      </c>
      <c r="C183" t="s">
        <v>526</v>
      </c>
      <c r="D183">
        <v>61175.24</v>
      </c>
      <c r="E183" t="s">
        <v>73</v>
      </c>
      <c r="F183" s="18"/>
      <c r="V183">
        <v>0</v>
      </c>
      <c r="W183">
        <v>0</v>
      </c>
      <c r="X183">
        <v>0</v>
      </c>
    </row>
    <row r="184" spans="1:48" x14ac:dyDescent="0.3">
      <c r="A184" t="s">
        <v>70</v>
      </c>
      <c r="B184" t="s">
        <v>80</v>
      </c>
      <c r="C184" t="s">
        <v>527</v>
      </c>
      <c r="D184">
        <v>7238.03</v>
      </c>
      <c r="E184" t="s">
        <v>73</v>
      </c>
      <c r="F184" s="18">
        <v>45718</v>
      </c>
      <c r="G184" t="s">
        <v>528</v>
      </c>
      <c r="H184">
        <v>1.5</v>
      </c>
      <c r="I184">
        <v>0</v>
      </c>
      <c r="J184">
        <v>0</v>
      </c>
      <c r="K184">
        <v>0</v>
      </c>
      <c r="L184">
        <v>443576</v>
      </c>
      <c r="M184">
        <v>443576</v>
      </c>
      <c r="N184">
        <v>0</v>
      </c>
      <c r="O184" t="s">
        <v>514</v>
      </c>
      <c r="P184" t="s">
        <v>529</v>
      </c>
      <c r="Q184" t="s">
        <v>530</v>
      </c>
      <c r="U184">
        <v>309233090</v>
      </c>
      <c r="V184">
        <v>443576</v>
      </c>
      <c r="W184">
        <v>0</v>
      </c>
      <c r="X184">
        <v>443576</v>
      </c>
      <c r="Y184">
        <v>0</v>
      </c>
      <c r="Z184">
        <v>443576</v>
      </c>
      <c r="AB184" t="s">
        <v>531</v>
      </c>
      <c r="AM184">
        <v>1.5</v>
      </c>
      <c r="AN184">
        <v>10857.045</v>
      </c>
      <c r="AO184">
        <v>1.7834963380919948</v>
      </c>
      <c r="AP184">
        <v>12909</v>
      </c>
      <c r="AQ184">
        <v>9037</v>
      </c>
      <c r="AR184">
        <v>45954</v>
      </c>
      <c r="AS184" t="s">
        <v>532</v>
      </c>
      <c r="AU184" t="s">
        <v>532</v>
      </c>
      <c r="AV184" t="s">
        <v>533</v>
      </c>
    </row>
    <row r="185" spans="1:48" x14ac:dyDescent="0.3">
      <c r="A185" t="s">
        <v>70</v>
      </c>
      <c r="B185" t="s">
        <v>80</v>
      </c>
      <c r="C185" t="s">
        <v>534</v>
      </c>
      <c r="D185">
        <v>5766.44</v>
      </c>
      <c r="E185" t="s">
        <v>73</v>
      </c>
      <c r="F185" s="18">
        <v>45719</v>
      </c>
      <c r="G185" t="s">
        <v>528</v>
      </c>
      <c r="H185">
        <v>1.5</v>
      </c>
      <c r="I185">
        <v>0</v>
      </c>
      <c r="J185">
        <v>0</v>
      </c>
      <c r="K185">
        <v>0</v>
      </c>
      <c r="L185">
        <v>443576</v>
      </c>
      <c r="M185">
        <v>443576</v>
      </c>
      <c r="N185">
        <v>0</v>
      </c>
      <c r="O185" t="s">
        <v>514</v>
      </c>
      <c r="P185" t="s">
        <v>535</v>
      </c>
      <c r="U185">
        <v>307223181</v>
      </c>
      <c r="V185">
        <v>443576</v>
      </c>
      <c r="W185">
        <v>0</v>
      </c>
      <c r="X185">
        <v>443576</v>
      </c>
      <c r="Y185">
        <v>0</v>
      </c>
      <c r="Z185">
        <v>443576</v>
      </c>
      <c r="AB185" t="s">
        <v>536</v>
      </c>
      <c r="AM185">
        <v>1.5</v>
      </c>
      <c r="AN185">
        <v>8649.66</v>
      </c>
      <c r="AO185">
        <v>2.1671950111333858</v>
      </c>
      <c r="AP185">
        <v>12497</v>
      </c>
      <c r="AQ185">
        <v>8748</v>
      </c>
      <c r="AR185">
        <v>45954</v>
      </c>
      <c r="AS185" t="s">
        <v>532</v>
      </c>
      <c r="AU185" t="s">
        <v>532</v>
      </c>
      <c r="AV185" t="s">
        <v>533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CE12-E3F6-462D-99A0-1E08D2C71C9C}">
  <dimension ref="A1:AS83"/>
  <sheetViews>
    <sheetView workbookViewId="0"/>
  </sheetViews>
  <sheetFormatPr baseColWidth="10" defaultColWidth="11.44140625" defaultRowHeight="14.4" x14ac:dyDescent="0.3"/>
  <cols>
    <col min="1" max="1" width="37.6640625" bestFit="1" customWidth="1"/>
    <col min="2" max="2" width="17.88671875" bestFit="1" customWidth="1"/>
    <col min="3" max="3" width="33.88671875" bestFit="1" customWidth="1"/>
    <col min="4" max="4" width="16.6640625" bestFit="1" customWidth="1"/>
    <col min="5" max="5" width="10.33203125" bestFit="1" customWidth="1"/>
    <col min="6" max="6" width="23.33203125" bestFit="1" customWidth="1"/>
    <col min="7" max="7" width="23.6640625" bestFit="1" customWidth="1"/>
    <col min="8" max="8" width="23.33203125" bestFit="1" customWidth="1"/>
    <col min="9" max="9" width="18.33203125" bestFit="1" customWidth="1"/>
    <col min="10" max="10" width="23.6640625" bestFit="1" customWidth="1"/>
    <col min="11" max="11" width="23.33203125" bestFit="1" customWidth="1"/>
    <col min="12" max="12" width="11.6640625" bestFit="1" customWidth="1"/>
    <col min="13" max="14" width="15.109375" bestFit="1" customWidth="1"/>
    <col min="15" max="15" width="28.33203125" bestFit="1" customWidth="1"/>
    <col min="16" max="16" width="16.33203125" bestFit="1" customWidth="1"/>
    <col min="17" max="17" width="12.6640625" bestFit="1" customWidth="1"/>
    <col min="18" max="18" width="23.88671875" bestFit="1" customWidth="1"/>
    <col min="19" max="19" width="31.5546875" bestFit="1" customWidth="1"/>
    <col min="20" max="20" width="33" bestFit="1" customWidth="1"/>
    <col min="21" max="21" width="33.44140625" bestFit="1" customWidth="1"/>
    <col min="22" max="22" width="20.33203125" bestFit="1" customWidth="1"/>
    <col min="23" max="23" width="13" bestFit="1" customWidth="1"/>
    <col min="24" max="24" width="18.6640625" bestFit="1" customWidth="1"/>
    <col min="25" max="25" width="11.6640625" bestFit="1" customWidth="1"/>
    <col min="26" max="27" width="21.5546875" bestFit="1" customWidth="1"/>
    <col min="28" max="28" width="19" bestFit="1" customWidth="1"/>
    <col min="29" max="29" width="10.5546875" bestFit="1" customWidth="1"/>
    <col min="30" max="30" width="21" bestFit="1" customWidth="1"/>
    <col min="31" max="31" width="26.88671875" bestFit="1" customWidth="1"/>
    <col min="32" max="32" width="26.6640625" bestFit="1" customWidth="1"/>
    <col min="33" max="33" width="18.5546875" bestFit="1" customWidth="1"/>
    <col min="34" max="34" width="19.109375" bestFit="1" customWidth="1"/>
    <col min="35" max="35" width="8.33203125" bestFit="1" customWidth="1"/>
    <col min="36" max="36" width="19.6640625" bestFit="1" customWidth="1"/>
    <col min="37" max="37" width="21.109375" bestFit="1" customWidth="1"/>
    <col min="38" max="38" width="18.33203125" bestFit="1" customWidth="1"/>
    <col min="39" max="39" width="19.6640625" bestFit="1" customWidth="1"/>
    <col min="40" max="40" width="22.33203125" bestFit="1" customWidth="1"/>
    <col min="41" max="41" width="16.33203125" bestFit="1" customWidth="1"/>
    <col min="42" max="42" width="10" bestFit="1" customWidth="1"/>
    <col min="43" max="43" width="16" bestFit="1" customWidth="1"/>
    <col min="44" max="44" width="14" bestFit="1" customWidth="1"/>
    <col min="45" max="45" width="15.6640625" bestFit="1" customWidth="1"/>
    <col min="46" max="46" width="15.109375" bestFit="1" customWidth="1"/>
    <col min="47" max="47" width="15.88671875" bestFit="1" customWidth="1"/>
    <col min="48" max="48" width="9.6640625" bestFit="1" customWidth="1"/>
    <col min="49" max="49" width="15.33203125" bestFit="1" customWidth="1"/>
    <col min="50" max="50" width="13.6640625" bestFit="1" customWidth="1"/>
    <col min="51" max="51" width="15.109375" bestFit="1" customWidth="1"/>
    <col min="52" max="52" width="7.109375" bestFit="1" customWidth="1"/>
  </cols>
  <sheetData>
    <row r="1" spans="1:45" x14ac:dyDescent="0.3">
      <c r="A1" t="s">
        <v>3</v>
      </c>
      <c r="B1" t="s">
        <v>13</v>
      </c>
      <c r="C1" t="s">
        <v>19</v>
      </c>
      <c r="D1" t="s">
        <v>27</v>
      </c>
      <c r="E1" t="s">
        <v>30</v>
      </c>
      <c r="F1" t="s">
        <v>33</v>
      </c>
      <c r="G1" t="s">
        <v>36</v>
      </c>
      <c r="H1" t="s">
        <v>39</v>
      </c>
      <c r="I1" t="s">
        <v>41</v>
      </c>
      <c r="J1" t="s">
        <v>43</v>
      </c>
      <c r="K1" t="s">
        <v>45</v>
      </c>
      <c r="L1" t="s">
        <v>47</v>
      </c>
      <c r="M1" t="s">
        <v>49</v>
      </c>
      <c r="N1" t="s">
        <v>65</v>
      </c>
      <c r="O1" t="s">
        <v>52</v>
      </c>
      <c r="P1" t="s">
        <v>53</v>
      </c>
      <c r="Q1" t="s">
        <v>54</v>
      </c>
      <c r="R1" t="s">
        <v>55</v>
      </c>
      <c r="S1" t="s">
        <v>11</v>
      </c>
      <c r="T1" t="s">
        <v>17</v>
      </c>
      <c r="U1" t="s">
        <v>22</v>
      </c>
      <c r="V1" t="s">
        <v>9</v>
      </c>
      <c r="W1" t="s">
        <v>16</v>
      </c>
      <c r="X1" t="s">
        <v>21</v>
      </c>
      <c r="Y1" t="s">
        <v>26</v>
      </c>
      <c r="Z1" t="s">
        <v>29</v>
      </c>
      <c r="AA1" t="s">
        <v>32</v>
      </c>
      <c r="AB1" t="s">
        <v>35</v>
      </c>
      <c r="AC1" t="s">
        <v>38</v>
      </c>
      <c r="AD1" t="s">
        <v>40</v>
      </c>
      <c r="AE1" t="s">
        <v>42</v>
      </c>
      <c r="AF1" t="s">
        <v>44</v>
      </c>
      <c r="AG1" t="s">
        <v>46</v>
      </c>
      <c r="AH1" t="s">
        <v>48</v>
      </c>
      <c r="AI1" t="s">
        <v>50</v>
      </c>
      <c r="AJ1" t="s">
        <v>7</v>
      </c>
      <c r="AK1" t="s">
        <v>15</v>
      </c>
      <c r="AL1" t="s">
        <v>5</v>
      </c>
      <c r="AM1" t="s">
        <v>14</v>
      </c>
      <c r="AN1" t="s">
        <v>20</v>
      </c>
      <c r="AO1" t="s">
        <v>25</v>
      </c>
      <c r="AP1" t="s">
        <v>28</v>
      </c>
      <c r="AQ1" t="s">
        <v>31</v>
      </c>
      <c r="AR1" t="s">
        <v>34</v>
      </c>
      <c r="AS1" t="s">
        <v>37</v>
      </c>
    </row>
    <row r="2" spans="1:45" x14ac:dyDescent="0.3">
      <c r="A2" t="s">
        <v>70</v>
      </c>
      <c r="B2" t="s">
        <v>380</v>
      </c>
      <c r="C2" t="s">
        <v>537</v>
      </c>
      <c r="D2">
        <v>10000</v>
      </c>
      <c r="E2" t="s">
        <v>538</v>
      </c>
      <c r="F2">
        <v>2736357</v>
      </c>
      <c r="G2">
        <v>2736357</v>
      </c>
      <c r="H2">
        <v>0</v>
      </c>
      <c r="I2">
        <v>2793821</v>
      </c>
      <c r="J2">
        <v>2793821</v>
      </c>
      <c r="K2">
        <v>0</v>
      </c>
      <c r="L2" t="s">
        <v>539</v>
      </c>
      <c r="M2" t="s">
        <v>539</v>
      </c>
      <c r="O2" t="s">
        <v>540</v>
      </c>
      <c r="P2" t="s">
        <v>492</v>
      </c>
      <c r="Q2" t="s">
        <v>98</v>
      </c>
      <c r="R2">
        <v>1545.702171438001</v>
      </c>
      <c r="AJ2">
        <v>0.2</v>
      </c>
      <c r="AK2">
        <v>2000</v>
      </c>
      <c r="AL2">
        <v>0.2</v>
      </c>
      <c r="AM2">
        <v>2000</v>
      </c>
      <c r="AR2" t="s">
        <v>88</v>
      </c>
    </row>
    <row r="3" spans="1:45" x14ac:dyDescent="0.3">
      <c r="A3" t="s">
        <v>70</v>
      </c>
      <c r="B3" t="s">
        <v>380</v>
      </c>
      <c r="C3" t="s">
        <v>541</v>
      </c>
      <c r="D3">
        <v>10000</v>
      </c>
      <c r="E3" t="s">
        <v>538</v>
      </c>
      <c r="F3">
        <v>2736357</v>
      </c>
      <c r="G3">
        <v>2736357</v>
      </c>
      <c r="H3">
        <v>0</v>
      </c>
      <c r="I3">
        <v>2793821</v>
      </c>
      <c r="J3">
        <v>2793821</v>
      </c>
      <c r="K3">
        <v>0</v>
      </c>
      <c r="L3" t="s">
        <v>542</v>
      </c>
      <c r="M3" t="s">
        <v>542</v>
      </c>
      <c r="O3" t="s">
        <v>540</v>
      </c>
      <c r="P3" t="s">
        <v>492</v>
      </c>
      <c r="Q3" t="s">
        <v>98</v>
      </c>
      <c r="R3">
        <v>1545.702171438001</v>
      </c>
      <c r="AJ3">
        <v>0.2</v>
      </c>
      <c r="AK3">
        <v>2000</v>
      </c>
      <c r="AL3">
        <v>0.2</v>
      </c>
      <c r="AM3">
        <v>2000</v>
      </c>
      <c r="AR3" t="s">
        <v>88</v>
      </c>
    </row>
    <row r="4" spans="1:45" x14ac:dyDescent="0.3">
      <c r="A4" t="s">
        <v>543</v>
      </c>
      <c r="B4" t="s">
        <v>380</v>
      </c>
      <c r="C4" t="s">
        <v>544</v>
      </c>
      <c r="D4">
        <v>13400</v>
      </c>
      <c r="E4" t="s">
        <v>538</v>
      </c>
    </row>
    <row r="5" spans="1:45" x14ac:dyDescent="0.3">
      <c r="A5" t="s">
        <v>543</v>
      </c>
      <c r="B5" t="s">
        <v>380</v>
      </c>
      <c r="C5" t="s">
        <v>545</v>
      </c>
      <c r="D5">
        <v>13437.5</v>
      </c>
      <c r="E5" t="s">
        <v>538</v>
      </c>
      <c r="M5" t="s">
        <v>546</v>
      </c>
    </row>
    <row r="6" spans="1:45" x14ac:dyDescent="0.3">
      <c r="A6" t="s">
        <v>543</v>
      </c>
      <c r="B6" t="s">
        <v>380</v>
      </c>
      <c r="C6" t="s">
        <v>547</v>
      </c>
      <c r="D6">
        <v>5158</v>
      </c>
      <c r="E6" t="s">
        <v>538</v>
      </c>
      <c r="M6" t="s">
        <v>548</v>
      </c>
    </row>
    <row r="7" spans="1:45" x14ac:dyDescent="0.3">
      <c r="A7" t="s">
        <v>543</v>
      </c>
      <c r="B7" t="s">
        <v>380</v>
      </c>
      <c r="C7" t="s">
        <v>549</v>
      </c>
      <c r="D7">
        <v>6172</v>
      </c>
      <c r="E7" t="s">
        <v>538</v>
      </c>
      <c r="M7" t="s">
        <v>550</v>
      </c>
    </row>
    <row r="8" spans="1:45" x14ac:dyDescent="0.3">
      <c r="A8" t="s">
        <v>543</v>
      </c>
      <c r="B8" t="s">
        <v>380</v>
      </c>
      <c r="C8" t="s">
        <v>551</v>
      </c>
      <c r="D8">
        <v>5964</v>
      </c>
      <c r="E8" t="s">
        <v>538</v>
      </c>
      <c r="M8" t="s">
        <v>550</v>
      </c>
    </row>
    <row r="9" spans="1:45" x14ac:dyDescent="0.3">
      <c r="A9" t="s">
        <v>543</v>
      </c>
      <c r="B9" t="s">
        <v>380</v>
      </c>
      <c r="C9" t="s">
        <v>552</v>
      </c>
      <c r="D9">
        <v>7245</v>
      </c>
      <c r="E9" t="s">
        <v>538</v>
      </c>
      <c r="M9" t="s">
        <v>548</v>
      </c>
    </row>
    <row r="10" spans="1:45" x14ac:dyDescent="0.3">
      <c r="A10" t="s">
        <v>543</v>
      </c>
      <c r="B10" t="s">
        <v>380</v>
      </c>
      <c r="C10" t="s">
        <v>553</v>
      </c>
      <c r="D10">
        <v>5084</v>
      </c>
      <c r="E10" t="s">
        <v>538</v>
      </c>
      <c r="M10" t="s">
        <v>548</v>
      </c>
    </row>
    <row r="11" spans="1:45" x14ac:dyDescent="0.3">
      <c r="A11" t="s">
        <v>543</v>
      </c>
      <c r="B11" t="s">
        <v>380</v>
      </c>
      <c r="C11" t="s">
        <v>554</v>
      </c>
      <c r="D11">
        <v>5066</v>
      </c>
      <c r="E11" t="s">
        <v>538</v>
      </c>
      <c r="M11" t="s">
        <v>548</v>
      </c>
    </row>
    <row r="12" spans="1:45" x14ac:dyDescent="0.3">
      <c r="A12" t="s">
        <v>543</v>
      </c>
      <c r="B12" t="s">
        <v>380</v>
      </c>
      <c r="C12" t="s">
        <v>555</v>
      </c>
      <c r="D12">
        <v>5145</v>
      </c>
      <c r="E12" t="s">
        <v>538</v>
      </c>
      <c r="M12" t="s">
        <v>548</v>
      </c>
    </row>
    <row r="13" spans="1:45" x14ac:dyDescent="0.3">
      <c r="A13" t="s">
        <v>543</v>
      </c>
      <c r="B13" t="s">
        <v>380</v>
      </c>
      <c r="C13" t="s">
        <v>556</v>
      </c>
      <c r="D13">
        <v>5080</v>
      </c>
      <c r="E13" t="s">
        <v>538</v>
      </c>
      <c r="M13" t="s">
        <v>548</v>
      </c>
    </row>
    <row r="14" spans="1:45" x14ac:dyDescent="0.3">
      <c r="A14" t="s">
        <v>543</v>
      </c>
      <c r="B14" t="s">
        <v>380</v>
      </c>
      <c r="C14" t="s">
        <v>557</v>
      </c>
      <c r="D14">
        <v>5098</v>
      </c>
      <c r="E14" t="s">
        <v>538</v>
      </c>
      <c r="M14" t="s">
        <v>548</v>
      </c>
    </row>
    <row r="15" spans="1:45" x14ac:dyDescent="0.3">
      <c r="A15" t="s">
        <v>543</v>
      </c>
      <c r="B15" t="s">
        <v>380</v>
      </c>
      <c r="C15" t="s">
        <v>558</v>
      </c>
      <c r="D15">
        <v>5065</v>
      </c>
      <c r="E15" t="s">
        <v>538</v>
      </c>
      <c r="M15" t="s">
        <v>548</v>
      </c>
    </row>
    <row r="16" spans="1:45" x14ac:dyDescent="0.3">
      <c r="A16" t="s">
        <v>543</v>
      </c>
      <c r="B16" t="s">
        <v>380</v>
      </c>
      <c r="C16" t="s">
        <v>559</v>
      </c>
      <c r="D16">
        <v>5063</v>
      </c>
      <c r="E16" t="s">
        <v>538</v>
      </c>
      <c r="M16" t="s">
        <v>548</v>
      </c>
    </row>
    <row r="17" spans="1:13" x14ac:dyDescent="0.3">
      <c r="A17" t="s">
        <v>543</v>
      </c>
      <c r="B17" t="s">
        <v>380</v>
      </c>
      <c r="C17" t="s">
        <v>560</v>
      </c>
      <c r="D17">
        <v>5087</v>
      </c>
      <c r="E17" t="s">
        <v>538</v>
      </c>
      <c r="M17" t="s">
        <v>548</v>
      </c>
    </row>
    <row r="18" spans="1:13" x14ac:dyDescent="0.3">
      <c r="A18" t="s">
        <v>543</v>
      </c>
      <c r="B18" t="s">
        <v>380</v>
      </c>
      <c r="C18" t="s">
        <v>561</v>
      </c>
      <c r="D18">
        <v>5126</v>
      </c>
      <c r="E18" t="s">
        <v>538</v>
      </c>
      <c r="M18" t="s">
        <v>548</v>
      </c>
    </row>
    <row r="19" spans="1:13" x14ac:dyDescent="0.3">
      <c r="A19" t="s">
        <v>543</v>
      </c>
      <c r="B19" t="s">
        <v>380</v>
      </c>
      <c r="C19" t="s">
        <v>562</v>
      </c>
      <c r="D19">
        <v>5069</v>
      </c>
      <c r="E19" t="s">
        <v>538</v>
      </c>
      <c r="M19" t="s">
        <v>548</v>
      </c>
    </row>
    <row r="20" spans="1:13" x14ac:dyDescent="0.3">
      <c r="A20" t="s">
        <v>543</v>
      </c>
      <c r="B20" t="s">
        <v>380</v>
      </c>
      <c r="C20" t="s">
        <v>563</v>
      </c>
      <c r="D20">
        <v>5053</v>
      </c>
      <c r="E20" t="s">
        <v>538</v>
      </c>
      <c r="M20" t="s">
        <v>548</v>
      </c>
    </row>
    <row r="21" spans="1:13" x14ac:dyDescent="0.3">
      <c r="A21" t="s">
        <v>543</v>
      </c>
      <c r="B21" t="s">
        <v>380</v>
      </c>
      <c r="C21" t="s">
        <v>564</v>
      </c>
      <c r="D21">
        <v>5008</v>
      </c>
      <c r="E21" t="s">
        <v>538</v>
      </c>
      <c r="M21" t="s">
        <v>548</v>
      </c>
    </row>
    <row r="22" spans="1:13" x14ac:dyDescent="0.3">
      <c r="A22" t="s">
        <v>543</v>
      </c>
      <c r="B22" t="s">
        <v>380</v>
      </c>
      <c r="C22" t="s">
        <v>565</v>
      </c>
      <c r="D22">
        <v>5063</v>
      </c>
      <c r="E22" t="s">
        <v>538</v>
      </c>
      <c r="M22" t="s">
        <v>548</v>
      </c>
    </row>
    <row r="23" spans="1:13" x14ac:dyDescent="0.3">
      <c r="A23" t="s">
        <v>543</v>
      </c>
      <c r="B23" t="s">
        <v>380</v>
      </c>
      <c r="C23" t="s">
        <v>566</v>
      </c>
      <c r="D23">
        <v>5046</v>
      </c>
      <c r="E23" t="s">
        <v>538</v>
      </c>
      <c r="M23" t="s">
        <v>548</v>
      </c>
    </row>
    <row r="24" spans="1:13" x14ac:dyDescent="0.3">
      <c r="A24" t="s">
        <v>543</v>
      </c>
      <c r="B24" t="s">
        <v>380</v>
      </c>
      <c r="C24" t="s">
        <v>567</v>
      </c>
      <c r="D24">
        <v>5088</v>
      </c>
      <c r="E24" t="s">
        <v>538</v>
      </c>
      <c r="M24" t="s">
        <v>548</v>
      </c>
    </row>
    <row r="25" spans="1:13" x14ac:dyDescent="0.3">
      <c r="A25" t="s">
        <v>543</v>
      </c>
      <c r="B25" t="s">
        <v>380</v>
      </c>
      <c r="C25" t="s">
        <v>568</v>
      </c>
      <c r="D25">
        <v>5164</v>
      </c>
      <c r="E25" t="s">
        <v>538</v>
      </c>
      <c r="M25" t="s">
        <v>548</v>
      </c>
    </row>
    <row r="26" spans="1:13" x14ac:dyDescent="0.3">
      <c r="A26" t="s">
        <v>543</v>
      </c>
      <c r="B26" t="s">
        <v>380</v>
      </c>
      <c r="C26" t="s">
        <v>569</v>
      </c>
      <c r="D26">
        <v>5143</v>
      </c>
      <c r="E26" t="s">
        <v>538</v>
      </c>
      <c r="M26" t="s">
        <v>548</v>
      </c>
    </row>
    <row r="27" spans="1:13" x14ac:dyDescent="0.3">
      <c r="A27" t="s">
        <v>543</v>
      </c>
      <c r="B27" t="s">
        <v>380</v>
      </c>
      <c r="C27" t="s">
        <v>570</v>
      </c>
      <c r="D27">
        <v>5057</v>
      </c>
      <c r="E27" t="s">
        <v>538</v>
      </c>
      <c r="M27" t="s">
        <v>548</v>
      </c>
    </row>
    <row r="28" spans="1:13" x14ac:dyDescent="0.3">
      <c r="A28" t="s">
        <v>543</v>
      </c>
      <c r="B28" t="s">
        <v>380</v>
      </c>
      <c r="C28" t="s">
        <v>571</v>
      </c>
      <c r="D28">
        <v>5102</v>
      </c>
      <c r="E28" t="s">
        <v>538</v>
      </c>
      <c r="M28" t="s">
        <v>548</v>
      </c>
    </row>
    <row r="29" spans="1:13" x14ac:dyDescent="0.3">
      <c r="A29" t="s">
        <v>543</v>
      </c>
      <c r="B29" t="s">
        <v>380</v>
      </c>
      <c r="C29" t="s">
        <v>572</v>
      </c>
      <c r="D29">
        <v>5076</v>
      </c>
      <c r="E29" t="s">
        <v>538</v>
      </c>
      <c r="M29" t="s">
        <v>548</v>
      </c>
    </row>
    <row r="30" spans="1:13" x14ac:dyDescent="0.3">
      <c r="A30" t="s">
        <v>543</v>
      </c>
      <c r="B30" t="s">
        <v>380</v>
      </c>
      <c r="C30" t="s">
        <v>573</v>
      </c>
      <c r="D30">
        <v>5050</v>
      </c>
      <c r="E30" t="s">
        <v>538</v>
      </c>
      <c r="M30" t="s">
        <v>548</v>
      </c>
    </row>
    <row r="31" spans="1:13" x14ac:dyDescent="0.3">
      <c r="A31" t="s">
        <v>543</v>
      </c>
      <c r="B31" t="s">
        <v>380</v>
      </c>
      <c r="C31" t="s">
        <v>574</v>
      </c>
      <c r="D31">
        <v>5081</v>
      </c>
      <c r="E31" t="s">
        <v>538</v>
      </c>
      <c r="M31" t="s">
        <v>548</v>
      </c>
    </row>
    <row r="32" spans="1:13" x14ac:dyDescent="0.3">
      <c r="A32" t="s">
        <v>543</v>
      </c>
      <c r="B32" t="s">
        <v>380</v>
      </c>
      <c r="C32" t="s">
        <v>575</v>
      </c>
      <c r="D32">
        <v>5058</v>
      </c>
      <c r="E32" t="s">
        <v>538</v>
      </c>
      <c r="M32" t="s">
        <v>548</v>
      </c>
    </row>
    <row r="33" spans="1:13" x14ac:dyDescent="0.3">
      <c r="A33" t="s">
        <v>543</v>
      </c>
      <c r="B33" t="s">
        <v>380</v>
      </c>
      <c r="C33" t="s">
        <v>576</v>
      </c>
      <c r="D33">
        <v>5043</v>
      </c>
      <c r="E33" t="s">
        <v>538</v>
      </c>
      <c r="M33" t="s">
        <v>548</v>
      </c>
    </row>
    <row r="34" spans="1:13" x14ac:dyDescent="0.3">
      <c r="A34" t="s">
        <v>543</v>
      </c>
      <c r="B34" t="s">
        <v>380</v>
      </c>
      <c r="C34" t="s">
        <v>577</v>
      </c>
      <c r="D34">
        <v>5030</v>
      </c>
      <c r="E34" t="s">
        <v>538</v>
      </c>
      <c r="M34" t="s">
        <v>548</v>
      </c>
    </row>
    <row r="35" spans="1:13" x14ac:dyDescent="0.3">
      <c r="A35" t="s">
        <v>543</v>
      </c>
      <c r="B35" t="s">
        <v>380</v>
      </c>
      <c r="C35" t="s">
        <v>578</v>
      </c>
      <c r="D35">
        <v>5058</v>
      </c>
      <c r="E35" t="s">
        <v>538</v>
      </c>
      <c r="M35" t="s">
        <v>548</v>
      </c>
    </row>
    <row r="36" spans="1:13" x14ac:dyDescent="0.3">
      <c r="A36" t="s">
        <v>543</v>
      </c>
      <c r="B36" t="s">
        <v>380</v>
      </c>
      <c r="C36" t="s">
        <v>579</v>
      </c>
      <c r="D36">
        <v>5075</v>
      </c>
      <c r="E36" t="s">
        <v>538</v>
      </c>
      <c r="M36" t="s">
        <v>548</v>
      </c>
    </row>
    <row r="37" spans="1:13" x14ac:dyDescent="0.3">
      <c r="A37" t="s">
        <v>543</v>
      </c>
      <c r="B37" t="s">
        <v>380</v>
      </c>
      <c r="C37" t="s">
        <v>580</v>
      </c>
      <c r="D37">
        <v>5130</v>
      </c>
      <c r="E37" t="s">
        <v>538</v>
      </c>
      <c r="M37" t="s">
        <v>548</v>
      </c>
    </row>
    <row r="38" spans="1:13" x14ac:dyDescent="0.3">
      <c r="A38" t="s">
        <v>543</v>
      </c>
      <c r="B38" t="s">
        <v>380</v>
      </c>
      <c r="C38" t="s">
        <v>581</v>
      </c>
      <c r="D38">
        <v>5058</v>
      </c>
      <c r="E38" t="s">
        <v>538</v>
      </c>
      <c r="M38" t="s">
        <v>548</v>
      </c>
    </row>
    <row r="39" spans="1:13" x14ac:dyDescent="0.3">
      <c r="A39" t="s">
        <v>543</v>
      </c>
      <c r="B39" t="s">
        <v>380</v>
      </c>
      <c r="C39" t="s">
        <v>582</v>
      </c>
      <c r="D39">
        <v>5026</v>
      </c>
      <c r="E39" t="s">
        <v>538</v>
      </c>
      <c r="M39" t="s">
        <v>548</v>
      </c>
    </row>
    <row r="40" spans="1:13" x14ac:dyDescent="0.3">
      <c r="A40" t="s">
        <v>543</v>
      </c>
      <c r="B40" t="s">
        <v>380</v>
      </c>
      <c r="C40" t="s">
        <v>583</v>
      </c>
      <c r="D40">
        <v>5031</v>
      </c>
      <c r="E40" t="s">
        <v>538</v>
      </c>
      <c r="M40" t="s">
        <v>548</v>
      </c>
    </row>
    <row r="41" spans="1:13" x14ac:dyDescent="0.3">
      <c r="A41" t="s">
        <v>543</v>
      </c>
      <c r="B41" t="s">
        <v>380</v>
      </c>
      <c r="C41" t="s">
        <v>584</v>
      </c>
      <c r="D41">
        <v>5058</v>
      </c>
      <c r="E41" t="s">
        <v>538</v>
      </c>
      <c r="M41" t="s">
        <v>548</v>
      </c>
    </row>
    <row r="42" spans="1:13" x14ac:dyDescent="0.3">
      <c r="A42" t="s">
        <v>543</v>
      </c>
      <c r="B42" t="s">
        <v>380</v>
      </c>
      <c r="C42" t="s">
        <v>585</v>
      </c>
      <c r="D42">
        <v>5092</v>
      </c>
      <c r="E42" t="s">
        <v>538</v>
      </c>
      <c r="M42" t="s">
        <v>548</v>
      </c>
    </row>
    <row r="43" spans="1:13" x14ac:dyDescent="0.3">
      <c r="A43" t="s">
        <v>543</v>
      </c>
      <c r="B43" t="s">
        <v>380</v>
      </c>
      <c r="C43" t="s">
        <v>586</v>
      </c>
      <c r="D43">
        <v>5043</v>
      </c>
      <c r="E43" t="s">
        <v>538</v>
      </c>
      <c r="M43" t="s">
        <v>548</v>
      </c>
    </row>
    <row r="44" spans="1:13" x14ac:dyDescent="0.3">
      <c r="A44" t="s">
        <v>543</v>
      </c>
      <c r="B44" t="s">
        <v>380</v>
      </c>
      <c r="C44" t="s">
        <v>587</v>
      </c>
      <c r="D44">
        <v>5058</v>
      </c>
      <c r="E44" t="s">
        <v>538</v>
      </c>
      <c r="M44" t="s">
        <v>548</v>
      </c>
    </row>
    <row r="45" spans="1:13" x14ac:dyDescent="0.3">
      <c r="A45" t="s">
        <v>543</v>
      </c>
      <c r="B45" t="s">
        <v>380</v>
      </c>
      <c r="C45" t="s">
        <v>588</v>
      </c>
      <c r="D45">
        <v>5098</v>
      </c>
      <c r="E45" t="s">
        <v>538</v>
      </c>
      <c r="M45" t="s">
        <v>548</v>
      </c>
    </row>
    <row r="46" spans="1:13" x14ac:dyDescent="0.3">
      <c r="A46" t="s">
        <v>543</v>
      </c>
      <c r="B46" t="s">
        <v>380</v>
      </c>
      <c r="C46" t="s">
        <v>589</v>
      </c>
      <c r="D46">
        <v>5068</v>
      </c>
      <c r="E46" t="s">
        <v>538</v>
      </c>
      <c r="M46" t="s">
        <v>548</v>
      </c>
    </row>
    <row r="47" spans="1:13" x14ac:dyDescent="0.3">
      <c r="A47" t="s">
        <v>543</v>
      </c>
      <c r="B47" t="s">
        <v>380</v>
      </c>
      <c r="C47" t="s">
        <v>590</v>
      </c>
      <c r="D47">
        <v>5119</v>
      </c>
      <c r="E47" t="s">
        <v>538</v>
      </c>
      <c r="M47" t="s">
        <v>548</v>
      </c>
    </row>
    <row r="48" spans="1:13" x14ac:dyDescent="0.3">
      <c r="A48" t="s">
        <v>543</v>
      </c>
      <c r="B48" t="s">
        <v>380</v>
      </c>
      <c r="C48" t="s">
        <v>591</v>
      </c>
      <c r="D48">
        <v>5142</v>
      </c>
      <c r="E48" t="s">
        <v>538</v>
      </c>
      <c r="M48" t="s">
        <v>548</v>
      </c>
    </row>
    <row r="49" spans="1:13" x14ac:dyDescent="0.3">
      <c r="A49" t="s">
        <v>543</v>
      </c>
      <c r="B49" t="s">
        <v>380</v>
      </c>
      <c r="C49" t="s">
        <v>592</v>
      </c>
      <c r="D49">
        <v>5005</v>
      </c>
      <c r="E49" t="s">
        <v>538</v>
      </c>
      <c r="M49" t="s">
        <v>548</v>
      </c>
    </row>
    <row r="50" spans="1:13" x14ac:dyDescent="0.3">
      <c r="A50" t="s">
        <v>543</v>
      </c>
      <c r="B50" t="s">
        <v>380</v>
      </c>
      <c r="C50" t="s">
        <v>593</v>
      </c>
      <c r="D50">
        <v>5058</v>
      </c>
      <c r="E50" t="s">
        <v>538</v>
      </c>
      <c r="M50" t="s">
        <v>548</v>
      </c>
    </row>
    <row r="51" spans="1:13" x14ac:dyDescent="0.3">
      <c r="A51" t="s">
        <v>543</v>
      </c>
      <c r="B51" t="s">
        <v>380</v>
      </c>
      <c r="C51" t="s">
        <v>594</v>
      </c>
      <c r="D51">
        <v>5074</v>
      </c>
      <c r="E51" t="s">
        <v>538</v>
      </c>
      <c r="M51" t="s">
        <v>548</v>
      </c>
    </row>
    <row r="52" spans="1:13" x14ac:dyDescent="0.3">
      <c r="A52" t="s">
        <v>543</v>
      </c>
      <c r="B52" t="s">
        <v>380</v>
      </c>
      <c r="C52" t="s">
        <v>595</v>
      </c>
      <c r="D52">
        <v>5041</v>
      </c>
      <c r="E52" t="s">
        <v>538</v>
      </c>
      <c r="M52" t="s">
        <v>548</v>
      </c>
    </row>
    <row r="53" spans="1:13" x14ac:dyDescent="0.3">
      <c r="A53" t="s">
        <v>543</v>
      </c>
      <c r="B53" t="s">
        <v>380</v>
      </c>
      <c r="C53" t="s">
        <v>596</v>
      </c>
      <c r="D53">
        <v>5107</v>
      </c>
      <c r="E53" t="s">
        <v>538</v>
      </c>
      <c r="M53" t="s">
        <v>548</v>
      </c>
    </row>
    <row r="54" spans="1:13" x14ac:dyDescent="0.3">
      <c r="A54" t="s">
        <v>543</v>
      </c>
      <c r="B54" t="s">
        <v>380</v>
      </c>
      <c r="C54" t="s">
        <v>597</v>
      </c>
      <c r="D54">
        <v>5010</v>
      </c>
      <c r="E54" t="s">
        <v>538</v>
      </c>
      <c r="M54" t="s">
        <v>548</v>
      </c>
    </row>
    <row r="55" spans="1:13" x14ac:dyDescent="0.3">
      <c r="A55" t="s">
        <v>543</v>
      </c>
      <c r="B55" t="s">
        <v>380</v>
      </c>
      <c r="C55" t="s">
        <v>598</v>
      </c>
      <c r="D55">
        <v>5007</v>
      </c>
      <c r="E55" t="s">
        <v>538</v>
      </c>
      <c r="M55" t="s">
        <v>548</v>
      </c>
    </row>
    <row r="56" spans="1:13" x14ac:dyDescent="0.3">
      <c r="A56" t="s">
        <v>543</v>
      </c>
      <c r="B56" t="s">
        <v>380</v>
      </c>
      <c r="C56" t="s">
        <v>599</v>
      </c>
      <c r="D56">
        <v>5074</v>
      </c>
      <c r="E56" t="s">
        <v>538</v>
      </c>
      <c r="M56" t="s">
        <v>548</v>
      </c>
    </row>
    <row r="57" spans="1:13" x14ac:dyDescent="0.3">
      <c r="A57" t="s">
        <v>543</v>
      </c>
      <c r="B57" t="s">
        <v>380</v>
      </c>
      <c r="C57" t="s">
        <v>600</v>
      </c>
      <c r="D57">
        <v>5026</v>
      </c>
      <c r="E57" t="s">
        <v>538</v>
      </c>
      <c r="M57" t="s">
        <v>548</v>
      </c>
    </row>
    <row r="58" spans="1:13" x14ac:dyDescent="0.3">
      <c r="A58" t="s">
        <v>543</v>
      </c>
      <c r="B58" t="s">
        <v>380</v>
      </c>
      <c r="C58" t="s">
        <v>601</v>
      </c>
      <c r="D58">
        <v>5030</v>
      </c>
      <c r="E58" t="s">
        <v>538</v>
      </c>
      <c r="M58" t="s">
        <v>548</v>
      </c>
    </row>
    <row r="59" spans="1:13" x14ac:dyDescent="0.3">
      <c r="A59" t="s">
        <v>543</v>
      </c>
      <c r="B59" t="s">
        <v>380</v>
      </c>
      <c r="C59" t="s">
        <v>602</v>
      </c>
      <c r="D59">
        <v>5082</v>
      </c>
      <c r="E59" t="s">
        <v>538</v>
      </c>
      <c r="M59" t="s">
        <v>548</v>
      </c>
    </row>
    <row r="60" spans="1:13" x14ac:dyDescent="0.3">
      <c r="A60" t="s">
        <v>543</v>
      </c>
      <c r="B60" t="s">
        <v>380</v>
      </c>
      <c r="C60" t="s">
        <v>603</v>
      </c>
      <c r="D60">
        <v>5022</v>
      </c>
      <c r="E60" t="s">
        <v>538</v>
      </c>
      <c r="M60" t="s">
        <v>548</v>
      </c>
    </row>
    <row r="61" spans="1:13" x14ac:dyDescent="0.3">
      <c r="A61" t="s">
        <v>543</v>
      </c>
      <c r="B61" t="s">
        <v>380</v>
      </c>
      <c r="C61" t="s">
        <v>604</v>
      </c>
      <c r="D61">
        <v>5075</v>
      </c>
      <c r="E61" t="s">
        <v>538</v>
      </c>
      <c r="M61" t="s">
        <v>548</v>
      </c>
    </row>
    <row r="62" spans="1:13" x14ac:dyDescent="0.3">
      <c r="A62" t="s">
        <v>543</v>
      </c>
      <c r="B62" t="s">
        <v>380</v>
      </c>
      <c r="C62" t="s">
        <v>605</v>
      </c>
      <c r="D62">
        <v>5082</v>
      </c>
      <c r="E62" t="s">
        <v>538</v>
      </c>
      <c r="M62" t="s">
        <v>548</v>
      </c>
    </row>
    <row r="63" spans="1:13" x14ac:dyDescent="0.3">
      <c r="A63" t="s">
        <v>543</v>
      </c>
      <c r="B63" t="s">
        <v>380</v>
      </c>
      <c r="C63" t="s">
        <v>606</v>
      </c>
      <c r="D63">
        <v>5030</v>
      </c>
      <c r="E63" t="s">
        <v>538</v>
      </c>
      <c r="M63" t="s">
        <v>548</v>
      </c>
    </row>
    <row r="64" spans="1:13" x14ac:dyDescent="0.3">
      <c r="A64" t="s">
        <v>543</v>
      </c>
      <c r="B64" t="s">
        <v>380</v>
      </c>
      <c r="C64" t="s">
        <v>607</v>
      </c>
      <c r="D64">
        <v>5074</v>
      </c>
      <c r="E64" t="s">
        <v>538</v>
      </c>
      <c r="M64" t="s">
        <v>548</v>
      </c>
    </row>
    <row r="65" spans="1:13" x14ac:dyDescent="0.3">
      <c r="A65" t="s">
        <v>543</v>
      </c>
      <c r="B65" t="s">
        <v>380</v>
      </c>
      <c r="C65" t="s">
        <v>608</v>
      </c>
      <c r="D65">
        <v>5052</v>
      </c>
      <c r="E65" t="s">
        <v>538</v>
      </c>
      <c r="M65" t="s">
        <v>548</v>
      </c>
    </row>
    <row r="66" spans="1:13" x14ac:dyDescent="0.3">
      <c r="A66" t="s">
        <v>543</v>
      </c>
      <c r="B66" t="s">
        <v>380</v>
      </c>
      <c r="C66" t="s">
        <v>609</v>
      </c>
      <c r="D66">
        <v>5040</v>
      </c>
      <c r="E66" t="s">
        <v>538</v>
      </c>
      <c r="M66" t="s">
        <v>548</v>
      </c>
    </row>
    <row r="67" spans="1:13" x14ac:dyDescent="0.3">
      <c r="A67" t="s">
        <v>543</v>
      </c>
      <c r="B67" t="s">
        <v>380</v>
      </c>
      <c r="C67" t="s">
        <v>610</v>
      </c>
      <c r="D67">
        <v>5070</v>
      </c>
      <c r="E67" t="s">
        <v>538</v>
      </c>
      <c r="M67" t="s">
        <v>548</v>
      </c>
    </row>
    <row r="68" spans="1:13" x14ac:dyDescent="0.3">
      <c r="A68" t="s">
        <v>543</v>
      </c>
      <c r="B68" t="s">
        <v>380</v>
      </c>
      <c r="C68" t="s">
        <v>611</v>
      </c>
      <c r="D68">
        <v>5098</v>
      </c>
      <c r="E68" t="s">
        <v>538</v>
      </c>
      <c r="M68" t="s">
        <v>548</v>
      </c>
    </row>
    <row r="69" spans="1:13" x14ac:dyDescent="0.3">
      <c r="A69" t="s">
        <v>543</v>
      </c>
      <c r="B69" t="s">
        <v>380</v>
      </c>
      <c r="C69" t="s">
        <v>612</v>
      </c>
      <c r="D69">
        <v>5051</v>
      </c>
      <c r="E69" t="s">
        <v>538</v>
      </c>
      <c r="M69" t="s">
        <v>548</v>
      </c>
    </row>
    <row r="70" spans="1:13" x14ac:dyDescent="0.3">
      <c r="A70" t="s">
        <v>543</v>
      </c>
      <c r="B70" t="s">
        <v>380</v>
      </c>
      <c r="C70" t="s">
        <v>613</v>
      </c>
      <c r="D70">
        <v>5005</v>
      </c>
      <c r="E70" t="s">
        <v>538</v>
      </c>
      <c r="M70" t="s">
        <v>548</v>
      </c>
    </row>
    <row r="71" spans="1:13" x14ac:dyDescent="0.3">
      <c r="A71" t="s">
        <v>543</v>
      </c>
      <c r="B71" t="s">
        <v>380</v>
      </c>
      <c r="C71" t="s">
        <v>614</v>
      </c>
      <c r="D71">
        <v>5019</v>
      </c>
      <c r="E71" t="s">
        <v>538</v>
      </c>
      <c r="M71" t="s">
        <v>548</v>
      </c>
    </row>
    <row r="72" spans="1:13" x14ac:dyDescent="0.3">
      <c r="A72" t="s">
        <v>543</v>
      </c>
      <c r="B72" t="s">
        <v>380</v>
      </c>
      <c r="C72" t="s">
        <v>615</v>
      </c>
      <c r="D72">
        <v>5083</v>
      </c>
      <c r="E72" t="s">
        <v>538</v>
      </c>
      <c r="M72" t="s">
        <v>548</v>
      </c>
    </row>
    <row r="73" spans="1:13" x14ac:dyDescent="0.3">
      <c r="A73" t="s">
        <v>543</v>
      </c>
      <c r="B73" t="s">
        <v>380</v>
      </c>
      <c r="C73" t="s">
        <v>616</v>
      </c>
      <c r="D73">
        <v>5850</v>
      </c>
      <c r="E73" t="s">
        <v>538</v>
      </c>
      <c r="M73" t="s">
        <v>550</v>
      </c>
    </row>
    <row r="74" spans="1:13" x14ac:dyDescent="0.3">
      <c r="A74" t="s">
        <v>543</v>
      </c>
      <c r="B74" t="s">
        <v>380</v>
      </c>
      <c r="C74" t="s">
        <v>617</v>
      </c>
      <c r="D74">
        <v>5882</v>
      </c>
      <c r="E74" t="s">
        <v>538</v>
      </c>
      <c r="M74" t="s">
        <v>550</v>
      </c>
    </row>
    <row r="75" spans="1:13" x14ac:dyDescent="0.3">
      <c r="A75" t="s">
        <v>543</v>
      </c>
      <c r="B75" t="s">
        <v>380</v>
      </c>
      <c r="C75" t="s">
        <v>618</v>
      </c>
      <c r="D75">
        <v>5866</v>
      </c>
      <c r="E75" t="s">
        <v>538</v>
      </c>
      <c r="M75" t="s">
        <v>550</v>
      </c>
    </row>
    <row r="76" spans="1:13" x14ac:dyDescent="0.3">
      <c r="A76" t="s">
        <v>543</v>
      </c>
      <c r="B76" t="s">
        <v>380</v>
      </c>
      <c r="C76" t="s">
        <v>619</v>
      </c>
      <c r="D76">
        <v>5860</v>
      </c>
      <c r="E76" t="s">
        <v>538</v>
      </c>
      <c r="M76" t="s">
        <v>550</v>
      </c>
    </row>
    <row r="77" spans="1:13" x14ac:dyDescent="0.3">
      <c r="A77" t="s">
        <v>543</v>
      </c>
      <c r="B77" t="s">
        <v>380</v>
      </c>
      <c r="C77" t="s">
        <v>620</v>
      </c>
      <c r="D77">
        <v>5849</v>
      </c>
      <c r="E77" t="s">
        <v>538</v>
      </c>
      <c r="M77" t="s">
        <v>550</v>
      </c>
    </row>
    <row r="78" spans="1:13" x14ac:dyDescent="0.3">
      <c r="A78" t="s">
        <v>543</v>
      </c>
      <c r="B78" t="s">
        <v>380</v>
      </c>
      <c r="C78" t="s">
        <v>621</v>
      </c>
      <c r="D78">
        <v>5826</v>
      </c>
      <c r="E78" t="s">
        <v>538</v>
      </c>
      <c r="M78" t="s">
        <v>550</v>
      </c>
    </row>
    <row r="79" spans="1:13" x14ac:dyDescent="0.3">
      <c r="A79" t="s">
        <v>543</v>
      </c>
      <c r="B79" t="s">
        <v>622</v>
      </c>
      <c r="C79" t="s">
        <v>623</v>
      </c>
      <c r="D79">
        <v>3546000</v>
      </c>
      <c r="E79" t="s">
        <v>538</v>
      </c>
      <c r="L79" t="s">
        <v>624</v>
      </c>
      <c r="M79" t="s">
        <v>625</v>
      </c>
    </row>
    <row r="80" spans="1:13" x14ac:dyDescent="0.3">
      <c r="A80" t="s">
        <v>543</v>
      </c>
      <c r="B80" t="s">
        <v>622</v>
      </c>
      <c r="C80" t="s">
        <v>626</v>
      </c>
      <c r="D80">
        <v>505000</v>
      </c>
      <c r="E80" t="s">
        <v>538</v>
      </c>
      <c r="L80" t="s">
        <v>627</v>
      </c>
      <c r="M80" t="s">
        <v>628</v>
      </c>
    </row>
    <row r="81" spans="1:13" x14ac:dyDescent="0.3">
      <c r="A81" t="s">
        <v>543</v>
      </c>
      <c r="B81" t="s">
        <v>622</v>
      </c>
      <c r="C81" t="s">
        <v>629</v>
      </c>
      <c r="D81">
        <v>626000</v>
      </c>
      <c r="E81" t="s">
        <v>538</v>
      </c>
      <c r="L81" t="s">
        <v>630</v>
      </c>
      <c r="M81" t="s">
        <v>631</v>
      </c>
    </row>
    <row r="82" spans="1:13" x14ac:dyDescent="0.3">
      <c r="A82" t="s">
        <v>543</v>
      </c>
      <c r="B82" t="s">
        <v>622</v>
      </c>
      <c r="C82" t="s">
        <v>632</v>
      </c>
      <c r="D82">
        <v>1658000</v>
      </c>
      <c r="E82" t="s">
        <v>538</v>
      </c>
      <c r="L82" t="s">
        <v>633</v>
      </c>
      <c r="M82" t="s">
        <v>634</v>
      </c>
    </row>
    <row r="83" spans="1:13" x14ac:dyDescent="0.3">
      <c r="A83" t="s">
        <v>635</v>
      </c>
      <c r="B83" t="s">
        <v>380</v>
      </c>
      <c r="C83" t="s">
        <v>636</v>
      </c>
      <c r="D83">
        <v>28000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A66B-79B9-42D2-8562-37867E489636}">
  <dimension ref="A1:AU151"/>
  <sheetViews>
    <sheetView workbookViewId="0"/>
  </sheetViews>
  <sheetFormatPr baseColWidth="10" defaultColWidth="11.44140625" defaultRowHeight="14.4" x14ac:dyDescent="0.3"/>
  <cols>
    <col min="1" max="1" width="46.33203125" bestFit="1" customWidth="1"/>
    <col min="2" max="2" width="17.6640625" bestFit="1" customWidth="1"/>
    <col min="3" max="3" width="33.88671875" bestFit="1" customWidth="1"/>
    <col min="4" max="4" width="37.109375" bestFit="1" customWidth="1"/>
    <col min="5" max="5" width="16.6640625" bestFit="1" customWidth="1"/>
    <col min="6" max="6" width="10.33203125" bestFit="1" customWidth="1"/>
    <col min="7" max="7" width="18.33203125" bestFit="1" customWidth="1"/>
    <col min="8" max="8" width="23.6640625" bestFit="1" customWidth="1"/>
    <col min="9" max="9" width="23.33203125" bestFit="1" customWidth="1"/>
    <col min="10" max="10" width="18.33203125" bestFit="1" customWidth="1"/>
    <col min="11" max="11" width="23.6640625" bestFit="1" customWidth="1"/>
    <col min="12" max="12" width="23.33203125" bestFit="1" customWidth="1"/>
    <col min="13" max="13" width="26.33203125" bestFit="1" customWidth="1"/>
    <col min="14" max="14" width="15.109375" bestFit="1" customWidth="1"/>
    <col min="15" max="15" width="14.109375" bestFit="1" customWidth="1"/>
    <col min="16" max="16" width="26.6640625" bestFit="1" customWidth="1"/>
    <col min="17" max="17" width="16.33203125" bestFit="1" customWidth="1"/>
    <col min="18" max="18" width="20.6640625" bestFit="1" customWidth="1"/>
    <col min="19" max="19" width="26.6640625" bestFit="1" customWidth="1"/>
    <col min="20" max="20" width="31.5546875" bestFit="1" customWidth="1"/>
    <col min="21" max="21" width="33" bestFit="1" customWidth="1"/>
    <col min="22" max="22" width="33.44140625" bestFit="1" customWidth="1"/>
    <col min="23" max="23" width="20.33203125" bestFit="1" customWidth="1"/>
    <col min="24" max="24" width="23.5546875" bestFit="1" customWidth="1"/>
    <col min="25" max="25" width="18.6640625" bestFit="1" customWidth="1"/>
    <col min="26" max="26" width="66" bestFit="1" customWidth="1"/>
    <col min="27" max="28" width="21.5546875" bestFit="1" customWidth="1"/>
    <col min="29" max="29" width="19" bestFit="1" customWidth="1"/>
    <col min="30" max="30" width="10.5546875" bestFit="1" customWidth="1"/>
    <col min="31" max="31" width="21" bestFit="1" customWidth="1"/>
    <col min="32" max="32" width="26.88671875" bestFit="1" customWidth="1"/>
    <col min="33" max="33" width="26.6640625" bestFit="1" customWidth="1"/>
    <col min="34" max="34" width="18.5546875" bestFit="1" customWidth="1"/>
    <col min="35" max="35" width="19.109375" bestFit="1" customWidth="1"/>
    <col min="36" max="36" width="8.33203125" bestFit="1" customWidth="1"/>
    <col min="37" max="37" width="19.6640625" bestFit="1" customWidth="1"/>
    <col min="38" max="38" width="21.109375" bestFit="1" customWidth="1"/>
    <col min="39" max="39" width="18.33203125" bestFit="1" customWidth="1"/>
    <col min="40" max="40" width="19.6640625" bestFit="1" customWidth="1"/>
    <col min="41" max="41" width="22.33203125" bestFit="1" customWidth="1"/>
    <col min="42" max="42" width="16.33203125" bestFit="1" customWidth="1"/>
    <col min="43" max="43" width="13.88671875" bestFit="1" customWidth="1"/>
    <col min="44" max="44" width="16" bestFit="1" customWidth="1"/>
    <col min="45" max="45" width="14" bestFit="1" customWidth="1"/>
    <col min="46" max="46" width="15.6640625" bestFit="1" customWidth="1"/>
    <col min="47" max="47" width="11.6640625" bestFit="1" customWidth="1"/>
    <col min="48" max="50" width="11.44140625" bestFit="1" customWidth="1"/>
    <col min="51" max="51" width="15.33203125" bestFit="1" customWidth="1"/>
    <col min="52" max="52" width="13.6640625" bestFit="1" customWidth="1"/>
    <col min="53" max="53" width="15.109375" bestFit="1" customWidth="1"/>
    <col min="54" max="54" width="11.6640625" bestFit="1" customWidth="1"/>
  </cols>
  <sheetData>
    <row r="1" spans="1:47" x14ac:dyDescent="0.3">
      <c r="A1" t="s">
        <v>3</v>
      </c>
      <c r="B1" t="s">
        <v>13</v>
      </c>
      <c r="C1" t="s">
        <v>19</v>
      </c>
      <c r="D1" t="s">
        <v>24</v>
      </c>
      <c r="E1" t="s">
        <v>27</v>
      </c>
      <c r="F1" t="s">
        <v>30</v>
      </c>
      <c r="G1" t="s">
        <v>66</v>
      </c>
      <c r="H1" t="s">
        <v>36</v>
      </c>
      <c r="I1" t="s">
        <v>39</v>
      </c>
      <c r="J1" t="s">
        <v>41</v>
      </c>
      <c r="K1" t="s">
        <v>43</v>
      </c>
      <c r="L1" t="s">
        <v>45</v>
      </c>
      <c r="M1" t="s">
        <v>47</v>
      </c>
      <c r="N1" t="s">
        <v>49</v>
      </c>
      <c r="O1" t="s">
        <v>51</v>
      </c>
      <c r="P1" t="s">
        <v>52</v>
      </c>
      <c r="Q1" t="s">
        <v>53</v>
      </c>
      <c r="R1" t="s">
        <v>54</v>
      </c>
      <c r="S1" t="s">
        <v>67</v>
      </c>
      <c r="T1" t="s">
        <v>11</v>
      </c>
      <c r="U1" t="s">
        <v>17</v>
      </c>
      <c r="V1" t="s">
        <v>22</v>
      </c>
      <c r="W1" t="s">
        <v>9</v>
      </c>
      <c r="X1" t="s">
        <v>16</v>
      </c>
      <c r="Y1" t="s">
        <v>21</v>
      </c>
      <c r="Z1" t="s">
        <v>26</v>
      </c>
      <c r="AA1" t="s">
        <v>29</v>
      </c>
      <c r="AB1" t="s">
        <v>32</v>
      </c>
      <c r="AC1" t="s">
        <v>35</v>
      </c>
      <c r="AD1" t="s">
        <v>38</v>
      </c>
      <c r="AE1" t="s">
        <v>40</v>
      </c>
      <c r="AF1" t="s">
        <v>42</v>
      </c>
      <c r="AG1" t="s">
        <v>44</v>
      </c>
      <c r="AH1" t="s">
        <v>46</v>
      </c>
      <c r="AI1" t="s">
        <v>48</v>
      </c>
      <c r="AJ1" t="s">
        <v>50</v>
      </c>
      <c r="AK1" t="s">
        <v>7</v>
      </c>
      <c r="AL1" t="s">
        <v>15</v>
      </c>
      <c r="AM1" t="s">
        <v>5</v>
      </c>
      <c r="AN1" t="s">
        <v>14</v>
      </c>
      <c r="AO1" t="s">
        <v>20</v>
      </c>
      <c r="AP1" t="s">
        <v>25</v>
      </c>
      <c r="AQ1" t="s">
        <v>28</v>
      </c>
      <c r="AR1" t="s">
        <v>31</v>
      </c>
      <c r="AS1" t="s">
        <v>34</v>
      </c>
      <c r="AT1" t="s">
        <v>37</v>
      </c>
      <c r="AU1" t="s">
        <v>68</v>
      </c>
    </row>
    <row r="2" spans="1:47" x14ac:dyDescent="0.3">
      <c r="A2" t="s">
        <v>70</v>
      </c>
      <c r="B2" t="s">
        <v>71</v>
      </c>
      <c r="C2" t="s">
        <v>637</v>
      </c>
      <c r="D2" t="s">
        <v>638</v>
      </c>
      <c r="E2">
        <v>5000</v>
      </c>
      <c r="F2" t="s">
        <v>538</v>
      </c>
      <c r="G2">
        <v>13515423</v>
      </c>
      <c r="H2">
        <v>0</v>
      </c>
      <c r="I2">
        <v>13515423</v>
      </c>
      <c r="J2">
        <v>14061432</v>
      </c>
      <c r="K2">
        <v>0</v>
      </c>
      <c r="L2">
        <v>14061432</v>
      </c>
      <c r="M2" t="s">
        <v>639</v>
      </c>
      <c r="N2" t="s">
        <v>640</v>
      </c>
      <c r="O2" t="s">
        <v>639</v>
      </c>
      <c r="P2" t="s">
        <v>641</v>
      </c>
      <c r="Q2" t="s">
        <v>642</v>
      </c>
      <c r="R2" t="s">
        <v>643</v>
      </c>
      <c r="S2">
        <v>20646696</v>
      </c>
      <c r="T2">
        <v>546009</v>
      </c>
      <c r="U2">
        <v>546009</v>
      </c>
      <c r="V2">
        <v>0</v>
      </c>
      <c r="Z2" t="s">
        <v>644</v>
      </c>
      <c r="AK2">
        <v>0.65</v>
      </c>
      <c r="AL2">
        <v>3250</v>
      </c>
      <c r="AM2">
        <v>0.3339765359742346</v>
      </c>
      <c r="AN2">
        <v>1669.882679871173</v>
      </c>
      <c r="AP2">
        <v>43865</v>
      </c>
      <c r="AQ2" t="s">
        <v>645</v>
      </c>
      <c r="AR2">
        <v>3250</v>
      </c>
      <c r="AS2" t="s">
        <v>645</v>
      </c>
      <c r="AT2" t="s">
        <v>646</v>
      </c>
      <c r="AU2" t="s">
        <v>647</v>
      </c>
    </row>
    <row r="3" spans="1:47" x14ac:dyDescent="0.3">
      <c r="A3" t="s">
        <v>648</v>
      </c>
      <c r="B3" t="s">
        <v>401</v>
      </c>
      <c r="C3" t="s">
        <v>649</v>
      </c>
      <c r="D3" t="s">
        <v>650</v>
      </c>
      <c r="E3">
        <v>40467.620000000003</v>
      </c>
      <c r="F3" t="s">
        <v>538</v>
      </c>
      <c r="G3">
        <v>4786763773</v>
      </c>
      <c r="H3">
        <v>0</v>
      </c>
      <c r="I3">
        <v>4785763773</v>
      </c>
      <c r="J3">
        <v>4887284281</v>
      </c>
      <c r="K3">
        <v>0</v>
      </c>
      <c r="L3">
        <v>4887284281</v>
      </c>
      <c r="M3" t="s">
        <v>651</v>
      </c>
      <c r="N3" t="s">
        <v>652</v>
      </c>
      <c r="O3" t="s">
        <v>652</v>
      </c>
      <c r="P3" t="s">
        <v>641</v>
      </c>
      <c r="Q3" t="s">
        <v>642</v>
      </c>
      <c r="R3" t="s">
        <v>643</v>
      </c>
      <c r="S3">
        <v>2819449352</v>
      </c>
      <c r="T3">
        <v>100520508</v>
      </c>
      <c r="U3">
        <v>101520508</v>
      </c>
      <c r="V3">
        <v>0</v>
      </c>
      <c r="Z3" t="s">
        <v>653</v>
      </c>
      <c r="AK3">
        <v>3.747866684352362</v>
      </c>
      <c r="AL3">
        <v>151442.37279197021</v>
      </c>
      <c r="AM3">
        <v>3.4646930455196321</v>
      </c>
      <c r="AN3">
        <v>140000</v>
      </c>
      <c r="AP3">
        <v>45537</v>
      </c>
      <c r="AQ3" t="s">
        <v>154</v>
      </c>
      <c r="AR3">
        <v>140000</v>
      </c>
      <c r="AS3" t="s">
        <v>154</v>
      </c>
      <c r="AT3" t="s">
        <v>155</v>
      </c>
      <c r="AU3" t="s">
        <v>647</v>
      </c>
    </row>
    <row r="4" spans="1:47" x14ac:dyDescent="0.3">
      <c r="A4" t="s">
        <v>493</v>
      </c>
      <c r="B4" t="s">
        <v>654</v>
      </c>
      <c r="C4" t="s">
        <v>655</v>
      </c>
      <c r="D4" t="s">
        <v>656</v>
      </c>
      <c r="E4">
        <v>5213.2700000000004</v>
      </c>
      <c r="F4" t="s">
        <v>538</v>
      </c>
      <c r="G4">
        <v>148699661</v>
      </c>
      <c r="H4">
        <v>0</v>
      </c>
      <c r="I4">
        <v>148699661</v>
      </c>
      <c r="J4">
        <v>154706969</v>
      </c>
      <c r="K4">
        <v>0</v>
      </c>
      <c r="L4">
        <v>154706969</v>
      </c>
      <c r="N4" t="s">
        <v>657</v>
      </c>
      <c r="O4" t="s">
        <v>657</v>
      </c>
      <c r="P4" t="s">
        <v>641</v>
      </c>
      <c r="Q4" t="s">
        <v>642</v>
      </c>
      <c r="R4" t="s">
        <v>643</v>
      </c>
      <c r="S4">
        <v>285737367</v>
      </c>
      <c r="T4">
        <v>6007308</v>
      </c>
      <c r="U4">
        <v>6007308</v>
      </c>
      <c r="V4">
        <v>0</v>
      </c>
      <c r="AK4">
        <v>1.4385883088189872</v>
      </c>
      <c r="AL4">
        <v>7499.7492727167619</v>
      </c>
      <c r="AM4">
        <v>1.39</v>
      </c>
      <c r="AN4">
        <v>7246.4453000000003</v>
      </c>
      <c r="AP4">
        <v>44320</v>
      </c>
      <c r="AQ4" t="s">
        <v>645</v>
      </c>
      <c r="AR4">
        <v>7246.4453000000003</v>
      </c>
      <c r="AS4" t="s">
        <v>88</v>
      </c>
      <c r="AU4" t="s">
        <v>647</v>
      </c>
    </row>
    <row r="5" spans="1:47" x14ac:dyDescent="0.3">
      <c r="A5" t="s">
        <v>382</v>
      </c>
      <c r="B5" t="s">
        <v>80</v>
      </c>
      <c r="C5" t="s">
        <v>658</v>
      </c>
      <c r="D5" t="s">
        <v>659</v>
      </c>
      <c r="E5">
        <v>145698.66</v>
      </c>
      <c r="F5" t="s">
        <v>538</v>
      </c>
      <c r="G5">
        <v>1396293694</v>
      </c>
      <c r="H5">
        <v>142868641</v>
      </c>
      <c r="I5">
        <v>1253425053</v>
      </c>
      <c r="J5">
        <v>1425615415</v>
      </c>
      <c r="K5">
        <v>145868838</v>
      </c>
      <c r="L5">
        <v>1279746577</v>
      </c>
      <c r="M5" t="s">
        <v>660</v>
      </c>
      <c r="N5" t="s">
        <v>661</v>
      </c>
      <c r="O5" t="s">
        <v>661</v>
      </c>
      <c r="P5" t="s">
        <v>641</v>
      </c>
      <c r="Q5" t="s">
        <v>642</v>
      </c>
      <c r="R5" t="s">
        <v>643</v>
      </c>
      <c r="S5">
        <v>2322845325</v>
      </c>
      <c r="T5">
        <v>29321721</v>
      </c>
      <c r="U5">
        <v>26321524</v>
      </c>
      <c r="V5">
        <v>3000197</v>
      </c>
      <c r="Z5" t="s">
        <v>662</v>
      </c>
      <c r="AK5">
        <v>1.2</v>
      </c>
      <c r="AL5">
        <v>174838.39199999999</v>
      </c>
      <c r="AM5">
        <v>0.94</v>
      </c>
      <c r="AN5">
        <v>136422</v>
      </c>
      <c r="AP5">
        <v>44426</v>
      </c>
      <c r="AQ5" t="s">
        <v>663</v>
      </c>
      <c r="AR5">
        <v>156680</v>
      </c>
      <c r="AS5" t="s">
        <v>664</v>
      </c>
      <c r="AT5" t="s">
        <v>155</v>
      </c>
      <c r="AU5" t="s">
        <v>647</v>
      </c>
    </row>
    <row r="6" spans="1:47" x14ac:dyDescent="0.3">
      <c r="A6" t="s">
        <v>382</v>
      </c>
      <c r="B6" t="s">
        <v>80</v>
      </c>
      <c r="C6" t="s">
        <v>665</v>
      </c>
      <c r="D6" t="s">
        <v>666</v>
      </c>
      <c r="E6">
        <v>114018</v>
      </c>
      <c r="F6" t="s">
        <v>538</v>
      </c>
      <c r="G6">
        <v>1387175066</v>
      </c>
      <c r="H6">
        <v>0</v>
      </c>
      <c r="I6">
        <v>1387175066</v>
      </c>
      <c r="P6" t="s">
        <v>641</v>
      </c>
      <c r="Q6" t="s">
        <v>642</v>
      </c>
      <c r="R6" t="s">
        <v>643</v>
      </c>
      <c r="S6">
        <v>1201250239</v>
      </c>
      <c r="T6">
        <v>-1387175066</v>
      </c>
      <c r="U6">
        <v>-1387175066</v>
      </c>
      <c r="V6">
        <v>0</v>
      </c>
      <c r="AK6">
        <v>1.1000000000000001</v>
      </c>
      <c r="AL6">
        <v>118240.05003932492</v>
      </c>
      <c r="AM6">
        <v>1.27</v>
      </c>
      <c r="AN6">
        <v>160395.66992568551</v>
      </c>
      <c r="AP6">
        <v>44428</v>
      </c>
      <c r="AQ6" t="s">
        <v>664</v>
      </c>
      <c r="AR6">
        <v>160395.66992568551</v>
      </c>
      <c r="AS6" t="s">
        <v>664</v>
      </c>
      <c r="AT6" t="s">
        <v>155</v>
      </c>
      <c r="AU6" t="s">
        <v>647</v>
      </c>
    </row>
    <row r="7" spans="1:47" x14ac:dyDescent="0.3">
      <c r="A7" t="s">
        <v>382</v>
      </c>
      <c r="B7" t="s">
        <v>80</v>
      </c>
      <c r="C7" t="s">
        <v>667</v>
      </c>
      <c r="D7" t="s">
        <v>666</v>
      </c>
      <c r="E7">
        <v>26389</v>
      </c>
      <c r="F7" t="s">
        <v>538</v>
      </c>
      <c r="G7">
        <v>321055998</v>
      </c>
      <c r="H7">
        <v>0</v>
      </c>
      <c r="I7">
        <v>321055998</v>
      </c>
      <c r="P7" t="s">
        <v>641</v>
      </c>
      <c r="Q7" t="s">
        <v>642</v>
      </c>
      <c r="R7" t="s">
        <v>643</v>
      </c>
      <c r="S7">
        <v>1201250239</v>
      </c>
      <c r="T7">
        <v>-321055998</v>
      </c>
      <c r="U7">
        <v>-321055998</v>
      </c>
      <c r="V7">
        <v>0</v>
      </c>
      <c r="AK7">
        <v>1.1000000000000001</v>
      </c>
      <c r="AL7">
        <v>27366.176222067967</v>
      </c>
      <c r="AM7">
        <v>1.27</v>
      </c>
      <c r="AN7">
        <v>37122.922114656591</v>
      </c>
      <c r="AP7">
        <v>44428</v>
      </c>
      <c r="AQ7" t="s">
        <v>664</v>
      </c>
      <c r="AR7">
        <v>37122.922114656591</v>
      </c>
      <c r="AS7" t="s">
        <v>664</v>
      </c>
      <c r="AT7" t="s">
        <v>155</v>
      </c>
      <c r="AU7" t="s">
        <v>647</v>
      </c>
    </row>
    <row r="8" spans="1:47" x14ac:dyDescent="0.3">
      <c r="A8" t="s">
        <v>79</v>
      </c>
      <c r="B8" t="s">
        <v>80</v>
      </c>
      <c r="C8" t="s">
        <v>668</v>
      </c>
      <c r="D8" t="s">
        <v>669</v>
      </c>
      <c r="E8">
        <v>109337.65</v>
      </c>
      <c r="F8" t="s">
        <v>538</v>
      </c>
      <c r="G8">
        <v>16081312316</v>
      </c>
      <c r="H8">
        <v>0</v>
      </c>
      <c r="I8">
        <v>16081312316</v>
      </c>
      <c r="J8">
        <v>17195983128</v>
      </c>
      <c r="K8">
        <v>0</v>
      </c>
      <c r="L8">
        <v>17195983128</v>
      </c>
      <c r="N8" t="s">
        <v>83</v>
      </c>
      <c r="O8" t="s">
        <v>83</v>
      </c>
      <c r="P8" t="s">
        <v>641</v>
      </c>
      <c r="Q8" t="s">
        <v>642</v>
      </c>
      <c r="R8" t="s">
        <v>670</v>
      </c>
      <c r="S8">
        <v>8179395650</v>
      </c>
      <c r="T8">
        <v>1114670812</v>
      </c>
      <c r="U8">
        <v>1114670812</v>
      </c>
      <c r="V8">
        <v>0</v>
      </c>
      <c r="Z8" t="s">
        <v>671</v>
      </c>
      <c r="AK8">
        <v>3</v>
      </c>
      <c r="AL8">
        <v>274015.65000000002</v>
      </c>
      <c r="AM8">
        <v>2.6999990693962186</v>
      </c>
      <c r="AN8">
        <v>246614</v>
      </c>
      <c r="AP8">
        <v>43893</v>
      </c>
      <c r="AQ8" t="s">
        <v>87</v>
      </c>
      <c r="AR8">
        <v>246614</v>
      </c>
      <c r="AS8" t="s">
        <v>88</v>
      </c>
      <c r="AU8" t="s">
        <v>647</v>
      </c>
    </row>
    <row r="9" spans="1:47" x14ac:dyDescent="0.3">
      <c r="A9" t="s">
        <v>89</v>
      </c>
      <c r="B9" t="s">
        <v>80</v>
      </c>
      <c r="C9" t="s">
        <v>672</v>
      </c>
      <c r="D9" t="s">
        <v>673</v>
      </c>
      <c r="E9">
        <v>3404.89</v>
      </c>
      <c r="F9" t="s">
        <v>538</v>
      </c>
      <c r="G9">
        <v>161871113</v>
      </c>
      <c r="H9">
        <v>0</v>
      </c>
      <c r="I9">
        <v>161871113</v>
      </c>
      <c r="J9">
        <v>165270355</v>
      </c>
      <c r="K9">
        <v>0</v>
      </c>
      <c r="L9">
        <v>165270355</v>
      </c>
      <c r="N9" t="s">
        <v>674</v>
      </c>
      <c r="O9" t="s">
        <v>674</v>
      </c>
      <c r="P9" t="s">
        <v>641</v>
      </c>
      <c r="Q9" t="s">
        <v>642</v>
      </c>
      <c r="R9" t="s">
        <v>643</v>
      </c>
      <c r="S9">
        <v>73581346</v>
      </c>
      <c r="T9">
        <v>3399242</v>
      </c>
      <c r="U9">
        <v>3399242</v>
      </c>
      <c r="V9">
        <v>0</v>
      </c>
      <c r="Z9" t="s">
        <v>675</v>
      </c>
      <c r="AK9">
        <v>1.4</v>
      </c>
      <c r="AL9">
        <v>4766.8459999999995</v>
      </c>
      <c r="AM9">
        <v>0.8</v>
      </c>
      <c r="AN9">
        <v>2723.9120000000003</v>
      </c>
      <c r="AS9" t="s">
        <v>88</v>
      </c>
      <c r="AU9" t="s">
        <v>647</v>
      </c>
    </row>
    <row r="10" spans="1:47" x14ac:dyDescent="0.3">
      <c r="A10" t="s">
        <v>89</v>
      </c>
      <c r="B10" t="s">
        <v>80</v>
      </c>
      <c r="C10" t="s">
        <v>676</v>
      </c>
      <c r="D10" t="s">
        <v>677</v>
      </c>
      <c r="E10">
        <v>9692.9500000000007</v>
      </c>
      <c r="F10" t="s">
        <v>538</v>
      </c>
      <c r="G10">
        <v>2225006491</v>
      </c>
      <c r="H10">
        <v>0</v>
      </c>
      <c r="I10">
        <v>2225006491</v>
      </c>
      <c r="J10">
        <v>2314894377</v>
      </c>
      <c r="K10">
        <v>0</v>
      </c>
      <c r="L10">
        <v>2314894377</v>
      </c>
      <c r="M10" t="s">
        <v>678</v>
      </c>
      <c r="N10" t="s">
        <v>679</v>
      </c>
      <c r="O10" t="s">
        <v>679</v>
      </c>
      <c r="P10" t="s">
        <v>641</v>
      </c>
      <c r="Q10" t="s">
        <v>642</v>
      </c>
      <c r="R10" t="s">
        <v>680</v>
      </c>
      <c r="S10" t="s">
        <v>682</v>
      </c>
      <c r="T10">
        <v>89887886</v>
      </c>
      <c r="U10">
        <v>89887886</v>
      </c>
      <c r="V10">
        <v>0</v>
      </c>
      <c r="Z10" t="s">
        <v>681</v>
      </c>
      <c r="AK10">
        <v>4.8897719062854783</v>
      </c>
      <c r="AL10">
        <v>47377</v>
      </c>
      <c r="AM10">
        <v>2.4499999999999997</v>
      </c>
      <c r="AN10">
        <v>47377</v>
      </c>
      <c r="AP10">
        <v>45596</v>
      </c>
      <c r="AQ10" t="s">
        <v>94</v>
      </c>
      <c r="AR10">
        <v>47377</v>
      </c>
      <c r="AS10" t="s">
        <v>94</v>
      </c>
      <c r="AU10" t="s">
        <v>647</v>
      </c>
    </row>
    <row r="11" spans="1:47" x14ac:dyDescent="0.3">
      <c r="A11" t="s">
        <v>89</v>
      </c>
      <c r="B11" t="s">
        <v>80</v>
      </c>
      <c r="C11" t="s">
        <v>683</v>
      </c>
      <c r="D11" t="s">
        <v>684</v>
      </c>
      <c r="E11">
        <v>396.23</v>
      </c>
      <c r="F11" t="s">
        <v>538</v>
      </c>
      <c r="G11">
        <v>18825539</v>
      </c>
      <c r="H11">
        <v>0</v>
      </c>
      <c r="I11">
        <v>18825539</v>
      </c>
      <c r="J11">
        <v>19220869</v>
      </c>
      <c r="K11">
        <v>0</v>
      </c>
      <c r="L11">
        <v>19220869</v>
      </c>
      <c r="N11" t="s">
        <v>685</v>
      </c>
      <c r="O11" t="s">
        <v>685</v>
      </c>
      <c r="P11" t="s">
        <v>641</v>
      </c>
      <c r="Q11" t="s">
        <v>642</v>
      </c>
      <c r="R11" t="s">
        <v>643</v>
      </c>
      <c r="S11">
        <v>8562679</v>
      </c>
      <c r="T11">
        <v>395330</v>
      </c>
      <c r="U11">
        <v>395330</v>
      </c>
      <c r="V11">
        <v>0</v>
      </c>
      <c r="Z11" t="s">
        <v>686</v>
      </c>
      <c r="AK11">
        <v>0.65</v>
      </c>
      <c r="AL11">
        <v>3250</v>
      </c>
      <c r="AM11">
        <v>0.8</v>
      </c>
      <c r="AN11">
        <v>316.98400000000004</v>
      </c>
      <c r="AS11" t="s">
        <v>88</v>
      </c>
      <c r="AU11" t="s">
        <v>647</v>
      </c>
    </row>
    <row r="12" spans="1:47" x14ac:dyDescent="0.3">
      <c r="A12" t="s">
        <v>687</v>
      </c>
      <c r="B12" t="s">
        <v>80</v>
      </c>
      <c r="C12" t="s">
        <v>688</v>
      </c>
      <c r="D12" t="s">
        <v>689</v>
      </c>
      <c r="E12">
        <v>3000</v>
      </c>
      <c r="F12" t="s">
        <v>538</v>
      </c>
      <c r="G12">
        <v>100710307</v>
      </c>
      <c r="H12">
        <v>0</v>
      </c>
      <c r="I12">
        <v>100710307</v>
      </c>
      <c r="J12">
        <v>102825191</v>
      </c>
      <c r="K12">
        <v>0</v>
      </c>
      <c r="L12">
        <v>102825191</v>
      </c>
      <c r="N12" t="s">
        <v>690</v>
      </c>
      <c r="O12" t="s">
        <v>690</v>
      </c>
      <c r="P12" t="s">
        <v>641</v>
      </c>
      <c r="Q12" t="s">
        <v>642</v>
      </c>
      <c r="R12" t="s">
        <v>643</v>
      </c>
      <c r="S12">
        <v>995178516</v>
      </c>
      <c r="T12">
        <v>2114884</v>
      </c>
      <c r="U12">
        <v>2114884</v>
      </c>
      <c r="V12">
        <v>0</v>
      </c>
      <c r="Z12" t="s">
        <v>691</v>
      </c>
      <c r="AK12">
        <v>1.5</v>
      </c>
      <c r="AL12">
        <v>4500</v>
      </c>
      <c r="AM12">
        <v>1.5</v>
      </c>
      <c r="AN12">
        <v>4500</v>
      </c>
      <c r="AP12">
        <v>44634</v>
      </c>
      <c r="AQ12" t="s">
        <v>692</v>
      </c>
      <c r="AR12">
        <v>4500</v>
      </c>
      <c r="AS12" t="s">
        <v>88</v>
      </c>
      <c r="AU12" t="s">
        <v>647</v>
      </c>
    </row>
    <row r="13" spans="1:47" x14ac:dyDescent="0.3">
      <c r="A13" t="s">
        <v>687</v>
      </c>
      <c r="B13" t="s">
        <v>80</v>
      </c>
      <c r="C13" t="s">
        <v>693</v>
      </c>
      <c r="D13" t="s">
        <v>694</v>
      </c>
      <c r="E13">
        <v>38370</v>
      </c>
      <c r="F13" t="s">
        <v>538</v>
      </c>
      <c r="G13">
        <v>1100595803</v>
      </c>
      <c r="H13">
        <v>0</v>
      </c>
      <c r="I13">
        <v>1100595803</v>
      </c>
      <c r="J13">
        <v>1123707963</v>
      </c>
      <c r="K13">
        <v>0</v>
      </c>
      <c r="L13">
        <v>1123707963</v>
      </c>
      <c r="N13" t="s">
        <v>695</v>
      </c>
      <c r="O13" t="s">
        <v>695</v>
      </c>
      <c r="P13" t="s">
        <v>641</v>
      </c>
      <c r="Q13" t="s">
        <v>642</v>
      </c>
      <c r="R13" t="s">
        <v>643</v>
      </c>
      <c r="S13">
        <v>57691508</v>
      </c>
      <c r="T13">
        <v>23112160</v>
      </c>
      <c r="U13">
        <v>23112160</v>
      </c>
      <c r="V13">
        <v>0</v>
      </c>
      <c r="Z13" t="s">
        <v>696</v>
      </c>
      <c r="AK13">
        <v>1.51</v>
      </c>
      <c r="AL13">
        <v>59645</v>
      </c>
      <c r="AM13">
        <v>1.51</v>
      </c>
      <c r="AN13">
        <v>57938.7</v>
      </c>
      <c r="AP13">
        <v>44634</v>
      </c>
      <c r="AQ13" t="s">
        <v>692</v>
      </c>
      <c r="AR13">
        <v>57938.7</v>
      </c>
      <c r="AS13" t="s">
        <v>88</v>
      </c>
      <c r="AU13" t="s">
        <v>647</v>
      </c>
    </row>
    <row r="14" spans="1:47" x14ac:dyDescent="0.3">
      <c r="A14" t="s">
        <v>697</v>
      </c>
      <c r="B14" t="s">
        <v>80</v>
      </c>
      <c r="C14" t="s">
        <v>698</v>
      </c>
      <c r="D14" t="s">
        <v>699</v>
      </c>
      <c r="E14">
        <v>38540</v>
      </c>
      <c r="F14" t="s">
        <v>538</v>
      </c>
      <c r="G14">
        <v>1717527041</v>
      </c>
      <c r="H14">
        <v>0</v>
      </c>
      <c r="I14">
        <v>1717527041</v>
      </c>
      <c r="J14">
        <v>1753594559</v>
      </c>
      <c r="K14">
        <v>0</v>
      </c>
      <c r="L14">
        <v>1753594559</v>
      </c>
      <c r="M14" t="s">
        <v>700</v>
      </c>
      <c r="N14" t="s">
        <v>701</v>
      </c>
      <c r="O14" t="s">
        <v>701</v>
      </c>
      <c r="P14" t="s">
        <v>641</v>
      </c>
      <c r="Q14" t="s">
        <v>642</v>
      </c>
      <c r="R14" t="s">
        <v>643</v>
      </c>
      <c r="S14">
        <v>1945226420</v>
      </c>
      <c r="T14">
        <v>36067518</v>
      </c>
      <c r="U14">
        <v>36067518</v>
      </c>
      <c r="V14">
        <v>0</v>
      </c>
      <c r="Z14" t="s">
        <v>702</v>
      </c>
      <c r="AK14">
        <v>4</v>
      </c>
      <c r="AL14">
        <v>154160</v>
      </c>
      <c r="AM14">
        <v>2.7452714014746604</v>
      </c>
      <c r="AN14">
        <v>105802.75981283342</v>
      </c>
      <c r="AP14">
        <v>45475</v>
      </c>
      <c r="AQ14" t="s">
        <v>154</v>
      </c>
      <c r="AR14">
        <v>156960</v>
      </c>
      <c r="AS14" t="s">
        <v>154</v>
      </c>
      <c r="AT14" t="s">
        <v>109</v>
      </c>
      <c r="AU14" t="s">
        <v>647</v>
      </c>
    </row>
    <row r="15" spans="1:47" x14ac:dyDescent="0.3">
      <c r="A15" t="s">
        <v>703</v>
      </c>
      <c r="B15" t="s">
        <v>80</v>
      </c>
      <c r="C15" t="s">
        <v>704</v>
      </c>
      <c r="D15" t="s">
        <v>705</v>
      </c>
      <c r="E15">
        <v>13100</v>
      </c>
      <c r="F15" t="s">
        <v>538</v>
      </c>
      <c r="G15">
        <v>672047410</v>
      </c>
      <c r="H15">
        <v>0</v>
      </c>
      <c r="I15">
        <v>672047410</v>
      </c>
      <c r="J15">
        <v>686160191</v>
      </c>
      <c r="K15">
        <v>0</v>
      </c>
      <c r="L15">
        <v>686160191</v>
      </c>
      <c r="M15" t="s">
        <v>700</v>
      </c>
      <c r="N15" t="s">
        <v>706</v>
      </c>
      <c r="O15" t="s">
        <v>706</v>
      </c>
      <c r="P15" t="s">
        <v>641</v>
      </c>
      <c r="Q15" t="s">
        <v>642</v>
      </c>
      <c r="R15" t="s">
        <v>643</v>
      </c>
      <c r="S15">
        <v>373713211</v>
      </c>
      <c r="T15">
        <v>14112781</v>
      </c>
      <c r="U15">
        <v>14112781</v>
      </c>
      <c r="V15">
        <v>0</v>
      </c>
      <c r="Z15" t="s">
        <v>707</v>
      </c>
      <c r="AK15">
        <v>2.4</v>
      </c>
      <c r="AL15">
        <v>31440</v>
      </c>
      <c r="AM15">
        <v>1.6399903869262196</v>
      </c>
      <c r="AN15">
        <v>21483.874068733476</v>
      </c>
      <c r="AO15">
        <v>15038.72</v>
      </c>
      <c r="AP15">
        <v>44235</v>
      </c>
      <c r="AQ15" t="s">
        <v>108</v>
      </c>
      <c r="AR15">
        <v>21483.874068733476</v>
      </c>
      <c r="AS15" t="s">
        <v>88</v>
      </c>
      <c r="AT15" t="s">
        <v>109</v>
      </c>
      <c r="AU15" t="s">
        <v>647</v>
      </c>
    </row>
    <row r="16" spans="1:47" x14ac:dyDescent="0.3">
      <c r="A16" t="s">
        <v>703</v>
      </c>
      <c r="B16" t="s">
        <v>80</v>
      </c>
      <c r="C16" t="s">
        <v>708</v>
      </c>
      <c r="D16" t="s">
        <v>709</v>
      </c>
      <c r="E16">
        <v>13800</v>
      </c>
      <c r="F16" t="s">
        <v>538</v>
      </c>
      <c r="G16">
        <v>700807246</v>
      </c>
      <c r="H16">
        <v>0</v>
      </c>
      <c r="I16">
        <v>700807246</v>
      </c>
      <c r="J16">
        <v>715523974</v>
      </c>
      <c r="K16">
        <v>0</v>
      </c>
      <c r="L16">
        <v>715523974</v>
      </c>
      <c r="M16" t="s">
        <v>700</v>
      </c>
      <c r="N16" t="s">
        <v>710</v>
      </c>
      <c r="O16" t="s">
        <v>710</v>
      </c>
      <c r="P16" t="s">
        <v>641</v>
      </c>
      <c r="Q16" t="s">
        <v>642</v>
      </c>
      <c r="R16" t="s">
        <v>643</v>
      </c>
      <c r="S16">
        <v>393682619</v>
      </c>
      <c r="T16">
        <v>14716728</v>
      </c>
      <c r="U16">
        <v>14716728</v>
      </c>
      <c r="V16">
        <v>0</v>
      </c>
      <c r="Z16" t="s">
        <v>711</v>
      </c>
      <c r="AK16">
        <v>2.4</v>
      </c>
      <c r="AL16">
        <v>33120</v>
      </c>
      <c r="AM16">
        <v>1.6399903869262196</v>
      </c>
      <c r="AN16">
        <v>22631.86733958183</v>
      </c>
      <c r="AO16">
        <v>15842.3</v>
      </c>
      <c r="AP16">
        <v>44235</v>
      </c>
      <c r="AQ16" t="s">
        <v>108</v>
      </c>
      <c r="AR16">
        <v>22631.86733958183</v>
      </c>
      <c r="AS16" t="s">
        <v>88</v>
      </c>
      <c r="AT16" t="s">
        <v>109</v>
      </c>
      <c r="AU16" t="s">
        <v>647</v>
      </c>
    </row>
    <row r="17" spans="1:47" x14ac:dyDescent="0.3">
      <c r="A17" t="s">
        <v>703</v>
      </c>
      <c r="B17" t="s">
        <v>80</v>
      </c>
      <c r="C17" t="s">
        <v>712</v>
      </c>
      <c r="D17" t="s">
        <v>713</v>
      </c>
      <c r="E17">
        <v>38609.599999999999</v>
      </c>
      <c r="F17" t="s">
        <v>538</v>
      </c>
      <c r="G17">
        <v>1720646576</v>
      </c>
      <c r="H17">
        <v>93586060</v>
      </c>
      <c r="I17">
        <v>1627060516</v>
      </c>
      <c r="J17">
        <v>1756779604</v>
      </c>
      <c r="K17">
        <v>95551338</v>
      </c>
      <c r="L17">
        <v>1661228266</v>
      </c>
      <c r="M17" t="s">
        <v>700</v>
      </c>
      <c r="N17" t="s">
        <v>714</v>
      </c>
      <c r="O17" t="s">
        <v>714</v>
      </c>
      <c r="P17" t="s">
        <v>641</v>
      </c>
      <c r="Q17" t="s">
        <v>642</v>
      </c>
      <c r="R17" t="s">
        <v>643</v>
      </c>
      <c r="S17">
        <v>1101444089</v>
      </c>
      <c r="T17">
        <v>36133028</v>
      </c>
      <c r="U17">
        <v>34167750</v>
      </c>
      <c r="V17">
        <v>1965278</v>
      </c>
      <c r="Z17" t="s">
        <v>715</v>
      </c>
      <c r="AK17">
        <v>2.4</v>
      </c>
      <c r="AL17">
        <v>92663.039999999994</v>
      </c>
      <c r="AM17">
        <v>2</v>
      </c>
      <c r="AN17">
        <v>77219.199999999997</v>
      </c>
      <c r="AP17">
        <v>44286</v>
      </c>
      <c r="AQ17" t="s">
        <v>101</v>
      </c>
      <c r="AR17">
        <v>77219.199999999997</v>
      </c>
      <c r="AS17" t="s">
        <v>101</v>
      </c>
      <c r="AU17" t="s">
        <v>647</v>
      </c>
    </row>
    <row r="18" spans="1:47" x14ac:dyDescent="0.3">
      <c r="A18" t="s">
        <v>716</v>
      </c>
      <c r="B18" t="s">
        <v>80</v>
      </c>
      <c r="C18" t="s">
        <v>717</v>
      </c>
      <c r="D18" t="s">
        <v>718</v>
      </c>
      <c r="E18">
        <v>14000</v>
      </c>
      <c r="F18" t="s">
        <v>538</v>
      </c>
      <c r="G18">
        <v>2800983803</v>
      </c>
      <c r="H18">
        <v>0</v>
      </c>
      <c r="I18">
        <v>2800983803</v>
      </c>
      <c r="J18">
        <v>2859803567</v>
      </c>
      <c r="K18">
        <v>0</v>
      </c>
      <c r="L18">
        <v>2859803567</v>
      </c>
      <c r="M18" t="s">
        <v>719</v>
      </c>
      <c r="N18" t="s">
        <v>720</v>
      </c>
      <c r="O18" t="s">
        <v>720</v>
      </c>
      <c r="P18" t="s">
        <v>641</v>
      </c>
      <c r="Q18" t="s">
        <v>642</v>
      </c>
      <c r="R18" t="s">
        <v>643</v>
      </c>
      <c r="S18">
        <v>623619756</v>
      </c>
      <c r="T18">
        <v>58819764</v>
      </c>
      <c r="U18">
        <v>58819764</v>
      </c>
      <c r="V18">
        <v>0</v>
      </c>
      <c r="Z18" t="s">
        <v>721</v>
      </c>
      <c r="AK18">
        <v>3.3525714285714288</v>
      </c>
      <c r="AL18">
        <v>46936</v>
      </c>
      <c r="AM18">
        <v>3.3525714285714288</v>
      </c>
      <c r="AN18">
        <v>46936</v>
      </c>
      <c r="AP18">
        <v>43859</v>
      </c>
      <c r="AQ18" t="s">
        <v>663</v>
      </c>
      <c r="AR18">
        <v>46936</v>
      </c>
      <c r="AS18" t="s">
        <v>664</v>
      </c>
      <c r="AT18" t="s">
        <v>722</v>
      </c>
      <c r="AU18" t="s">
        <v>647</v>
      </c>
    </row>
    <row r="19" spans="1:47" x14ac:dyDescent="0.3">
      <c r="A19" t="s">
        <v>89</v>
      </c>
      <c r="B19" t="s">
        <v>80</v>
      </c>
      <c r="C19" t="s">
        <v>723</v>
      </c>
      <c r="D19" t="s">
        <v>724</v>
      </c>
      <c r="E19">
        <v>31555.06</v>
      </c>
      <c r="F19" t="s">
        <v>538</v>
      </c>
      <c r="G19">
        <v>6912627955</v>
      </c>
      <c r="H19">
        <v>577602874</v>
      </c>
      <c r="I19">
        <v>6335025081</v>
      </c>
      <c r="J19">
        <v>7057790931</v>
      </c>
      <c r="K19">
        <v>589732349</v>
      </c>
      <c r="L19">
        <v>6468058582</v>
      </c>
      <c r="M19" t="s">
        <v>725</v>
      </c>
      <c r="N19" t="s">
        <v>726</v>
      </c>
      <c r="O19" t="s">
        <v>726</v>
      </c>
      <c r="P19" t="s">
        <v>641</v>
      </c>
      <c r="Q19" t="s">
        <v>642</v>
      </c>
      <c r="R19" t="s">
        <v>643</v>
      </c>
      <c r="S19">
        <v>796474182</v>
      </c>
      <c r="T19">
        <v>145162976</v>
      </c>
      <c r="U19">
        <v>133033501</v>
      </c>
      <c r="V19">
        <v>12129475</v>
      </c>
      <c r="Z19" t="s">
        <v>727</v>
      </c>
      <c r="AK19">
        <v>2.700003433240636</v>
      </c>
      <c r="AL19">
        <v>85198.770336114263</v>
      </c>
      <c r="AM19">
        <v>3.8</v>
      </c>
      <c r="AN19">
        <v>119909</v>
      </c>
      <c r="AO19">
        <v>59639.15</v>
      </c>
      <c r="AP19">
        <v>45698</v>
      </c>
      <c r="AQ19" t="s">
        <v>108</v>
      </c>
      <c r="AR19">
        <v>119909</v>
      </c>
      <c r="AS19" t="s">
        <v>88</v>
      </c>
      <c r="AT19" t="s">
        <v>109</v>
      </c>
      <c r="AU19" t="s">
        <v>647</v>
      </c>
    </row>
    <row r="20" spans="1:47" x14ac:dyDescent="0.3">
      <c r="A20" t="s">
        <v>89</v>
      </c>
      <c r="B20" t="s">
        <v>80</v>
      </c>
      <c r="C20" t="s">
        <v>728</v>
      </c>
      <c r="D20" t="s">
        <v>729</v>
      </c>
      <c r="E20">
        <v>14617.1</v>
      </c>
      <c r="F20" t="s">
        <v>538</v>
      </c>
      <c r="G20">
        <v>11437257163</v>
      </c>
      <c r="H20">
        <v>0</v>
      </c>
      <c r="I20">
        <v>0</v>
      </c>
      <c r="J20">
        <v>11899310140</v>
      </c>
      <c r="K20">
        <v>2443128020</v>
      </c>
      <c r="L20">
        <v>9456182120</v>
      </c>
      <c r="M20" t="s">
        <v>158</v>
      </c>
      <c r="N20" t="s">
        <v>730</v>
      </c>
      <c r="O20" t="s">
        <v>158</v>
      </c>
      <c r="P20" t="s">
        <v>641</v>
      </c>
      <c r="Q20" t="s">
        <v>642</v>
      </c>
      <c r="R20" t="s">
        <v>643</v>
      </c>
      <c r="S20">
        <v>337524260</v>
      </c>
      <c r="T20">
        <v>462052977</v>
      </c>
      <c r="U20">
        <v>9456182120</v>
      </c>
      <c r="V20">
        <v>2443128020</v>
      </c>
      <c r="Z20" t="s">
        <v>731</v>
      </c>
      <c r="AK20">
        <v>2.7</v>
      </c>
      <c r="AL20">
        <v>34131.456000000006</v>
      </c>
      <c r="AM20">
        <v>2.7</v>
      </c>
      <c r="AN20">
        <v>34131.456000000006</v>
      </c>
      <c r="AP20">
        <v>44286</v>
      </c>
      <c r="AQ20" t="s">
        <v>101</v>
      </c>
      <c r="AR20">
        <v>34131.456000000006</v>
      </c>
      <c r="AS20" t="s">
        <v>101</v>
      </c>
      <c r="AU20" t="s">
        <v>647</v>
      </c>
    </row>
    <row r="21" spans="1:47" x14ac:dyDescent="0.3">
      <c r="A21" t="s">
        <v>89</v>
      </c>
      <c r="B21" t="s">
        <v>80</v>
      </c>
      <c r="C21" t="s">
        <v>732</v>
      </c>
      <c r="D21" t="s">
        <v>729</v>
      </c>
      <c r="E21">
        <v>12984.42</v>
      </c>
      <c r="F21" t="s">
        <v>538</v>
      </c>
      <c r="G21">
        <v>11437257163</v>
      </c>
      <c r="H21">
        <v>0</v>
      </c>
      <c r="I21">
        <v>0</v>
      </c>
      <c r="J21">
        <v>11899310140</v>
      </c>
      <c r="K21">
        <v>2443128020</v>
      </c>
      <c r="L21">
        <v>9456182120</v>
      </c>
      <c r="M21" t="s">
        <v>158</v>
      </c>
      <c r="N21" t="s">
        <v>733</v>
      </c>
      <c r="O21" t="s">
        <v>158</v>
      </c>
      <c r="P21" t="s">
        <v>641</v>
      </c>
      <c r="Q21" t="s">
        <v>642</v>
      </c>
      <c r="R21" t="s">
        <v>643</v>
      </c>
      <c r="S21">
        <v>346686156</v>
      </c>
      <c r="T21">
        <v>462052977</v>
      </c>
      <c r="U21">
        <v>9456182120</v>
      </c>
      <c r="V21">
        <v>2443128020</v>
      </c>
      <c r="Z21" t="s">
        <v>734</v>
      </c>
      <c r="AK21">
        <v>2.85</v>
      </c>
      <c r="AL21">
        <v>37005.597000000002</v>
      </c>
      <c r="AM21">
        <v>2.85</v>
      </c>
      <c r="AN21">
        <v>37005.597000000002</v>
      </c>
      <c r="AP21">
        <v>44286</v>
      </c>
      <c r="AQ21" t="s">
        <v>101</v>
      </c>
      <c r="AR21">
        <v>37005.597000000002</v>
      </c>
      <c r="AS21" t="s">
        <v>101</v>
      </c>
      <c r="AU21" t="s">
        <v>647</v>
      </c>
    </row>
    <row r="22" spans="1:47" x14ac:dyDescent="0.3">
      <c r="A22" t="s">
        <v>89</v>
      </c>
      <c r="B22" t="s">
        <v>80</v>
      </c>
      <c r="C22" t="s">
        <v>735</v>
      </c>
      <c r="D22" t="s">
        <v>729</v>
      </c>
      <c r="E22">
        <v>9832.43</v>
      </c>
      <c r="F22" t="s">
        <v>538</v>
      </c>
      <c r="G22">
        <v>11437257163</v>
      </c>
      <c r="H22">
        <v>0</v>
      </c>
      <c r="I22">
        <v>0</v>
      </c>
      <c r="J22">
        <v>11899310140</v>
      </c>
      <c r="K22">
        <v>2443128020</v>
      </c>
      <c r="L22">
        <v>9456182120</v>
      </c>
      <c r="M22" t="s">
        <v>158</v>
      </c>
      <c r="N22" t="s">
        <v>736</v>
      </c>
      <c r="O22" t="s">
        <v>158</v>
      </c>
      <c r="P22" t="s">
        <v>641</v>
      </c>
      <c r="Q22" t="s">
        <v>642</v>
      </c>
      <c r="R22" t="s">
        <v>643</v>
      </c>
      <c r="S22">
        <v>262527503</v>
      </c>
      <c r="T22">
        <v>462052977</v>
      </c>
      <c r="U22">
        <v>9456182120</v>
      </c>
      <c r="V22">
        <v>2443128020</v>
      </c>
      <c r="Z22" t="s">
        <v>737</v>
      </c>
      <c r="AK22">
        <v>2.8</v>
      </c>
      <c r="AL22">
        <v>27530.795600000001</v>
      </c>
      <c r="AM22">
        <v>2.8</v>
      </c>
      <c r="AN22">
        <v>27530.795600000001</v>
      </c>
      <c r="AO22">
        <v>17206.490000000002</v>
      </c>
      <c r="AP22">
        <v>44286</v>
      </c>
      <c r="AQ22" t="s">
        <v>101</v>
      </c>
      <c r="AR22">
        <v>27530.795600000001</v>
      </c>
      <c r="AS22" t="s">
        <v>88</v>
      </c>
      <c r="AU22" t="s">
        <v>647</v>
      </c>
    </row>
    <row r="23" spans="1:47" x14ac:dyDescent="0.3">
      <c r="A23" t="s">
        <v>89</v>
      </c>
      <c r="B23" t="s">
        <v>80</v>
      </c>
      <c r="C23" t="s">
        <v>738</v>
      </c>
      <c r="D23" t="s">
        <v>729</v>
      </c>
      <c r="E23">
        <v>14464.17</v>
      </c>
      <c r="F23" t="s">
        <v>538</v>
      </c>
      <c r="G23">
        <v>11437257163</v>
      </c>
      <c r="H23">
        <v>0</v>
      </c>
      <c r="I23">
        <v>0</v>
      </c>
      <c r="J23">
        <v>11899310140</v>
      </c>
      <c r="K23">
        <v>2443128020</v>
      </c>
      <c r="L23">
        <v>9456182120</v>
      </c>
      <c r="M23" t="s">
        <v>158</v>
      </c>
      <c r="N23" t="s">
        <v>739</v>
      </c>
      <c r="O23" t="s">
        <v>158</v>
      </c>
      <c r="P23" t="s">
        <v>641</v>
      </c>
      <c r="Q23" t="s">
        <v>642</v>
      </c>
      <c r="R23" t="s">
        <v>643</v>
      </c>
      <c r="S23">
        <v>386195724</v>
      </c>
      <c r="T23">
        <v>462052977</v>
      </c>
      <c r="U23">
        <v>9456182120</v>
      </c>
      <c r="V23">
        <v>2443128020</v>
      </c>
      <c r="Z23" t="s">
        <v>740</v>
      </c>
      <c r="AK23">
        <v>2.8</v>
      </c>
      <c r="AL23">
        <v>40499.675999999999</v>
      </c>
      <c r="AM23">
        <v>2.2499399182888729</v>
      </c>
      <c r="AN23">
        <v>32543.513467916368</v>
      </c>
      <c r="AO23">
        <v>22780.46</v>
      </c>
      <c r="AP23">
        <v>44235</v>
      </c>
      <c r="AQ23" t="s">
        <v>108</v>
      </c>
      <c r="AR23">
        <v>32543.513467916368</v>
      </c>
      <c r="AS23" t="s">
        <v>88</v>
      </c>
      <c r="AT23" t="s">
        <v>109</v>
      </c>
      <c r="AU23" t="s">
        <v>647</v>
      </c>
    </row>
    <row r="24" spans="1:47" x14ac:dyDescent="0.3">
      <c r="A24" t="s">
        <v>89</v>
      </c>
      <c r="B24" t="s">
        <v>80</v>
      </c>
      <c r="C24" t="s">
        <v>741</v>
      </c>
      <c r="D24" t="s">
        <v>742</v>
      </c>
      <c r="E24">
        <v>14951.66</v>
      </c>
      <c r="F24" t="s">
        <v>538</v>
      </c>
      <c r="G24">
        <v>2991450701</v>
      </c>
      <c r="H24">
        <v>0</v>
      </c>
      <c r="I24">
        <v>0</v>
      </c>
      <c r="J24">
        <v>3054270209</v>
      </c>
      <c r="K24">
        <v>371978735</v>
      </c>
      <c r="L24">
        <v>2682291474</v>
      </c>
      <c r="N24" t="s">
        <v>743</v>
      </c>
      <c r="O24" t="s">
        <v>743</v>
      </c>
      <c r="P24" t="s">
        <v>641</v>
      </c>
      <c r="Q24" t="s">
        <v>642</v>
      </c>
      <c r="R24" t="s">
        <v>643</v>
      </c>
      <c r="S24">
        <v>456569743</v>
      </c>
      <c r="T24">
        <v>62819508</v>
      </c>
      <c r="U24">
        <v>2682291474</v>
      </c>
      <c r="V24">
        <v>371978735</v>
      </c>
      <c r="Z24" t="s">
        <v>744</v>
      </c>
      <c r="AK24">
        <v>3.470584537101566</v>
      </c>
      <c r="AL24">
        <v>51891</v>
      </c>
      <c r="AM24">
        <v>2.8017941256606238</v>
      </c>
      <c r="AN24">
        <v>41891.473156874919</v>
      </c>
      <c r="AP24">
        <v>45489</v>
      </c>
      <c r="AQ24" t="s">
        <v>154</v>
      </c>
      <c r="AR24">
        <v>49296.45</v>
      </c>
      <c r="AS24" t="s">
        <v>88</v>
      </c>
      <c r="AU24" t="s">
        <v>647</v>
      </c>
    </row>
    <row r="25" spans="1:47" x14ac:dyDescent="0.3">
      <c r="A25" t="s">
        <v>89</v>
      </c>
      <c r="B25" t="s">
        <v>80</v>
      </c>
      <c r="C25" t="s">
        <v>745</v>
      </c>
      <c r="D25" t="s">
        <v>746</v>
      </c>
      <c r="E25">
        <v>8870.74</v>
      </c>
      <c r="F25" t="s">
        <v>538</v>
      </c>
      <c r="G25">
        <v>420562323</v>
      </c>
      <c r="H25">
        <v>0</v>
      </c>
      <c r="I25">
        <v>420562323</v>
      </c>
      <c r="J25">
        <v>1652797663</v>
      </c>
      <c r="K25">
        <v>1652797663</v>
      </c>
      <c r="L25">
        <v>0</v>
      </c>
      <c r="M25" t="s">
        <v>167</v>
      </c>
      <c r="N25" t="s">
        <v>747</v>
      </c>
      <c r="O25" t="s">
        <v>747</v>
      </c>
      <c r="P25" t="s">
        <v>641</v>
      </c>
      <c r="Q25" t="s">
        <v>642</v>
      </c>
      <c r="R25" t="s">
        <v>680</v>
      </c>
      <c r="S25">
        <v>264201423</v>
      </c>
      <c r="T25">
        <v>1232235340</v>
      </c>
      <c r="U25">
        <v>-420562323</v>
      </c>
      <c r="V25">
        <v>1652797663</v>
      </c>
      <c r="Z25" t="s">
        <v>748</v>
      </c>
      <c r="AK25">
        <v>3.3</v>
      </c>
      <c r="AL25">
        <v>29274.3</v>
      </c>
      <c r="AM25">
        <v>3.2236011519851204</v>
      </c>
      <c r="AN25">
        <v>61534.532365487983</v>
      </c>
      <c r="AP25">
        <v>45496</v>
      </c>
      <c r="AQ25" t="s">
        <v>154</v>
      </c>
      <c r="AR25">
        <v>61534.532365487983</v>
      </c>
      <c r="AS25" t="s">
        <v>154</v>
      </c>
      <c r="AT25" t="s">
        <v>109</v>
      </c>
      <c r="AU25" t="s">
        <v>647</v>
      </c>
    </row>
    <row r="26" spans="1:47" x14ac:dyDescent="0.3">
      <c r="A26" t="s">
        <v>89</v>
      </c>
      <c r="B26" t="s">
        <v>80</v>
      </c>
      <c r="C26" t="s">
        <v>749</v>
      </c>
      <c r="D26" t="s">
        <v>750</v>
      </c>
      <c r="E26">
        <v>1643.51</v>
      </c>
      <c r="F26" t="s">
        <v>538</v>
      </c>
      <c r="G26">
        <v>101445527</v>
      </c>
      <c r="H26">
        <v>0</v>
      </c>
      <c r="I26">
        <v>101445527</v>
      </c>
      <c r="J26">
        <v>105543818</v>
      </c>
      <c r="K26">
        <v>105543818</v>
      </c>
      <c r="L26">
        <v>0</v>
      </c>
      <c r="M26" t="s">
        <v>167</v>
      </c>
      <c r="N26" t="s">
        <v>751</v>
      </c>
      <c r="O26" t="s">
        <v>751</v>
      </c>
      <c r="P26" t="s">
        <v>641</v>
      </c>
      <c r="Q26" t="s">
        <v>642</v>
      </c>
      <c r="R26" t="s">
        <v>680</v>
      </c>
      <c r="S26">
        <v>48962590</v>
      </c>
      <c r="T26">
        <v>4098291</v>
      </c>
      <c r="U26">
        <v>-101445527</v>
      </c>
      <c r="V26">
        <v>105543818</v>
      </c>
      <c r="Z26" t="s">
        <v>752</v>
      </c>
      <c r="AK26">
        <v>3.3</v>
      </c>
      <c r="AL26">
        <v>5425.2</v>
      </c>
      <c r="AM26">
        <v>3.2236011519851204</v>
      </c>
      <c r="AN26">
        <v>3272.2643670363259</v>
      </c>
      <c r="AP26">
        <v>45496</v>
      </c>
      <c r="AQ26" t="s">
        <v>154</v>
      </c>
      <c r="AR26">
        <v>5379.0549454757411</v>
      </c>
      <c r="AS26" t="s">
        <v>154</v>
      </c>
      <c r="AT26" t="s">
        <v>109</v>
      </c>
      <c r="AU26" t="s">
        <v>647</v>
      </c>
    </row>
    <row r="27" spans="1:47" x14ac:dyDescent="0.3">
      <c r="A27" t="s">
        <v>89</v>
      </c>
      <c r="B27" t="s">
        <v>80</v>
      </c>
      <c r="C27" t="s">
        <v>753</v>
      </c>
      <c r="D27" t="s">
        <v>754</v>
      </c>
      <c r="E27">
        <v>5011.87</v>
      </c>
      <c r="F27" t="s">
        <v>538</v>
      </c>
      <c r="G27">
        <v>275328491</v>
      </c>
      <c r="H27">
        <v>0</v>
      </c>
      <c r="I27">
        <v>275328491</v>
      </c>
      <c r="J27">
        <v>593400621</v>
      </c>
      <c r="K27">
        <v>593400621</v>
      </c>
      <c r="L27">
        <v>0</v>
      </c>
      <c r="M27" t="s">
        <v>167</v>
      </c>
      <c r="N27" t="s">
        <v>755</v>
      </c>
      <c r="O27" t="s">
        <v>755</v>
      </c>
      <c r="P27" t="s">
        <v>641</v>
      </c>
      <c r="Q27" t="s">
        <v>642</v>
      </c>
      <c r="R27" t="s">
        <v>680</v>
      </c>
      <c r="S27">
        <v>149270379</v>
      </c>
      <c r="T27">
        <v>318072130</v>
      </c>
      <c r="U27">
        <v>-275328491</v>
      </c>
      <c r="V27">
        <v>593400621</v>
      </c>
      <c r="Z27" t="s">
        <v>756</v>
      </c>
      <c r="AK27">
        <v>3.3</v>
      </c>
      <c r="AL27">
        <v>16539.599999999999</v>
      </c>
      <c r="AM27">
        <v>3.2236011519851204</v>
      </c>
      <c r="AN27">
        <v>28758.681144441205</v>
      </c>
      <c r="AP27">
        <v>45496</v>
      </c>
      <c r="AQ27" t="s">
        <v>154</v>
      </c>
      <c r="AR27">
        <v>28758.681144441205</v>
      </c>
      <c r="AS27" t="s">
        <v>154</v>
      </c>
      <c r="AT27" t="s">
        <v>109</v>
      </c>
      <c r="AU27" t="s">
        <v>647</v>
      </c>
    </row>
    <row r="28" spans="1:47" x14ac:dyDescent="0.3">
      <c r="A28" t="s">
        <v>89</v>
      </c>
      <c r="B28" t="s">
        <v>80</v>
      </c>
      <c r="C28" t="s">
        <v>757</v>
      </c>
      <c r="D28" t="s">
        <v>758</v>
      </c>
      <c r="E28">
        <v>4739.49</v>
      </c>
      <c r="F28" t="s">
        <v>538</v>
      </c>
      <c r="G28">
        <v>263897734</v>
      </c>
      <c r="H28">
        <v>0</v>
      </c>
      <c r="I28">
        <v>263897734</v>
      </c>
      <c r="J28">
        <v>274558921</v>
      </c>
      <c r="K28">
        <v>274558921</v>
      </c>
      <c r="L28">
        <v>0</v>
      </c>
      <c r="M28" t="s">
        <v>167</v>
      </c>
      <c r="N28" t="s">
        <v>759</v>
      </c>
      <c r="O28" t="s">
        <v>759</v>
      </c>
      <c r="P28" t="s">
        <v>641</v>
      </c>
      <c r="Q28" t="s">
        <v>642</v>
      </c>
      <c r="R28" t="s">
        <v>680</v>
      </c>
      <c r="S28">
        <v>141139730</v>
      </c>
      <c r="T28">
        <v>10661187</v>
      </c>
      <c r="U28">
        <v>-263897734</v>
      </c>
      <c r="V28">
        <v>274558921</v>
      </c>
      <c r="Z28" t="s">
        <v>760</v>
      </c>
      <c r="AK28">
        <v>2.1994964368352545</v>
      </c>
      <c r="AL28">
        <v>10422.758164224097</v>
      </c>
      <c r="AM28">
        <v>3.2236011519851204</v>
      </c>
      <c r="AN28">
        <v>14312.831133866206</v>
      </c>
      <c r="AP28">
        <v>45496</v>
      </c>
      <c r="AQ28" t="s">
        <v>154</v>
      </c>
      <c r="AR28">
        <v>15505.68210864327</v>
      </c>
      <c r="AS28" t="s">
        <v>154</v>
      </c>
      <c r="AT28" t="s">
        <v>109</v>
      </c>
      <c r="AU28" t="s">
        <v>647</v>
      </c>
    </row>
    <row r="29" spans="1:47" x14ac:dyDescent="0.3">
      <c r="A29" t="s">
        <v>89</v>
      </c>
      <c r="B29" t="s">
        <v>80</v>
      </c>
      <c r="C29" t="s">
        <v>761</v>
      </c>
      <c r="D29" t="s">
        <v>762</v>
      </c>
      <c r="E29">
        <v>4425.59</v>
      </c>
      <c r="F29" t="s">
        <v>538</v>
      </c>
      <c r="G29">
        <v>247971431</v>
      </c>
      <c r="H29">
        <v>0</v>
      </c>
      <c r="I29">
        <v>247971431</v>
      </c>
      <c r="J29">
        <v>257989212</v>
      </c>
      <c r="K29">
        <v>257989212</v>
      </c>
      <c r="L29">
        <v>0</v>
      </c>
      <c r="M29" t="s">
        <v>167</v>
      </c>
      <c r="N29" t="s">
        <v>763</v>
      </c>
      <c r="O29" t="s">
        <v>763</v>
      </c>
      <c r="P29" t="s">
        <v>641</v>
      </c>
      <c r="Q29" t="s">
        <v>642</v>
      </c>
      <c r="R29" t="s">
        <v>680</v>
      </c>
      <c r="S29">
        <v>132621907</v>
      </c>
      <c r="T29">
        <v>10017781</v>
      </c>
      <c r="U29">
        <v>-247971431</v>
      </c>
      <c r="V29">
        <v>257989212</v>
      </c>
      <c r="Z29" t="s">
        <v>764</v>
      </c>
      <c r="AK29">
        <v>3.3</v>
      </c>
      <c r="AL29">
        <v>14694.9</v>
      </c>
      <c r="AM29">
        <v>3.2236011519851204</v>
      </c>
      <c r="AN29">
        <v>13461.510322929926</v>
      </c>
      <c r="AP29">
        <v>45496</v>
      </c>
      <c r="AQ29" t="s">
        <v>154</v>
      </c>
      <c r="AR29">
        <v>14569.909776279485</v>
      </c>
      <c r="AS29" t="s">
        <v>88</v>
      </c>
      <c r="AT29" t="s">
        <v>109</v>
      </c>
      <c r="AU29" t="s">
        <v>647</v>
      </c>
    </row>
    <row r="30" spans="1:47" x14ac:dyDescent="0.3">
      <c r="A30" t="s">
        <v>89</v>
      </c>
      <c r="B30" t="s">
        <v>80</v>
      </c>
      <c r="C30" t="s">
        <v>765</v>
      </c>
      <c r="D30" t="s">
        <v>766</v>
      </c>
      <c r="E30">
        <v>6412.44</v>
      </c>
      <c r="F30" t="s">
        <v>538</v>
      </c>
      <c r="G30">
        <v>332935294</v>
      </c>
      <c r="H30">
        <v>0</v>
      </c>
      <c r="I30">
        <v>332935294</v>
      </c>
      <c r="J30">
        <v>346385525</v>
      </c>
      <c r="L30">
        <v>346385525</v>
      </c>
      <c r="M30" t="s">
        <v>167</v>
      </c>
      <c r="N30" t="s">
        <v>767</v>
      </c>
      <c r="O30" t="s">
        <v>767</v>
      </c>
      <c r="P30" t="s">
        <v>641</v>
      </c>
      <c r="Q30" t="s">
        <v>642</v>
      </c>
      <c r="R30" t="s">
        <v>680</v>
      </c>
      <c r="S30">
        <v>190966016</v>
      </c>
      <c r="T30">
        <v>13450231</v>
      </c>
      <c r="U30">
        <v>13450231</v>
      </c>
      <c r="V30">
        <v>0</v>
      </c>
      <c r="Z30" t="s">
        <v>768</v>
      </c>
      <c r="AK30">
        <v>3.3</v>
      </c>
      <c r="AL30">
        <v>21159.599999999999</v>
      </c>
      <c r="AM30">
        <v>3.2236011519851204</v>
      </c>
      <c r="AN30">
        <v>12823.019714727716</v>
      </c>
      <c r="AP30">
        <v>45496</v>
      </c>
      <c r="AQ30" t="s">
        <v>154</v>
      </c>
      <c r="AR30">
        <v>20979.623059848203</v>
      </c>
      <c r="AS30" t="s">
        <v>88</v>
      </c>
      <c r="AT30" t="s">
        <v>109</v>
      </c>
      <c r="AU30" t="s">
        <v>647</v>
      </c>
    </row>
    <row r="31" spans="1:47" x14ac:dyDescent="0.3">
      <c r="A31" t="s">
        <v>89</v>
      </c>
      <c r="B31" t="s">
        <v>80</v>
      </c>
      <c r="C31" t="s">
        <v>769</v>
      </c>
      <c r="D31" t="s">
        <v>770</v>
      </c>
      <c r="E31">
        <v>3932.62</v>
      </c>
      <c r="F31" t="s">
        <v>538</v>
      </c>
      <c r="G31">
        <v>224933827</v>
      </c>
      <c r="H31">
        <v>0</v>
      </c>
      <c r="I31">
        <v>224933827</v>
      </c>
      <c r="J31">
        <v>234020914</v>
      </c>
      <c r="K31">
        <v>234020914</v>
      </c>
      <c r="L31">
        <v>0</v>
      </c>
      <c r="M31" t="s">
        <v>167</v>
      </c>
      <c r="N31" t="s">
        <v>771</v>
      </c>
      <c r="O31" t="s">
        <v>771</v>
      </c>
      <c r="P31" t="s">
        <v>641</v>
      </c>
      <c r="Q31" t="s">
        <v>642</v>
      </c>
      <c r="R31" t="s">
        <v>680</v>
      </c>
      <c r="S31">
        <v>117134956</v>
      </c>
      <c r="T31">
        <v>9087087</v>
      </c>
      <c r="U31">
        <v>-224933827</v>
      </c>
      <c r="V31">
        <v>234020914</v>
      </c>
      <c r="Z31" t="s">
        <v>772</v>
      </c>
      <c r="AK31">
        <v>3.3</v>
      </c>
      <c r="AL31">
        <v>12978.9</v>
      </c>
      <c r="AM31">
        <v>3.2236011519851204</v>
      </c>
      <c r="AN31">
        <v>11891.88757776616</v>
      </c>
      <c r="AP31">
        <v>45496</v>
      </c>
      <c r="AQ31" t="s">
        <v>154</v>
      </c>
      <c r="AR31">
        <v>12868.505535618058</v>
      </c>
      <c r="AS31" t="s">
        <v>154</v>
      </c>
      <c r="AT31" t="s">
        <v>109</v>
      </c>
      <c r="AU31" t="s">
        <v>647</v>
      </c>
    </row>
    <row r="32" spans="1:47" x14ac:dyDescent="0.3">
      <c r="A32" t="s">
        <v>89</v>
      </c>
      <c r="B32" t="s">
        <v>80</v>
      </c>
      <c r="C32" t="s">
        <v>773</v>
      </c>
      <c r="D32" t="s">
        <v>774</v>
      </c>
      <c r="E32">
        <v>4207.04</v>
      </c>
      <c r="F32" t="s">
        <v>538</v>
      </c>
      <c r="G32">
        <v>237438429</v>
      </c>
      <c r="H32">
        <v>0</v>
      </c>
      <c r="I32">
        <v>237438429</v>
      </c>
      <c r="J32">
        <v>247030688</v>
      </c>
      <c r="K32">
        <v>247030688</v>
      </c>
      <c r="L32">
        <v>0</v>
      </c>
      <c r="M32" t="s">
        <v>167</v>
      </c>
      <c r="N32" t="s">
        <v>775</v>
      </c>
      <c r="O32" t="s">
        <v>775</v>
      </c>
      <c r="P32" t="s">
        <v>641</v>
      </c>
      <c r="Q32" t="s">
        <v>642</v>
      </c>
      <c r="R32" t="s">
        <v>680</v>
      </c>
      <c r="S32">
        <v>125295388</v>
      </c>
      <c r="T32">
        <v>9592259</v>
      </c>
      <c r="U32">
        <v>-237438429</v>
      </c>
      <c r="V32">
        <v>247030688</v>
      </c>
      <c r="Z32" t="s">
        <v>776</v>
      </c>
      <c r="AK32">
        <v>3.3</v>
      </c>
      <c r="AL32">
        <v>13883.1</v>
      </c>
      <c r="AM32">
        <v>3.2236011519851204</v>
      </c>
      <c r="AN32">
        <v>11891.88757776616</v>
      </c>
      <c r="AP32">
        <v>45496</v>
      </c>
      <c r="AQ32" t="s">
        <v>154</v>
      </c>
      <c r="AR32">
        <v>13765.014693197349</v>
      </c>
      <c r="AS32" t="s">
        <v>88</v>
      </c>
      <c r="AT32" t="s">
        <v>109</v>
      </c>
      <c r="AU32" t="s">
        <v>647</v>
      </c>
    </row>
    <row r="33" spans="1:47" x14ac:dyDescent="0.3">
      <c r="A33" t="s">
        <v>777</v>
      </c>
      <c r="B33" t="s">
        <v>401</v>
      </c>
      <c r="C33" t="s">
        <v>778</v>
      </c>
      <c r="D33" t="s">
        <v>779</v>
      </c>
      <c r="E33">
        <v>172913.66</v>
      </c>
      <c r="F33" t="s">
        <v>538</v>
      </c>
      <c r="G33">
        <v>244593145</v>
      </c>
      <c r="H33">
        <v>46221791</v>
      </c>
      <c r="I33">
        <v>198371354</v>
      </c>
      <c r="J33">
        <v>249729601</v>
      </c>
      <c r="K33">
        <v>47192449</v>
      </c>
      <c r="L33">
        <v>202537152</v>
      </c>
      <c r="M33" t="s">
        <v>780</v>
      </c>
      <c r="N33" t="s">
        <v>781</v>
      </c>
      <c r="O33" t="s">
        <v>780</v>
      </c>
      <c r="P33" t="s">
        <v>641</v>
      </c>
      <c r="Q33" t="s">
        <v>642</v>
      </c>
      <c r="R33" t="s">
        <v>782</v>
      </c>
      <c r="S33">
        <v>166236338</v>
      </c>
      <c r="T33">
        <v>5136456</v>
      </c>
      <c r="U33">
        <v>4165798</v>
      </c>
      <c r="V33">
        <v>970658</v>
      </c>
      <c r="Z33" t="s">
        <v>783</v>
      </c>
      <c r="AK33">
        <v>0.83475025351685483</v>
      </c>
      <c r="AL33">
        <v>137418.89899214689</v>
      </c>
      <c r="AM33">
        <v>0.85</v>
      </c>
      <c r="AN33">
        <v>140597</v>
      </c>
      <c r="AP33">
        <v>44364</v>
      </c>
      <c r="AQ33" t="s">
        <v>663</v>
      </c>
      <c r="AR33">
        <v>140597</v>
      </c>
      <c r="AS33" t="s">
        <v>664</v>
      </c>
      <c r="AT33" t="s">
        <v>155</v>
      </c>
      <c r="AU33" t="s">
        <v>647</v>
      </c>
    </row>
    <row r="34" spans="1:47" x14ac:dyDescent="0.3">
      <c r="A34" t="s">
        <v>777</v>
      </c>
      <c r="B34" t="s">
        <v>401</v>
      </c>
      <c r="C34" t="s">
        <v>784</v>
      </c>
      <c r="D34" t="s">
        <v>779</v>
      </c>
      <c r="E34">
        <v>114818.47</v>
      </c>
      <c r="F34" t="s">
        <v>538</v>
      </c>
      <c r="G34">
        <v>244593145</v>
      </c>
      <c r="H34">
        <v>46221791</v>
      </c>
      <c r="I34">
        <v>198371354</v>
      </c>
      <c r="J34">
        <v>249729601</v>
      </c>
      <c r="K34">
        <v>47192449</v>
      </c>
      <c r="L34">
        <v>202537152</v>
      </c>
      <c r="M34" t="s">
        <v>780</v>
      </c>
      <c r="N34" t="s">
        <v>785</v>
      </c>
      <c r="O34" t="s">
        <v>780</v>
      </c>
      <c r="P34" t="s">
        <v>641</v>
      </c>
      <c r="Q34" t="s">
        <v>642</v>
      </c>
      <c r="R34" t="s">
        <v>782</v>
      </c>
      <c r="S34">
        <v>106820035</v>
      </c>
      <c r="T34">
        <v>5136456</v>
      </c>
      <c r="U34">
        <v>4165798</v>
      </c>
      <c r="V34">
        <v>970658</v>
      </c>
      <c r="Z34" t="s">
        <v>786</v>
      </c>
      <c r="AK34">
        <v>0.83475025351685483</v>
      </c>
      <c r="AL34">
        <v>88302.544670321644</v>
      </c>
      <c r="AM34">
        <v>0.75</v>
      </c>
      <c r="AN34">
        <v>79124</v>
      </c>
      <c r="AP34">
        <v>44410</v>
      </c>
      <c r="AQ34" t="s">
        <v>663</v>
      </c>
      <c r="AR34">
        <v>79124</v>
      </c>
      <c r="AS34" t="s">
        <v>664</v>
      </c>
      <c r="AT34" t="s">
        <v>155</v>
      </c>
      <c r="AU34" t="s">
        <v>647</v>
      </c>
    </row>
    <row r="35" spans="1:47" x14ac:dyDescent="0.3">
      <c r="A35" t="s">
        <v>777</v>
      </c>
      <c r="B35" t="s">
        <v>401</v>
      </c>
      <c r="C35" t="s">
        <v>787</v>
      </c>
      <c r="D35" t="s">
        <v>779</v>
      </c>
      <c r="E35">
        <v>446509.23</v>
      </c>
      <c r="F35" t="s">
        <v>538</v>
      </c>
      <c r="G35">
        <v>244593145</v>
      </c>
      <c r="H35">
        <v>46221791</v>
      </c>
      <c r="I35">
        <v>198371354</v>
      </c>
      <c r="J35">
        <v>249729601</v>
      </c>
      <c r="K35">
        <v>47192449</v>
      </c>
      <c r="L35">
        <v>202537152</v>
      </c>
      <c r="M35" t="s">
        <v>780</v>
      </c>
      <c r="N35" t="s">
        <v>788</v>
      </c>
      <c r="O35" t="s">
        <v>780</v>
      </c>
      <c r="P35" t="s">
        <v>641</v>
      </c>
      <c r="Q35" t="s">
        <v>642</v>
      </c>
      <c r="R35" t="s">
        <v>782</v>
      </c>
      <c r="S35">
        <v>420568010</v>
      </c>
      <c r="T35">
        <v>5136456</v>
      </c>
      <c r="U35">
        <v>4165798</v>
      </c>
      <c r="V35">
        <v>970658</v>
      </c>
      <c r="Z35" t="s">
        <v>789</v>
      </c>
      <c r="AK35">
        <v>0.83475025351685483</v>
      </c>
      <c r="AL35">
        <v>347661.6104411651</v>
      </c>
      <c r="AM35">
        <v>0.60287292401675752</v>
      </c>
      <c r="AN35">
        <v>251088</v>
      </c>
      <c r="AP35">
        <v>43696</v>
      </c>
      <c r="AQ35" t="s">
        <v>663</v>
      </c>
      <c r="AR35">
        <v>251088</v>
      </c>
      <c r="AS35" t="s">
        <v>664</v>
      </c>
      <c r="AT35" t="s">
        <v>722</v>
      </c>
      <c r="AU35" t="s">
        <v>647</v>
      </c>
    </row>
    <row r="36" spans="1:47" x14ac:dyDescent="0.3">
      <c r="A36" t="s">
        <v>777</v>
      </c>
      <c r="B36" t="s">
        <v>401</v>
      </c>
      <c r="C36" t="s">
        <v>790</v>
      </c>
      <c r="D36" t="s">
        <v>779</v>
      </c>
      <c r="E36">
        <v>9072.6299999999992</v>
      </c>
      <c r="F36" t="s">
        <v>538</v>
      </c>
      <c r="G36">
        <v>244593145</v>
      </c>
      <c r="H36">
        <v>46221791</v>
      </c>
      <c r="I36">
        <v>198371354</v>
      </c>
      <c r="J36">
        <v>249729601</v>
      </c>
      <c r="K36">
        <v>47192449</v>
      </c>
      <c r="L36">
        <v>202537152</v>
      </c>
      <c r="M36" t="s">
        <v>780</v>
      </c>
      <c r="N36" t="s">
        <v>791</v>
      </c>
      <c r="O36" t="s">
        <v>780</v>
      </c>
      <c r="P36" t="s">
        <v>641</v>
      </c>
      <c r="Q36" t="s">
        <v>642</v>
      </c>
      <c r="R36" t="s">
        <v>782</v>
      </c>
      <c r="S36">
        <v>7236137</v>
      </c>
      <c r="T36">
        <v>5136456</v>
      </c>
      <c r="U36">
        <v>4165798</v>
      </c>
      <c r="V36">
        <v>970658</v>
      </c>
      <c r="Z36" t="s">
        <v>792</v>
      </c>
      <c r="AK36">
        <v>0.83475025351685483</v>
      </c>
      <c r="AL36">
        <v>5981.7368416764302</v>
      </c>
      <c r="AM36">
        <v>0.65</v>
      </c>
      <c r="AN36">
        <v>4657.835</v>
      </c>
      <c r="AP36">
        <v>43375</v>
      </c>
      <c r="AQ36" t="s">
        <v>94</v>
      </c>
      <c r="AR36">
        <v>4657.835</v>
      </c>
      <c r="AS36" t="s">
        <v>88</v>
      </c>
      <c r="AU36" t="s">
        <v>647</v>
      </c>
    </row>
    <row r="37" spans="1:47" x14ac:dyDescent="0.3">
      <c r="A37" t="s">
        <v>793</v>
      </c>
      <c r="B37" t="s">
        <v>794</v>
      </c>
      <c r="C37" t="s">
        <v>795</v>
      </c>
      <c r="D37" t="s">
        <v>638</v>
      </c>
      <c r="E37">
        <v>256200</v>
      </c>
      <c r="F37" t="s">
        <v>538</v>
      </c>
      <c r="G37">
        <v>13515423</v>
      </c>
      <c r="H37">
        <v>0</v>
      </c>
      <c r="I37">
        <v>13515423</v>
      </c>
      <c r="J37">
        <v>14061432</v>
      </c>
      <c r="K37">
        <v>0</v>
      </c>
      <c r="L37">
        <v>14061432</v>
      </c>
      <c r="M37" t="s">
        <v>639</v>
      </c>
      <c r="N37" t="s">
        <v>796</v>
      </c>
      <c r="O37" t="s">
        <v>796</v>
      </c>
      <c r="P37" t="s">
        <v>641</v>
      </c>
      <c r="Q37" t="s">
        <v>642</v>
      </c>
      <c r="R37" t="s">
        <v>782</v>
      </c>
      <c r="S37">
        <v>103060493</v>
      </c>
      <c r="T37">
        <v>546009</v>
      </c>
      <c r="U37">
        <v>546009</v>
      </c>
      <c r="V37">
        <v>0</v>
      </c>
      <c r="AK37">
        <v>0.13770101483216235</v>
      </c>
      <c r="AL37">
        <v>35278.999999999993</v>
      </c>
      <c r="AM37">
        <v>0.13770101483216235</v>
      </c>
      <c r="AN37">
        <v>35278.999999999993</v>
      </c>
      <c r="AP37">
        <v>43869</v>
      </c>
      <c r="AQ37" t="s">
        <v>797</v>
      </c>
      <c r="AR37">
        <v>35278.999999999993</v>
      </c>
      <c r="AS37" t="s">
        <v>88</v>
      </c>
      <c r="AU37" t="s">
        <v>647</v>
      </c>
    </row>
    <row r="38" spans="1:47" x14ac:dyDescent="0.3">
      <c r="A38" t="s">
        <v>89</v>
      </c>
      <c r="B38" t="s">
        <v>80</v>
      </c>
      <c r="C38" t="s">
        <v>798</v>
      </c>
      <c r="D38" t="s">
        <v>677</v>
      </c>
      <c r="E38">
        <v>4738.7</v>
      </c>
      <c r="F38" t="s">
        <v>538</v>
      </c>
      <c r="G38">
        <v>3512458689</v>
      </c>
      <c r="H38">
        <v>339519250</v>
      </c>
      <c r="I38">
        <v>3172939439</v>
      </c>
      <c r="J38">
        <v>1339463892</v>
      </c>
      <c r="K38">
        <v>353235466</v>
      </c>
      <c r="L38">
        <v>986228426</v>
      </c>
      <c r="M38" t="s">
        <v>678</v>
      </c>
      <c r="N38" t="s">
        <v>799</v>
      </c>
      <c r="O38" t="s">
        <v>678</v>
      </c>
      <c r="P38" t="s">
        <v>641</v>
      </c>
      <c r="Q38" t="s">
        <v>642</v>
      </c>
      <c r="R38" t="s">
        <v>800</v>
      </c>
      <c r="S38">
        <v>126176394</v>
      </c>
      <c r="T38">
        <v>-2172994797</v>
      </c>
      <c r="U38">
        <v>-2186711013</v>
      </c>
      <c r="V38">
        <v>13716216</v>
      </c>
      <c r="Z38" t="s">
        <v>801</v>
      </c>
      <c r="AK38">
        <v>2.3781388478581977</v>
      </c>
      <c r="AL38">
        <v>11270</v>
      </c>
      <c r="AM38">
        <v>2.1994964368352545</v>
      </c>
      <c r="AN38">
        <v>11270</v>
      </c>
      <c r="AP38">
        <v>45596</v>
      </c>
      <c r="AQ38" t="s">
        <v>94</v>
      </c>
      <c r="AR38">
        <v>11270</v>
      </c>
      <c r="AS38" t="s">
        <v>94</v>
      </c>
      <c r="AU38" t="s">
        <v>647</v>
      </c>
    </row>
    <row r="39" spans="1:47" x14ac:dyDescent="0.3">
      <c r="A39" t="s">
        <v>382</v>
      </c>
      <c r="B39" t="s">
        <v>80</v>
      </c>
      <c r="C39" t="s">
        <v>802</v>
      </c>
      <c r="D39" t="s">
        <v>803</v>
      </c>
      <c r="E39">
        <v>31165</v>
      </c>
      <c r="F39" t="s">
        <v>538</v>
      </c>
      <c r="G39">
        <v>379162158</v>
      </c>
      <c r="I39">
        <v>379162158</v>
      </c>
      <c r="J39">
        <v>387124442</v>
      </c>
      <c r="L39">
        <v>387124442</v>
      </c>
      <c r="O39" t="s">
        <v>804</v>
      </c>
      <c r="P39" t="s">
        <v>641</v>
      </c>
      <c r="Q39" t="s">
        <v>642</v>
      </c>
      <c r="R39" t="s">
        <v>643</v>
      </c>
      <c r="S39">
        <v>640111892</v>
      </c>
      <c r="T39">
        <v>7962284</v>
      </c>
      <c r="U39">
        <v>7962284</v>
      </c>
      <c r="V39">
        <v>0</v>
      </c>
      <c r="AK39">
        <v>2.2000000000000002</v>
      </c>
      <c r="AL39">
        <v>68562.494000000006</v>
      </c>
      <c r="AM39">
        <v>0.95</v>
      </c>
      <c r="AN39">
        <v>29606.531499999997</v>
      </c>
      <c r="AP39">
        <v>42642</v>
      </c>
      <c r="AQ39" t="s">
        <v>805</v>
      </c>
      <c r="AR39">
        <v>29606.531499999997</v>
      </c>
      <c r="AS39" t="s">
        <v>88</v>
      </c>
      <c r="AU39" t="s">
        <v>647</v>
      </c>
    </row>
    <row r="40" spans="1:47" x14ac:dyDescent="0.3">
      <c r="A40" t="s">
        <v>382</v>
      </c>
      <c r="B40" t="s">
        <v>80</v>
      </c>
      <c r="C40" t="s">
        <v>806</v>
      </c>
      <c r="D40" t="s">
        <v>807</v>
      </c>
      <c r="E40">
        <v>26090</v>
      </c>
      <c r="F40" t="s">
        <v>538</v>
      </c>
      <c r="G40">
        <v>317418280</v>
      </c>
      <c r="H40">
        <v>59176792</v>
      </c>
      <c r="I40">
        <v>258241488</v>
      </c>
      <c r="J40">
        <v>324083963</v>
      </c>
      <c r="K40">
        <v>60419486</v>
      </c>
      <c r="L40">
        <v>263664477</v>
      </c>
      <c r="O40" t="s">
        <v>808</v>
      </c>
      <c r="P40" t="s">
        <v>641</v>
      </c>
      <c r="Q40" t="s">
        <v>642</v>
      </c>
      <c r="R40" t="s">
        <v>643</v>
      </c>
      <c r="S40">
        <v>535876364</v>
      </c>
      <c r="T40">
        <v>6665683</v>
      </c>
      <c r="U40">
        <v>5422989</v>
      </c>
      <c r="V40">
        <v>1242694</v>
      </c>
      <c r="AK40">
        <v>1.2</v>
      </c>
      <c r="AL40">
        <v>31307.892</v>
      </c>
      <c r="AM40">
        <v>0.43</v>
      </c>
      <c r="AN40">
        <v>11218.6613</v>
      </c>
      <c r="AP40">
        <v>42642</v>
      </c>
      <c r="AQ40" t="s">
        <v>805</v>
      </c>
      <c r="AR40">
        <v>11218.6613</v>
      </c>
      <c r="AS40" t="s">
        <v>88</v>
      </c>
      <c r="AU40" t="s">
        <v>647</v>
      </c>
    </row>
    <row r="41" spans="1:47" x14ac:dyDescent="0.3">
      <c r="A41" t="s">
        <v>89</v>
      </c>
      <c r="B41" t="s">
        <v>80</v>
      </c>
      <c r="C41" t="s">
        <v>809</v>
      </c>
      <c r="D41" t="s">
        <v>810</v>
      </c>
      <c r="E41">
        <v>182588.36</v>
      </c>
      <c r="F41" t="s">
        <v>538</v>
      </c>
      <c r="G41">
        <v>7638105957</v>
      </c>
      <c r="H41">
        <v>0</v>
      </c>
      <c r="I41">
        <v>7638105957</v>
      </c>
      <c r="J41">
        <v>7798503739</v>
      </c>
      <c r="K41">
        <v>0</v>
      </c>
      <c r="L41">
        <v>7798503739</v>
      </c>
      <c r="N41" t="s">
        <v>811</v>
      </c>
      <c r="O41" t="s">
        <v>811</v>
      </c>
      <c r="P41" t="s">
        <v>641</v>
      </c>
      <c r="Q41" t="s">
        <v>642</v>
      </c>
      <c r="R41" t="s">
        <v>643</v>
      </c>
      <c r="S41">
        <v>3636060213</v>
      </c>
      <c r="T41">
        <v>160397782</v>
      </c>
      <c r="U41">
        <v>160397782</v>
      </c>
      <c r="V41">
        <v>0</v>
      </c>
      <c r="Z41" t="s">
        <v>812</v>
      </c>
      <c r="AK41">
        <v>1.4</v>
      </c>
      <c r="AL41">
        <v>255623.70399999997</v>
      </c>
      <c r="AM41">
        <v>0.97689519706618821</v>
      </c>
      <c r="AN41">
        <v>178369.6919241921</v>
      </c>
      <c r="AP41">
        <v>41383</v>
      </c>
      <c r="AQ41" t="s">
        <v>94</v>
      </c>
      <c r="AR41">
        <v>178369.6919241921</v>
      </c>
      <c r="AS41" t="s">
        <v>154</v>
      </c>
      <c r="AU41" t="s">
        <v>647</v>
      </c>
    </row>
    <row r="42" spans="1:47" x14ac:dyDescent="0.3">
      <c r="A42" t="s">
        <v>89</v>
      </c>
      <c r="B42" t="s">
        <v>80</v>
      </c>
      <c r="C42" t="s">
        <v>813</v>
      </c>
      <c r="D42" t="s">
        <v>814</v>
      </c>
      <c r="E42">
        <v>79749.95</v>
      </c>
      <c r="F42" t="s">
        <v>538</v>
      </c>
      <c r="G42">
        <v>3163296700</v>
      </c>
      <c r="H42">
        <v>0</v>
      </c>
      <c r="I42">
        <v>3163296700</v>
      </c>
      <c r="J42">
        <v>3229724918</v>
      </c>
      <c r="K42">
        <v>179977232</v>
      </c>
      <c r="L42">
        <v>3049747686</v>
      </c>
      <c r="N42" t="s">
        <v>815</v>
      </c>
      <c r="O42" t="s">
        <v>815</v>
      </c>
      <c r="P42" t="s">
        <v>641</v>
      </c>
      <c r="Q42" t="s">
        <v>642</v>
      </c>
      <c r="R42" t="s">
        <v>643</v>
      </c>
      <c r="S42">
        <v>1588138587</v>
      </c>
      <c r="T42">
        <v>66428218</v>
      </c>
      <c r="U42">
        <v>-113549014</v>
      </c>
      <c r="V42">
        <v>179977232</v>
      </c>
      <c r="Z42" t="s">
        <v>816</v>
      </c>
      <c r="AK42">
        <v>1.2197115987460816</v>
      </c>
      <c r="AL42">
        <v>97272</v>
      </c>
      <c r="AM42">
        <v>1.2852684639498433</v>
      </c>
      <c r="AN42">
        <v>97272</v>
      </c>
      <c r="AP42">
        <v>45596</v>
      </c>
      <c r="AQ42" t="s">
        <v>94</v>
      </c>
      <c r="AR42">
        <v>102500.09573657678</v>
      </c>
      <c r="AS42" t="s">
        <v>94</v>
      </c>
      <c r="AU42" t="s">
        <v>647</v>
      </c>
    </row>
    <row r="43" spans="1:47" x14ac:dyDescent="0.3">
      <c r="A43" t="s">
        <v>89</v>
      </c>
      <c r="B43" t="s">
        <v>80</v>
      </c>
      <c r="C43" t="s">
        <v>817</v>
      </c>
      <c r="D43" t="s">
        <v>818</v>
      </c>
      <c r="E43">
        <v>51905.31</v>
      </c>
      <c r="F43" t="s">
        <v>538</v>
      </c>
      <c r="G43">
        <v>2467524264</v>
      </c>
      <c r="H43">
        <v>365434138</v>
      </c>
      <c r="I43">
        <v>2102090126</v>
      </c>
      <c r="J43">
        <v>608939454</v>
      </c>
      <c r="K43">
        <v>0</v>
      </c>
      <c r="L43">
        <v>608939454</v>
      </c>
      <c r="M43" t="s">
        <v>819</v>
      </c>
      <c r="N43" t="s">
        <v>820</v>
      </c>
      <c r="O43" t="s">
        <v>820</v>
      </c>
      <c r="P43" t="s">
        <v>641</v>
      </c>
      <c r="Q43" t="s">
        <v>642</v>
      </c>
      <c r="R43" t="s">
        <v>643</v>
      </c>
      <c r="S43">
        <v>1503543249</v>
      </c>
      <c r="T43">
        <v>-1858584810</v>
      </c>
      <c r="U43">
        <v>-1493150672</v>
      </c>
      <c r="V43">
        <v>-365434138</v>
      </c>
      <c r="Z43" t="s">
        <v>821</v>
      </c>
      <c r="AK43">
        <v>1.4</v>
      </c>
      <c r="AL43">
        <v>72667.433999999994</v>
      </c>
      <c r="AM43">
        <v>1.0706740701595381</v>
      </c>
      <c r="AN43">
        <v>55573.669520592579</v>
      </c>
      <c r="AP43">
        <v>43479</v>
      </c>
      <c r="AQ43" t="s">
        <v>645</v>
      </c>
      <c r="AR43">
        <v>55573.669520592579</v>
      </c>
      <c r="AS43" t="s">
        <v>645</v>
      </c>
      <c r="AT43" t="s">
        <v>109</v>
      </c>
      <c r="AU43" t="s">
        <v>647</v>
      </c>
    </row>
    <row r="44" spans="1:47" x14ac:dyDescent="0.3">
      <c r="A44" t="s">
        <v>89</v>
      </c>
      <c r="B44" t="s">
        <v>80</v>
      </c>
      <c r="C44" t="s">
        <v>822</v>
      </c>
      <c r="D44" t="s">
        <v>823</v>
      </c>
      <c r="E44">
        <v>69139.570000000007</v>
      </c>
      <c r="F44" t="s">
        <v>538</v>
      </c>
      <c r="G44">
        <v>1588907749</v>
      </c>
      <c r="H44">
        <v>0</v>
      </c>
      <c r="I44">
        <v>1588907749</v>
      </c>
      <c r="J44">
        <v>1622274304</v>
      </c>
      <c r="K44">
        <v>0</v>
      </c>
      <c r="L44">
        <v>1622274304</v>
      </c>
      <c r="M44" t="s">
        <v>819</v>
      </c>
      <c r="N44" t="s">
        <v>824</v>
      </c>
      <c r="O44" t="s">
        <v>824</v>
      </c>
      <c r="P44" t="s">
        <v>641</v>
      </c>
      <c r="Q44" t="s">
        <v>642</v>
      </c>
      <c r="R44" t="s">
        <v>643</v>
      </c>
      <c r="S44">
        <v>1128744754</v>
      </c>
      <c r="T44">
        <v>33366555</v>
      </c>
      <c r="U44">
        <v>33366555</v>
      </c>
      <c r="V44">
        <v>0</v>
      </c>
      <c r="Z44" t="s">
        <v>825</v>
      </c>
      <c r="AK44">
        <v>1.4</v>
      </c>
      <c r="AL44">
        <v>96795.398000000001</v>
      </c>
      <c r="AM44">
        <v>1.0706740701595381</v>
      </c>
      <c r="AN44">
        <v>74025.944820980309</v>
      </c>
      <c r="AP44">
        <v>43479</v>
      </c>
      <c r="AQ44" t="s">
        <v>645</v>
      </c>
      <c r="AR44">
        <v>74025.944820980309</v>
      </c>
      <c r="AS44" t="s">
        <v>645</v>
      </c>
      <c r="AT44" t="s">
        <v>109</v>
      </c>
      <c r="AU44" t="s">
        <v>647</v>
      </c>
    </row>
    <row r="45" spans="1:47" x14ac:dyDescent="0.3">
      <c r="A45" t="s">
        <v>89</v>
      </c>
      <c r="B45" t="s">
        <v>80</v>
      </c>
      <c r="C45" t="s">
        <v>826</v>
      </c>
      <c r="D45" t="s">
        <v>827</v>
      </c>
      <c r="E45">
        <v>6760.77</v>
      </c>
      <c r="F45" t="s">
        <v>538</v>
      </c>
      <c r="G45">
        <v>350351804</v>
      </c>
      <c r="H45">
        <v>0</v>
      </c>
      <c r="I45">
        <v>350351804</v>
      </c>
      <c r="J45">
        <v>357709080</v>
      </c>
      <c r="K45">
        <v>0</v>
      </c>
      <c r="L45">
        <v>357709080</v>
      </c>
      <c r="M45" t="s">
        <v>828</v>
      </c>
      <c r="N45" t="s">
        <v>829</v>
      </c>
      <c r="O45" t="s">
        <v>829</v>
      </c>
      <c r="P45" t="s">
        <v>641</v>
      </c>
      <c r="Q45" t="s">
        <v>642</v>
      </c>
      <c r="R45" t="s">
        <v>643</v>
      </c>
      <c r="S45">
        <v>158072402</v>
      </c>
      <c r="T45">
        <v>7357276</v>
      </c>
      <c r="U45">
        <v>7357276</v>
      </c>
      <c r="V45">
        <v>0</v>
      </c>
      <c r="Z45" t="s">
        <v>830</v>
      </c>
      <c r="AK45">
        <v>3.0340186362964059</v>
      </c>
      <c r="AL45">
        <v>20513</v>
      </c>
      <c r="AM45">
        <v>1.6</v>
      </c>
      <c r="AN45">
        <v>20513</v>
      </c>
      <c r="AP45">
        <v>45596</v>
      </c>
      <c r="AQ45" t="s">
        <v>94</v>
      </c>
      <c r="AR45">
        <v>10817.232000000002</v>
      </c>
      <c r="AS45" t="s">
        <v>94</v>
      </c>
      <c r="AU45" t="s">
        <v>647</v>
      </c>
    </row>
    <row r="46" spans="1:47" x14ac:dyDescent="0.3">
      <c r="A46" t="s">
        <v>89</v>
      </c>
      <c r="B46" t="s">
        <v>80</v>
      </c>
      <c r="C46" t="s">
        <v>831</v>
      </c>
      <c r="D46" t="s">
        <v>832</v>
      </c>
      <c r="E46">
        <v>10021.299999999999</v>
      </c>
      <c r="F46" t="s">
        <v>538</v>
      </c>
      <c r="G46">
        <v>121918305</v>
      </c>
      <c r="H46">
        <v>10061513</v>
      </c>
      <c r="I46">
        <v>111856792</v>
      </c>
      <c r="J46">
        <v>124478551</v>
      </c>
      <c r="K46">
        <v>10272803</v>
      </c>
      <c r="L46">
        <v>114205748</v>
      </c>
      <c r="M46" t="s">
        <v>833</v>
      </c>
      <c r="N46" t="s">
        <v>834</v>
      </c>
      <c r="O46" t="s">
        <v>834</v>
      </c>
      <c r="P46" t="s">
        <v>641</v>
      </c>
      <c r="Q46" t="s">
        <v>642</v>
      </c>
      <c r="R46" t="s">
        <v>643</v>
      </c>
      <c r="S46">
        <v>560230818</v>
      </c>
      <c r="T46">
        <v>2560246</v>
      </c>
      <c r="U46">
        <v>2348956</v>
      </c>
      <c r="V46">
        <v>211290</v>
      </c>
      <c r="Z46" t="s">
        <v>835</v>
      </c>
      <c r="AK46">
        <v>1.6</v>
      </c>
      <c r="AL46">
        <v>16034.08</v>
      </c>
      <c r="AM46">
        <v>0.4</v>
      </c>
      <c r="AN46">
        <v>4008.52</v>
      </c>
      <c r="AS46" t="s">
        <v>88</v>
      </c>
      <c r="AU46" t="s">
        <v>647</v>
      </c>
    </row>
    <row r="47" spans="1:47" x14ac:dyDescent="0.3">
      <c r="A47" t="s">
        <v>89</v>
      </c>
      <c r="B47" t="s">
        <v>80</v>
      </c>
      <c r="C47" t="s">
        <v>836</v>
      </c>
      <c r="D47" t="s">
        <v>837</v>
      </c>
      <c r="E47">
        <v>13383.08</v>
      </c>
      <c r="F47" t="s">
        <v>538</v>
      </c>
      <c r="G47">
        <v>125765892</v>
      </c>
      <c r="H47">
        <v>14599536</v>
      </c>
      <c r="I47">
        <v>111166356</v>
      </c>
      <c r="J47">
        <v>128406935</v>
      </c>
      <c r="K47">
        <v>14906123</v>
      </c>
      <c r="L47">
        <v>113500812</v>
      </c>
      <c r="M47" t="s">
        <v>833</v>
      </c>
      <c r="N47" t="s">
        <v>838</v>
      </c>
      <c r="O47" t="s">
        <v>838</v>
      </c>
      <c r="P47" t="s">
        <v>641</v>
      </c>
      <c r="Q47" t="s">
        <v>642</v>
      </c>
      <c r="R47" t="s">
        <v>643</v>
      </c>
      <c r="S47">
        <v>748167787</v>
      </c>
      <c r="T47">
        <v>2641043</v>
      </c>
      <c r="U47">
        <v>2334456</v>
      </c>
      <c r="V47">
        <v>306587</v>
      </c>
      <c r="Z47" t="s">
        <v>839</v>
      </c>
      <c r="AK47">
        <v>1.6</v>
      </c>
      <c r="AL47">
        <v>21412.928</v>
      </c>
      <c r="AM47">
        <v>0.4</v>
      </c>
      <c r="AN47">
        <v>5353.232</v>
      </c>
      <c r="AS47" t="s">
        <v>88</v>
      </c>
      <c r="AU47" t="s">
        <v>647</v>
      </c>
    </row>
    <row r="48" spans="1:47" x14ac:dyDescent="0.3">
      <c r="A48" t="s">
        <v>89</v>
      </c>
      <c r="B48" t="s">
        <v>80</v>
      </c>
      <c r="C48" t="s">
        <v>840</v>
      </c>
      <c r="D48" t="s">
        <v>841</v>
      </c>
      <c r="E48">
        <v>15600</v>
      </c>
      <c r="F48" t="s">
        <v>538</v>
      </c>
      <c r="G48">
        <v>178818283</v>
      </c>
      <c r="I48">
        <v>178818283</v>
      </c>
      <c r="J48">
        <v>186042351</v>
      </c>
      <c r="L48">
        <v>186042351</v>
      </c>
      <c r="O48" t="s">
        <v>141</v>
      </c>
      <c r="P48" t="s">
        <v>641</v>
      </c>
      <c r="Q48" t="s">
        <v>642</v>
      </c>
      <c r="R48" t="s">
        <v>842</v>
      </c>
      <c r="S48">
        <v>71221122</v>
      </c>
      <c r="T48">
        <v>7224068</v>
      </c>
      <c r="U48">
        <v>7224068</v>
      </c>
      <c r="V48">
        <v>0</v>
      </c>
      <c r="AK48">
        <v>1.6</v>
      </c>
      <c r="AL48">
        <v>2038.384</v>
      </c>
      <c r="AM48">
        <v>0.4</v>
      </c>
      <c r="AN48">
        <v>509.596</v>
      </c>
      <c r="AS48" t="s">
        <v>88</v>
      </c>
      <c r="AU48" t="s">
        <v>647</v>
      </c>
    </row>
    <row r="49" spans="1:47" x14ac:dyDescent="0.3">
      <c r="A49" t="s">
        <v>687</v>
      </c>
      <c r="B49" t="s">
        <v>80</v>
      </c>
      <c r="C49" t="s">
        <v>843</v>
      </c>
      <c r="D49" t="s">
        <v>844</v>
      </c>
      <c r="E49">
        <v>46800</v>
      </c>
      <c r="F49" t="s">
        <v>538</v>
      </c>
      <c r="G49">
        <v>1288286245</v>
      </c>
      <c r="I49">
        <v>1288286245</v>
      </c>
      <c r="J49">
        <v>1315339844</v>
      </c>
      <c r="L49">
        <v>1315339844</v>
      </c>
      <c r="O49" t="s">
        <v>845</v>
      </c>
      <c r="P49" t="s">
        <v>641</v>
      </c>
      <c r="Q49" t="s">
        <v>642</v>
      </c>
      <c r="R49" t="s">
        <v>643</v>
      </c>
      <c r="S49">
        <v>57691508</v>
      </c>
      <c r="T49">
        <v>27053599</v>
      </c>
      <c r="U49">
        <v>27053599</v>
      </c>
      <c r="V49">
        <v>0</v>
      </c>
      <c r="AK49">
        <v>0.69</v>
      </c>
      <c r="AL49">
        <v>54509.999999999993</v>
      </c>
      <c r="AM49">
        <v>0.68200000000000005</v>
      </c>
      <c r="AN49">
        <v>53495.999999999985</v>
      </c>
      <c r="AP49">
        <v>44634</v>
      </c>
      <c r="AQ49" t="s">
        <v>692</v>
      </c>
      <c r="AR49">
        <v>53495.999999999985</v>
      </c>
      <c r="AS49" t="s">
        <v>88</v>
      </c>
      <c r="AU49" t="s">
        <v>647</v>
      </c>
    </row>
    <row r="50" spans="1:47" x14ac:dyDescent="0.3">
      <c r="A50" t="s">
        <v>496</v>
      </c>
      <c r="B50" t="s">
        <v>80</v>
      </c>
      <c r="C50" t="s">
        <v>846</v>
      </c>
      <c r="D50" t="s">
        <v>847</v>
      </c>
      <c r="E50">
        <v>10583.06</v>
      </c>
      <c r="F50" t="s">
        <v>538</v>
      </c>
      <c r="G50">
        <v>548406026</v>
      </c>
      <c r="H50">
        <v>0</v>
      </c>
      <c r="I50">
        <v>548406026</v>
      </c>
      <c r="J50">
        <v>559922377</v>
      </c>
      <c r="K50">
        <v>0</v>
      </c>
      <c r="L50">
        <v>559922377</v>
      </c>
      <c r="M50" t="s">
        <v>848</v>
      </c>
      <c r="N50" t="s">
        <v>849</v>
      </c>
      <c r="O50" t="s">
        <v>849</v>
      </c>
      <c r="P50" t="s">
        <v>641</v>
      </c>
      <c r="Q50" t="s">
        <v>642</v>
      </c>
      <c r="R50" t="s">
        <v>643</v>
      </c>
      <c r="S50" t="s">
        <v>682</v>
      </c>
      <c r="T50">
        <v>11516351</v>
      </c>
      <c r="U50">
        <v>11516351</v>
      </c>
      <c r="V50">
        <v>0</v>
      </c>
      <c r="Z50" t="s">
        <v>850</v>
      </c>
      <c r="AK50">
        <v>1.6999691008342774</v>
      </c>
      <c r="AL50">
        <v>17990.874992275207</v>
      </c>
      <c r="AM50">
        <v>3.4</v>
      </c>
      <c r="AN50">
        <v>35982</v>
      </c>
      <c r="AO50">
        <v>12593.61</v>
      </c>
      <c r="AP50">
        <v>45403</v>
      </c>
      <c r="AQ50" t="s">
        <v>108</v>
      </c>
      <c r="AR50">
        <v>35982</v>
      </c>
      <c r="AS50" t="s">
        <v>108</v>
      </c>
      <c r="AT50" t="s">
        <v>109</v>
      </c>
      <c r="AU50" t="s">
        <v>647</v>
      </c>
    </row>
    <row r="51" spans="1:47" x14ac:dyDescent="0.3">
      <c r="A51" t="s">
        <v>79</v>
      </c>
      <c r="B51" t="s">
        <v>80</v>
      </c>
      <c r="C51" t="s">
        <v>851</v>
      </c>
      <c r="D51" t="s">
        <v>852</v>
      </c>
      <c r="E51">
        <v>40072.92</v>
      </c>
      <c r="F51" t="s">
        <v>538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848</v>
      </c>
      <c r="N51" t="s">
        <v>853</v>
      </c>
      <c r="O51" t="s">
        <v>853</v>
      </c>
      <c r="P51" t="s">
        <v>854</v>
      </c>
      <c r="S51" t="s">
        <v>682</v>
      </c>
      <c r="T51">
        <v>0</v>
      </c>
      <c r="U51">
        <v>0</v>
      </c>
      <c r="V51">
        <v>0</v>
      </c>
      <c r="Z51" t="s">
        <v>855</v>
      </c>
      <c r="AK51">
        <v>1.6999691008342774</v>
      </c>
      <c r="AL51">
        <v>68122.725780203924</v>
      </c>
      <c r="AM51">
        <v>2.4700000000000002</v>
      </c>
      <c r="AN51">
        <v>98978</v>
      </c>
      <c r="AO51">
        <v>47685.919999999998</v>
      </c>
      <c r="AP51">
        <v>45617</v>
      </c>
      <c r="AQ51" t="s">
        <v>108</v>
      </c>
      <c r="AR51">
        <v>94189</v>
      </c>
      <c r="AS51" t="s">
        <v>108</v>
      </c>
      <c r="AT51" t="s">
        <v>109</v>
      </c>
      <c r="AU51" t="s">
        <v>647</v>
      </c>
    </row>
    <row r="52" spans="1:47" x14ac:dyDescent="0.3">
      <c r="A52" t="s">
        <v>687</v>
      </c>
      <c r="B52" t="s">
        <v>80</v>
      </c>
      <c r="C52" t="s">
        <v>856</v>
      </c>
      <c r="D52" t="s">
        <v>857</v>
      </c>
      <c r="E52">
        <v>3430</v>
      </c>
      <c r="F52" t="s">
        <v>538</v>
      </c>
      <c r="G52">
        <v>148703262</v>
      </c>
      <c r="H52">
        <v>0</v>
      </c>
      <c r="I52">
        <v>148703262</v>
      </c>
      <c r="J52">
        <v>151825983</v>
      </c>
      <c r="K52">
        <v>0</v>
      </c>
      <c r="L52">
        <v>151825983</v>
      </c>
      <c r="N52" t="s">
        <v>858</v>
      </c>
      <c r="O52" t="s">
        <v>858</v>
      </c>
      <c r="P52" t="s">
        <v>641</v>
      </c>
      <c r="Q52" t="s">
        <v>642</v>
      </c>
      <c r="R52" t="s">
        <v>643</v>
      </c>
      <c r="S52">
        <v>569703643</v>
      </c>
      <c r="T52">
        <v>3122721</v>
      </c>
      <c r="U52">
        <v>3122721</v>
      </c>
      <c r="V52">
        <v>0</v>
      </c>
      <c r="Z52" t="s">
        <v>859</v>
      </c>
      <c r="AK52">
        <v>5</v>
      </c>
      <c r="AL52">
        <v>20000</v>
      </c>
      <c r="AM52">
        <v>5</v>
      </c>
      <c r="AN52">
        <v>17150</v>
      </c>
      <c r="AP52">
        <v>44634</v>
      </c>
      <c r="AQ52" t="s">
        <v>692</v>
      </c>
      <c r="AR52">
        <v>17150</v>
      </c>
      <c r="AS52" t="s">
        <v>88</v>
      </c>
      <c r="AU52" t="s">
        <v>647</v>
      </c>
    </row>
    <row r="53" spans="1:47" x14ac:dyDescent="0.3">
      <c r="A53" t="s">
        <v>493</v>
      </c>
      <c r="B53" t="s">
        <v>80</v>
      </c>
      <c r="C53" t="s">
        <v>860</v>
      </c>
      <c r="D53" t="s">
        <v>861</v>
      </c>
      <c r="E53">
        <v>35002.76</v>
      </c>
      <c r="F53" t="s">
        <v>862</v>
      </c>
      <c r="G53">
        <v>21628470572</v>
      </c>
      <c r="H53">
        <v>0</v>
      </c>
      <c r="I53">
        <v>21628470572</v>
      </c>
      <c r="J53">
        <v>22502237690</v>
      </c>
      <c r="K53">
        <v>0</v>
      </c>
      <c r="L53">
        <v>22502237690</v>
      </c>
      <c r="N53" t="s">
        <v>863</v>
      </c>
      <c r="O53" t="s">
        <v>863</v>
      </c>
      <c r="P53" t="s">
        <v>641</v>
      </c>
      <c r="Q53" t="s">
        <v>642</v>
      </c>
      <c r="R53" t="s">
        <v>800</v>
      </c>
      <c r="S53">
        <v>1217592002</v>
      </c>
      <c r="T53">
        <v>873767118</v>
      </c>
      <c r="U53">
        <v>873767118</v>
      </c>
      <c r="V53">
        <v>0</v>
      </c>
      <c r="AK53">
        <v>3.5</v>
      </c>
      <c r="AL53">
        <v>122509.66</v>
      </c>
      <c r="AM53">
        <v>12.88589814060377</v>
      </c>
      <c r="AN53">
        <v>451042</v>
      </c>
      <c r="AP53">
        <v>45967</v>
      </c>
      <c r="AQ53" t="s">
        <v>154</v>
      </c>
      <c r="AR53">
        <v>463532.41032945062</v>
      </c>
      <c r="AS53" t="s">
        <v>154</v>
      </c>
      <c r="AT53" t="s">
        <v>155</v>
      </c>
      <c r="AU53" t="s">
        <v>647</v>
      </c>
    </row>
    <row r="54" spans="1:47" x14ac:dyDescent="0.3">
      <c r="A54" t="s">
        <v>79</v>
      </c>
      <c r="B54" t="s">
        <v>80</v>
      </c>
      <c r="C54" t="s">
        <v>147</v>
      </c>
      <c r="D54" t="s">
        <v>864</v>
      </c>
      <c r="E54">
        <v>17999</v>
      </c>
      <c r="F54" t="s">
        <v>538</v>
      </c>
      <c r="G54">
        <v>3167167862</v>
      </c>
      <c r="I54">
        <v>3167167862</v>
      </c>
      <c r="J54">
        <v>2997235195</v>
      </c>
      <c r="L54">
        <v>2997235195</v>
      </c>
      <c r="O54" t="s">
        <v>865</v>
      </c>
      <c r="P54" t="s">
        <v>641</v>
      </c>
      <c r="Q54" t="s">
        <v>642</v>
      </c>
      <c r="R54" t="s">
        <v>800</v>
      </c>
      <c r="S54">
        <v>1611825221</v>
      </c>
      <c r="T54">
        <v>-169932667</v>
      </c>
      <c r="U54">
        <v>-169932667</v>
      </c>
      <c r="V54">
        <v>0</v>
      </c>
      <c r="AK54">
        <v>3.5</v>
      </c>
      <c r="AL54">
        <v>62996.849999999991</v>
      </c>
      <c r="AM54">
        <v>3.4500000136028515</v>
      </c>
      <c r="AN54">
        <v>62096.895244839077</v>
      </c>
      <c r="AP54">
        <v>45251</v>
      </c>
      <c r="AQ54" t="s">
        <v>154</v>
      </c>
      <c r="AR54">
        <v>62996.849999999991</v>
      </c>
      <c r="AS54" t="s">
        <v>154</v>
      </c>
      <c r="AT54" t="s">
        <v>155</v>
      </c>
      <c r="AU54" t="s">
        <v>647</v>
      </c>
    </row>
    <row r="55" spans="1:47" x14ac:dyDescent="0.3">
      <c r="A55" t="s">
        <v>382</v>
      </c>
      <c r="B55" t="s">
        <v>303</v>
      </c>
      <c r="C55" t="s">
        <v>866</v>
      </c>
      <c r="D55" t="s">
        <v>852</v>
      </c>
      <c r="E55">
        <v>45924.24</v>
      </c>
      <c r="F55" t="s">
        <v>538</v>
      </c>
      <c r="G55">
        <v>1107140653</v>
      </c>
      <c r="H55">
        <v>1107140653</v>
      </c>
      <c r="I55">
        <v>0</v>
      </c>
      <c r="J55">
        <v>1151867953</v>
      </c>
      <c r="K55">
        <v>1151867953</v>
      </c>
      <c r="L55">
        <v>0</v>
      </c>
      <c r="N55" t="s">
        <v>867</v>
      </c>
      <c r="S55">
        <v>289251206</v>
      </c>
      <c r="T55">
        <v>44727300</v>
      </c>
      <c r="U55">
        <v>0</v>
      </c>
      <c r="V55">
        <v>44727300</v>
      </c>
      <c r="Z55" t="s">
        <v>868</v>
      </c>
      <c r="AK55">
        <v>3</v>
      </c>
      <c r="AL55">
        <v>137772.72</v>
      </c>
      <c r="AM55">
        <v>3</v>
      </c>
      <c r="AN55">
        <v>137772.72</v>
      </c>
      <c r="AS55" t="s">
        <v>88</v>
      </c>
      <c r="AU55" t="s">
        <v>647</v>
      </c>
    </row>
    <row r="56" spans="1:47" x14ac:dyDescent="0.3">
      <c r="A56" t="s">
        <v>869</v>
      </c>
      <c r="B56" t="s">
        <v>169</v>
      </c>
      <c r="C56" t="s">
        <v>870</v>
      </c>
      <c r="D56" t="s">
        <v>871</v>
      </c>
      <c r="E56">
        <v>983</v>
      </c>
      <c r="F56" t="s">
        <v>538</v>
      </c>
      <c r="G56">
        <v>25848878</v>
      </c>
      <c r="I56">
        <v>25848878</v>
      </c>
      <c r="J56">
        <v>26893145</v>
      </c>
      <c r="L56">
        <v>26893145</v>
      </c>
      <c r="O56" t="s">
        <v>872</v>
      </c>
      <c r="P56" t="s">
        <v>641</v>
      </c>
      <c r="Q56" t="s">
        <v>642</v>
      </c>
      <c r="R56" t="s">
        <v>643</v>
      </c>
      <c r="S56">
        <v>63308500</v>
      </c>
      <c r="T56">
        <v>1044267</v>
      </c>
      <c r="U56">
        <v>1044267</v>
      </c>
      <c r="V56">
        <v>0</v>
      </c>
      <c r="AK56">
        <v>0.35</v>
      </c>
      <c r="AL56">
        <v>10525.2</v>
      </c>
      <c r="AM56">
        <v>1.0882258586811455</v>
      </c>
      <c r="AN56">
        <v>2181.6752014839599</v>
      </c>
      <c r="AS56" t="s">
        <v>88</v>
      </c>
      <c r="AU56" t="s">
        <v>647</v>
      </c>
    </row>
    <row r="57" spans="1:47" x14ac:dyDescent="0.3">
      <c r="A57" t="s">
        <v>869</v>
      </c>
      <c r="B57" t="s">
        <v>169</v>
      </c>
      <c r="C57" t="s">
        <v>870</v>
      </c>
      <c r="D57" t="s">
        <v>873</v>
      </c>
      <c r="E57">
        <v>987</v>
      </c>
      <c r="F57" t="s">
        <v>538</v>
      </c>
      <c r="G57">
        <v>25948201</v>
      </c>
      <c r="I57">
        <v>25948201</v>
      </c>
      <c r="J57">
        <v>26996480</v>
      </c>
      <c r="L57">
        <v>26996480</v>
      </c>
      <c r="O57" t="s">
        <v>874</v>
      </c>
      <c r="P57" t="s">
        <v>641</v>
      </c>
      <c r="Q57" t="s">
        <v>642</v>
      </c>
      <c r="R57" t="s">
        <v>643</v>
      </c>
      <c r="S57">
        <v>63537453</v>
      </c>
      <c r="T57">
        <v>1048279</v>
      </c>
      <c r="U57">
        <v>1048279</v>
      </c>
      <c r="V57">
        <v>0</v>
      </c>
      <c r="AK57">
        <v>0.35</v>
      </c>
      <c r="AL57">
        <v>10525.2</v>
      </c>
      <c r="AM57">
        <v>1.0882258586811455</v>
      </c>
      <c r="AN57">
        <v>2181.6752014839599</v>
      </c>
      <c r="AS57" t="s">
        <v>88</v>
      </c>
      <c r="AU57" t="s">
        <v>647</v>
      </c>
    </row>
    <row r="58" spans="1:47" x14ac:dyDescent="0.3">
      <c r="A58" t="s">
        <v>869</v>
      </c>
      <c r="B58" t="s">
        <v>169</v>
      </c>
      <c r="C58" t="s">
        <v>870</v>
      </c>
      <c r="D58" t="s">
        <v>875</v>
      </c>
      <c r="E58">
        <v>991</v>
      </c>
      <c r="F58" t="s">
        <v>538</v>
      </c>
      <c r="G58">
        <v>26065641</v>
      </c>
      <c r="I58">
        <v>26065641</v>
      </c>
      <c r="J58">
        <v>27118665</v>
      </c>
      <c r="L58">
        <v>27118665</v>
      </c>
      <c r="O58" t="s">
        <v>876</v>
      </c>
      <c r="P58" t="s">
        <v>641</v>
      </c>
      <c r="Q58" t="s">
        <v>642</v>
      </c>
      <c r="R58" t="s">
        <v>643</v>
      </c>
      <c r="S58">
        <v>63790660</v>
      </c>
      <c r="T58">
        <v>1053024</v>
      </c>
      <c r="U58">
        <v>1053024</v>
      </c>
      <c r="V58">
        <v>0</v>
      </c>
      <c r="AK58">
        <v>0.35</v>
      </c>
      <c r="AL58">
        <v>10525.2</v>
      </c>
      <c r="AM58">
        <v>1.08822585868115</v>
      </c>
      <c r="AN58">
        <v>2181.6752014839599</v>
      </c>
      <c r="AS58" t="s">
        <v>88</v>
      </c>
      <c r="AU58" t="s">
        <v>647</v>
      </c>
    </row>
    <row r="59" spans="1:47" x14ac:dyDescent="0.3">
      <c r="A59" t="s">
        <v>869</v>
      </c>
      <c r="B59" t="s">
        <v>169</v>
      </c>
      <c r="C59" t="s">
        <v>870</v>
      </c>
      <c r="D59" t="s">
        <v>877</v>
      </c>
      <c r="E59">
        <v>993</v>
      </c>
      <c r="F59" t="s">
        <v>538</v>
      </c>
      <c r="G59">
        <v>26133420</v>
      </c>
      <c r="I59">
        <v>26133420</v>
      </c>
      <c r="J59">
        <v>27189182</v>
      </c>
      <c r="L59">
        <v>27189182</v>
      </c>
      <c r="O59" t="s">
        <v>878</v>
      </c>
      <c r="P59" t="s">
        <v>641</v>
      </c>
      <c r="Q59" t="s">
        <v>642</v>
      </c>
      <c r="R59" t="s">
        <v>643</v>
      </c>
      <c r="S59">
        <v>63993520</v>
      </c>
      <c r="T59">
        <v>1055762</v>
      </c>
      <c r="U59">
        <v>1055762</v>
      </c>
      <c r="V59">
        <v>0</v>
      </c>
      <c r="AK59">
        <v>0.35</v>
      </c>
      <c r="AL59">
        <v>10525.2</v>
      </c>
      <c r="AM59">
        <v>1.08822585868115</v>
      </c>
      <c r="AN59">
        <v>2181.6752014839599</v>
      </c>
      <c r="AS59" t="s">
        <v>88</v>
      </c>
      <c r="AU59" t="s">
        <v>647</v>
      </c>
    </row>
    <row r="60" spans="1:47" x14ac:dyDescent="0.3">
      <c r="A60" t="s">
        <v>869</v>
      </c>
      <c r="B60" t="s">
        <v>169</v>
      </c>
      <c r="C60" t="s">
        <v>870</v>
      </c>
      <c r="D60" t="s">
        <v>879</v>
      </c>
      <c r="E60">
        <v>993</v>
      </c>
      <c r="F60" t="s">
        <v>538</v>
      </c>
      <c r="G60">
        <v>26115302</v>
      </c>
      <c r="I60">
        <v>26115302</v>
      </c>
      <c r="J60">
        <v>27170333</v>
      </c>
      <c r="L60">
        <v>27170333</v>
      </c>
      <c r="O60" t="s">
        <v>880</v>
      </c>
      <c r="P60" t="s">
        <v>641</v>
      </c>
      <c r="Q60" t="s">
        <v>642</v>
      </c>
      <c r="R60" t="s">
        <v>643</v>
      </c>
      <c r="S60">
        <v>63892090</v>
      </c>
      <c r="T60">
        <v>1055031</v>
      </c>
      <c r="U60">
        <v>1055031</v>
      </c>
      <c r="V60">
        <v>0</v>
      </c>
      <c r="AK60">
        <v>0.35</v>
      </c>
      <c r="AL60">
        <v>10525.2</v>
      </c>
      <c r="AM60">
        <v>1.08822585868115</v>
      </c>
      <c r="AN60">
        <v>2181.6752014839599</v>
      </c>
      <c r="AS60" t="s">
        <v>88</v>
      </c>
      <c r="AU60" t="s">
        <v>647</v>
      </c>
    </row>
    <row r="61" spans="1:47" x14ac:dyDescent="0.3">
      <c r="A61" t="s">
        <v>869</v>
      </c>
      <c r="B61" t="s">
        <v>169</v>
      </c>
      <c r="C61" t="s">
        <v>870</v>
      </c>
      <c r="D61" t="s">
        <v>881</v>
      </c>
      <c r="E61">
        <v>995</v>
      </c>
      <c r="F61" t="s">
        <v>538</v>
      </c>
      <c r="G61">
        <v>26164964</v>
      </c>
      <c r="I61">
        <v>26164964</v>
      </c>
      <c r="J61">
        <v>27222000</v>
      </c>
      <c r="L61">
        <v>27222000</v>
      </c>
      <c r="O61" t="s">
        <v>882</v>
      </c>
      <c r="P61" t="s">
        <v>641</v>
      </c>
      <c r="Q61" t="s">
        <v>642</v>
      </c>
      <c r="R61" t="s">
        <v>643</v>
      </c>
      <c r="S61">
        <v>63993520</v>
      </c>
      <c r="T61">
        <v>1057036</v>
      </c>
      <c r="U61">
        <v>1057036</v>
      </c>
      <c r="V61">
        <v>0</v>
      </c>
      <c r="AK61">
        <v>0.35</v>
      </c>
      <c r="AL61">
        <v>10525.2</v>
      </c>
      <c r="AM61">
        <v>1.08822585868115</v>
      </c>
      <c r="AN61">
        <v>2181.6752014839599</v>
      </c>
      <c r="AS61" t="s">
        <v>88</v>
      </c>
      <c r="AU61" t="s">
        <v>647</v>
      </c>
    </row>
    <row r="62" spans="1:47" x14ac:dyDescent="0.3">
      <c r="A62" t="s">
        <v>869</v>
      </c>
      <c r="B62" t="s">
        <v>169</v>
      </c>
      <c r="C62" t="s">
        <v>870</v>
      </c>
      <c r="D62" t="s">
        <v>883</v>
      </c>
      <c r="E62">
        <v>996</v>
      </c>
      <c r="F62" t="s">
        <v>538</v>
      </c>
      <c r="G62">
        <v>26180736</v>
      </c>
      <c r="I62">
        <v>26180736</v>
      </c>
      <c r="J62">
        <v>27238409</v>
      </c>
      <c r="L62">
        <v>27238409</v>
      </c>
      <c r="O62" t="s">
        <v>884</v>
      </c>
      <c r="P62" t="s">
        <v>641</v>
      </c>
      <c r="Q62" t="s">
        <v>642</v>
      </c>
      <c r="R62" t="s">
        <v>643</v>
      </c>
      <c r="S62">
        <v>64036150</v>
      </c>
      <c r="T62">
        <v>1057673</v>
      </c>
      <c r="U62">
        <v>1057673</v>
      </c>
      <c r="V62">
        <v>0</v>
      </c>
      <c r="AK62">
        <v>0.35</v>
      </c>
      <c r="AL62">
        <v>10525.2</v>
      </c>
      <c r="AM62">
        <v>1.08822585868115</v>
      </c>
      <c r="AN62">
        <v>2181.6752014839599</v>
      </c>
      <c r="AS62" t="s">
        <v>88</v>
      </c>
      <c r="AU62" t="s">
        <v>647</v>
      </c>
    </row>
    <row r="63" spans="1:47" x14ac:dyDescent="0.3">
      <c r="A63" t="s">
        <v>869</v>
      </c>
      <c r="B63" t="s">
        <v>169</v>
      </c>
      <c r="C63" t="s">
        <v>870</v>
      </c>
      <c r="D63" t="s">
        <v>885</v>
      </c>
      <c r="E63">
        <v>997</v>
      </c>
      <c r="F63" t="s">
        <v>538</v>
      </c>
      <c r="G63">
        <v>26214625</v>
      </c>
      <c r="I63">
        <v>26214625</v>
      </c>
      <c r="J63">
        <v>27273668</v>
      </c>
      <c r="L63">
        <v>27273668</v>
      </c>
      <c r="O63" t="s">
        <v>886</v>
      </c>
      <c r="P63" t="s">
        <v>641</v>
      </c>
      <c r="Q63" t="s">
        <v>642</v>
      </c>
      <c r="R63" t="s">
        <v>643</v>
      </c>
      <c r="S63">
        <v>64080985</v>
      </c>
      <c r="T63">
        <v>1059043</v>
      </c>
      <c r="U63">
        <v>1059043</v>
      </c>
      <c r="V63">
        <v>0</v>
      </c>
      <c r="AK63">
        <v>0.35</v>
      </c>
      <c r="AL63">
        <v>10525.2</v>
      </c>
      <c r="AM63">
        <v>1.08822585868115</v>
      </c>
      <c r="AN63">
        <v>2181.6752014839599</v>
      </c>
      <c r="AS63" t="s">
        <v>88</v>
      </c>
      <c r="AU63" t="s">
        <v>647</v>
      </c>
    </row>
    <row r="64" spans="1:47" x14ac:dyDescent="0.3">
      <c r="A64" t="s">
        <v>869</v>
      </c>
      <c r="B64" t="s">
        <v>169</v>
      </c>
      <c r="C64" t="s">
        <v>870</v>
      </c>
      <c r="D64" t="s">
        <v>887</v>
      </c>
      <c r="E64">
        <v>998</v>
      </c>
      <c r="F64" t="s">
        <v>538</v>
      </c>
      <c r="G64">
        <v>26230397</v>
      </c>
      <c r="I64">
        <v>26230397</v>
      </c>
      <c r="J64">
        <v>27290077</v>
      </c>
      <c r="L64">
        <v>27290077</v>
      </c>
      <c r="O64" t="s">
        <v>888</v>
      </c>
      <c r="P64" t="s">
        <v>641</v>
      </c>
      <c r="Q64" t="s">
        <v>642</v>
      </c>
      <c r="R64" t="s">
        <v>643</v>
      </c>
      <c r="S64">
        <v>64116265</v>
      </c>
      <c r="T64">
        <v>1059680</v>
      </c>
      <c r="U64">
        <v>1059680</v>
      </c>
      <c r="V64">
        <v>0</v>
      </c>
      <c r="AK64">
        <v>0.35</v>
      </c>
      <c r="AL64">
        <v>10525.2</v>
      </c>
      <c r="AM64">
        <v>1.08822585868115</v>
      </c>
      <c r="AN64">
        <v>2181.6752014839599</v>
      </c>
      <c r="AS64" t="s">
        <v>88</v>
      </c>
      <c r="AU64" t="s">
        <v>647</v>
      </c>
    </row>
    <row r="65" spans="1:47" x14ac:dyDescent="0.3">
      <c r="A65" t="s">
        <v>869</v>
      </c>
      <c r="B65" t="s">
        <v>169</v>
      </c>
      <c r="C65" t="s">
        <v>870</v>
      </c>
      <c r="D65" t="s">
        <v>889</v>
      </c>
      <c r="E65">
        <v>1000</v>
      </c>
      <c r="F65" t="s">
        <v>538</v>
      </c>
      <c r="G65">
        <v>26298176</v>
      </c>
      <c r="I65">
        <v>26298176</v>
      </c>
      <c r="J65">
        <v>27360594</v>
      </c>
      <c r="L65">
        <v>27360594</v>
      </c>
      <c r="O65" t="s">
        <v>890</v>
      </c>
      <c r="P65" t="s">
        <v>641</v>
      </c>
      <c r="Q65" t="s">
        <v>642</v>
      </c>
      <c r="R65" t="s">
        <v>643</v>
      </c>
      <c r="S65">
        <v>64283478</v>
      </c>
      <c r="T65">
        <v>1062418</v>
      </c>
      <c r="U65">
        <v>1062418</v>
      </c>
      <c r="V65">
        <v>0</v>
      </c>
      <c r="AK65">
        <v>0.35</v>
      </c>
      <c r="AL65">
        <v>10525.2</v>
      </c>
      <c r="AM65">
        <v>1.08822585868115</v>
      </c>
      <c r="AN65">
        <v>2181.6752014839599</v>
      </c>
      <c r="AS65" t="s">
        <v>88</v>
      </c>
      <c r="AU65" t="s">
        <v>647</v>
      </c>
    </row>
    <row r="66" spans="1:47" x14ac:dyDescent="0.3">
      <c r="A66" t="s">
        <v>869</v>
      </c>
      <c r="B66" t="s">
        <v>169</v>
      </c>
      <c r="C66" t="s">
        <v>870</v>
      </c>
      <c r="D66" t="s">
        <v>891</v>
      </c>
      <c r="E66">
        <v>1002</v>
      </c>
      <c r="F66" t="s">
        <v>538</v>
      </c>
      <c r="G66">
        <v>26347837</v>
      </c>
      <c r="I66">
        <v>26347837</v>
      </c>
      <c r="J66">
        <v>27412262</v>
      </c>
      <c r="L66">
        <v>27412262</v>
      </c>
      <c r="O66" t="s">
        <v>892</v>
      </c>
      <c r="P66" t="s">
        <v>641</v>
      </c>
      <c r="Q66" t="s">
        <v>642</v>
      </c>
      <c r="R66" t="s">
        <v>643</v>
      </c>
      <c r="S66">
        <v>64396668</v>
      </c>
      <c r="T66">
        <v>1064425</v>
      </c>
      <c r="U66">
        <v>1064425</v>
      </c>
      <c r="V66">
        <v>0</v>
      </c>
      <c r="AK66">
        <v>0.35</v>
      </c>
      <c r="AL66">
        <v>10525.2</v>
      </c>
      <c r="AM66">
        <v>1.08822585868115</v>
      </c>
      <c r="AN66">
        <v>2181.6752014839599</v>
      </c>
      <c r="AS66" t="s">
        <v>88</v>
      </c>
      <c r="AU66" t="s">
        <v>647</v>
      </c>
    </row>
    <row r="67" spans="1:47" x14ac:dyDescent="0.3">
      <c r="A67" t="s">
        <v>869</v>
      </c>
      <c r="B67" t="s">
        <v>169</v>
      </c>
      <c r="C67" t="s">
        <v>870</v>
      </c>
      <c r="D67" t="s">
        <v>893</v>
      </c>
      <c r="E67">
        <v>1003</v>
      </c>
      <c r="F67" t="s">
        <v>538</v>
      </c>
      <c r="G67">
        <v>26363609</v>
      </c>
      <c r="I67">
        <v>26363609</v>
      </c>
      <c r="J67">
        <v>27428671</v>
      </c>
      <c r="L67">
        <v>27428671</v>
      </c>
      <c r="O67" t="s">
        <v>894</v>
      </c>
      <c r="P67" t="s">
        <v>641</v>
      </c>
      <c r="Q67" t="s">
        <v>642</v>
      </c>
      <c r="R67" t="s">
        <v>643</v>
      </c>
      <c r="S67">
        <v>64406958</v>
      </c>
      <c r="T67">
        <v>1065062</v>
      </c>
      <c r="U67">
        <v>1065062</v>
      </c>
      <c r="V67">
        <v>0</v>
      </c>
      <c r="AK67">
        <v>0.35</v>
      </c>
      <c r="AL67">
        <v>10525.2</v>
      </c>
      <c r="AM67">
        <v>1.08822585868115</v>
      </c>
      <c r="AN67">
        <v>2181.6752014839599</v>
      </c>
      <c r="AS67" t="s">
        <v>88</v>
      </c>
      <c r="AU67" t="s">
        <v>647</v>
      </c>
    </row>
    <row r="68" spans="1:47" x14ac:dyDescent="0.3">
      <c r="A68" t="s">
        <v>869</v>
      </c>
      <c r="B68" t="s">
        <v>169</v>
      </c>
      <c r="C68" t="s">
        <v>870</v>
      </c>
      <c r="D68" t="s">
        <v>895</v>
      </c>
      <c r="E68">
        <v>1004</v>
      </c>
      <c r="F68" t="s">
        <v>538</v>
      </c>
      <c r="G68">
        <v>26397498</v>
      </c>
      <c r="I68">
        <v>26397498</v>
      </c>
      <c r="J68">
        <v>27463929</v>
      </c>
      <c r="L68">
        <v>27463929</v>
      </c>
      <c r="O68" t="s">
        <v>896</v>
      </c>
      <c r="P68" t="s">
        <v>641</v>
      </c>
      <c r="Q68" t="s">
        <v>642</v>
      </c>
      <c r="R68" t="s">
        <v>643</v>
      </c>
      <c r="S68">
        <v>64493688</v>
      </c>
      <c r="T68">
        <v>1066431</v>
      </c>
      <c r="U68">
        <v>1066431</v>
      </c>
      <c r="V68">
        <v>0</v>
      </c>
      <c r="AK68">
        <v>0.35</v>
      </c>
      <c r="AL68">
        <v>10525.2</v>
      </c>
      <c r="AM68">
        <v>1.08822585868115</v>
      </c>
      <c r="AN68">
        <v>2181.6752014839599</v>
      </c>
      <c r="AS68" t="s">
        <v>88</v>
      </c>
      <c r="AU68" t="s">
        <v>647</v>
      </c>
    </row>
    <row r="69" spans="1:47" x14ac:dyDescent="0.3">
      <c r="A69" t="s">
        <v>869</v>
      </c>
      <c r="B69" t="s">
        <v>169</v>
      </c>
      <c r="C69" t="s">
        <v>870</v>
      </c>
      <c r="D69" t="s">
        <v>897</v>
      </c>
      <c r="E69">
        <v>1010</v>
      </c>
      <c r="F69" t="s">
        <v>538</v>
      </c>
      <c r="G69">
        <v>26564600</v>
      </c>
      <c r="I69">
        <v>26564600</v>
      </c>
      <c r="J69">
        <v>27637781</v>
      </c>
      <c r="L69">
        <v>27637781</v>
      </c>
      <c r="O69" t="s">
        <v>898</v>
      </c>
      <c r="P69" t="s">
        <v>641</v>
      </c>
      <c r="Q69" t="s">
        <v>642</v>
      </c>
      <c r="R69" t="s">
        <v>643</v>
      </c>
      <c r="S69">
        <v>64865966</v>
      </c>
      <c r="T69">
        <v>1073181</v>
      </c>
      <c r="U69">
        <v>1073181</v>
      </c>
      <c r="V69">
        <v>0</v>
      </c>
      <c r="AK69">
        <v>0.35</v>
      </c>
      <c r="AL69">
        <v>10525.2</v>
      </c>
      <c r="AM69">
        <v>1.08822585868115</v>
      </c>
      <c r="AN69">
        <v>2181.6752014839599</v>
      </c>
      <c r="AS69" t="s">
        <v>88</v>
      </c>
      <c r="AU69" t="s">
        <v>647</v>
      </c>
    </row>
    <row r="70" spans="1:47" x14ac:dyDescent="0.3">
      <c r="A70" t="s">
        <v>869</v>
      </c>
      <c r="B70" t="s">
        <v>169</v>
      </c>
      <c r="C70" t="s">
        <v>870</v>
      </c>
      <c r="D70" t="s">
        <v>899</v>
      </c>
      <c r="E70">
        <v>1010</v>
      </c>
      <c r="F70" t="s">
        <v>538</v>
      </c>
      <c r="G70">
        <v>26546483</v>
      </c>
      <c r="I70">
        <v>26546483</v>
      </c>
      <c r="J70">
        <v>27618932</v>
      </c>
      <c r="L70">
        <v>27618932</v>
      </c>
      <c r="O70" t="s">
        <v>900</v>
      </c>
      <c r="P70" t="s">
        <v>641</v>
      </c>
      <c r="Q70" t="s">
        <v>642</v>
      </c>
      <c r="R70" t="s">
        <v>643</v>
      </c>
      <c r="S70">
        <v>64820028</v>
      </c>
      <c r="T70">
        <v>1072449</v>
      </c>
      <c r="U70">
        <v>1072449</v>
      </c>
      <c r="V70">
        <v>0</v>
      </c>
      <c r="AK70">
        <v>0.35</v>
      </c>
      <c r="AL70">
        <v>10525.2</v>
      </c>
      <c r="AM70">
        <v>1.08822585868115</v>
      </c>
      <c r="AN70">
        <v>2181.6752014839599</v>
      </c>
      <c r="AS70" t="s">
        <v>88</v>
      </c>
      <c r="AU70" t="s">
        <v>647</v>
      </c>
    </row>
    <row r="71" spans="1:47" x14ac:dyDescent="0.3">
      <c r="A71" t="s">
        <v>70</v>
      </c>
      <c r="B71" t="s">
        <v>169</v>
      </c>
      <c r="C71" t="s">
        <v>901</v>
      </c>
      <c r="D71" t="s">
        <v>902</v>
      </c>
      <c r="E71">
        <v>1448.73</v>
      </c>
      <c r="F71" t="s">
        <v>538</v>
      </c>
      <c r="G71">
        <v>59930463</v>
      </c>
      <c r="H71">
        <v>46221791</v>
      </c>
      <c r="I71">
        <v>13708672</v>
      </c>
      <c r="J71">
        <v>62351619</v>
      </c>
      <c r="K71">
        <v>48089106</v>
      </c>
      <c r="L71">
        <v>14262513</v>
      </c>
      <c r="M71" t="s">
        <v>903</v>
      </c>
      <c r="N71" t="s">
        <v>904</v>
      </c>
      <c r="O71" t="s">
        <v>903</v>
      </c>
      <c r="P71" t="s">
        <v>641</v>
      </c>
      <c r="Q71" t="s">
        <v>642</v>
      </c>
      <c r="R71" t="s">
        <v>782</v>
      </c>
      <c r="S71">
        <v>418876169</v>
      </c>
      <c r="T71">
        <v>2421156</v>
      </c>
      <c r="U71">
        <v>553841</v>
      </c>
      <c r="V71">
        <v>1867315</v>
      </c>
      <c r="Z71" t="s">
        <v>905</v>
      </c>
      <c r="AK71">
        <v>0.3</v>
      </c>
      <c r="AL71">
        <v>18712.5</v>
      </c>
      <c r="AM71">
        <v>0.17016949659318639</v>
      </c>
      <c r="AN71">
        <v>10614.32235</v>
      </c>
      <c r="AP71">
        <v>45622</v>
      </c>
      <c r="AQ71" t="s">
        <v>645</v>
      </c>
      <c r="AR71">
        <v>12503.662961250177</v>
      </c>
      <c r="AS71" t="s">
        <v>645</v>
      </c>
      <c r="AT71" t="s">
        <v>109</v>
      </c>
      <c r="AU71" t="s">
        <v>647</v>
      </c>
    </row>
    <row r="72" spans="1:47" x14ac:dyDescent="0.3">
      <c r="A72" t="s">
        <v>906</v>
      </c>
      <c r="B72" t="s">
        <v>169</v>
      </c>
      <c r="C72" t="s">
        <v>907</v>
      </c>
      <c r="D72" t="s">
        <v>852</v>
      </c>
      <c r="E72">
        <v>20015</v>
      </c>
      <c r="F72" t="s">
        <v>538</v>
      </c>
      <c r="G72">
        <v>4418038</v>
      </c>
      <c r="H72">
        <v>4418038</v>
      </c>
      <c r="I72">
        <v>0</v>
      </c>
      <c r="J72">
        <v>4596524</v>
      </c>
      <c r="K72">
        <v>4596524</v>
      </c>
      <c r="L72">
        <v>0</v>
      </c>
      <c r="M72" t="s">
        <v>908</v>
      </c>
      <c r="N72" t="s">
        <v>909</v>
      </c>
      <c r="S72">
        <v>289251206</v>
      </c>
      <c r="T72">
        <v>178486</v>
      </c>
      <c r="U72">
        <v>0</v>
      </c>
      <c r="V72">
        <v>178486</v>
      </c>
      <c r="Z72" t="s">
        <v>910</v>
      </c>
      <c r="AK72">
        <v>0.5</v>
      </c>
      <c r="AL72">
        <v>10007.5</v>
      </c>
      <c r="AM72">
        <v>0.1</v>
      </c>
      <c r="AN72">
        <v>2001.5</v>
      </c>
      <c r="AS72" t="s">
        <v>88</v>
      </c>
      <c r="AU72" t="s">
        <v>647</v>
      </c>
    </row>
    <row r="73" spans="1:47" x14ac:dyDescent="0.3">
      <c r="A73" t="s">
        <v>70</v>
      </c>
      <c r="B73" t="s">
        <v>71</v>
      </c>
      <c r="C73" t="s">
        <v>911</v>
      </c>
      <c r="D73" t="s">
        <v>638</v>
      </c>
      <c r="E73">
        <v>5000</v>
      </c>
      <c r="F73" t="s">
        <v>538</v>
      </c>
      <c r="G73">
        <v>13515423</v>
      </c>
      <c r="H73">
        <v>0</v>
      </c>
      <c r="I73">
        <v>13515423</v>
      </c>
      <c r="J73">
        <v>14061432</v>
      </c>
      <c r="K73">
        <v>0</v>
      </c>
      <c r="L73">
        <v>14061432</v>
      </c>
      <c r="M73" t="s">
        <v>639</v>
      </c>
      <c r="N73" t="s">
        <v>912</v>
      </c>
      <c r="O73" t="s">
        <v>639</v>
      </c>
      <c r="P73" t="s">
        <v>641</v>
      </c>
      <c r="Q73" t="s">
        <v>642</v>
      </c>
      <c r="R73" t="s">
        <v>643</v>
      </c>
      <c r="S73">
        <v>20646696</v>
      </c>
      <c r="T73">
        <v>546009</v>
      </c>
      <c r="U73">
        <v>546009</v>
      </c>
      <c r="V73">
        <v>0</v>
      </c>
      <c r="Z73" t="s">
        <v>913</v>
      </c>
      <c r="AK73">
        <v>0.65</v>
      </c>
      <c r="AL73">
        <v>3250</v>
      </c>
      <c r="AM73">
        <v>0.3339765359742346</v>
      </c>
      <c r="AN73">
        <v>1669.882679871173</v>
      </c>
      <c r="AP73">
        <v>43865</v>
      </c>
      <c r="AQ73" t="s">
        <v>645</v>
      </c>
      <c r="AR73">
        <v>3250</v>
      </c>
      <c r="AS73" t="s">
        <v>645</v>
      </c>
      <c r="AT73" t="s">
        <v>646</v>
      </c>
      <c r="AU73" t="s">
        <v>647</v>
      </c>
    </row>
    <row r="74" spans="1:47" x14ac:dyDescent="0.3">
      <c r="A74" t="s">
        <v>70</v>
      </c>
      <c r="B74" t="s">
        <v>71</v>
      </c>
      <c r="C74" t="s">
        <v>914</v>
      </c>
      <c r="D74" t="s">
        <v>638</v>
      </c>
      <c r="E74">
        <v>5000</v>
      </c>
      <c r="F74" t="s">
        <v>538</v>
      </c>
      <c r="G74">
        <v>13515423</v>
      </c>
      <c r="H74">
        <v>0</v>
      </c>
      <c r="I74">
        <v>13515423</v>
      </c>
      <c r="J74">
        <v>14061432</v>
      </c>
      <c r="K74">
        <v>0</v>
      </c>
      <c r="L74">
        <v>14061432</v>
      </c>
      <c r="M74" t="s">
        <v>639</v>
      </c>
      <c r="N74" t="s">
        <v>915</v>
      </c>
      <c r="O74" t="s">
        <v>639</v>
      </c>
      <c r="P74" t="s">
        <v>641</v>
      </c>
      <c r="Q74" t="s">
        <v>642</v>
      </c>
      <c r="R74" t="s">
        <v>643</v>
      </c>
      <c r="S74">
        <v>20646696</v>
      </c>
      <c r="T74">
        <v>546009</v>
      </c>
      <c r="U74">
        <v>546009</v>
      </c>
      <c r="V74">
        <v>0</v>
      </c>
      <c r="Z74" t="s">
        <v>916</v>
      </c>
      <c r="AK74">
        <v>0.65</v>
      </c>
      <c r="AL74">
        <v>3250</v>
      </c>
      <c r="AM74">
        <v>0.3339765359742346</v>
      </c>
      <c r="AN74">
        <v>1669.882679871173</v>
      </c>
      <c r="AP74">
        <v>43865</v>
      </c>
      <c r="AQ74" t="s">
        <v>645</v>
      </c>
      <c r="AR74">
        <v>3250</v>
      </c>
      <c r="AS74" t="s">
        <v>645</v>
      </c>
      <c r="AT74" t="s">
        <v>646</v>
      </c>
      <c r="AU74" t="s">
        <v>647</v>
      </c>
    </row>
    <row r="75" spans="1:47" x14ac:dyDescent="0.3">
      <c r="A75" t="s">
        <v>687</v>
      </c>
      <c r="B75" t="s">
        <v>80</v>
      </c>
      <c r="C75" t="s">
        <v>917</v>
      </c>
      <c r="D75" t="s">
        <v>852</v>
      </c>
      <c r="E75">
        <v>78440</v>
      </c>
      <c r="F75" t="s">
        <v>538</v>
      </c>
      <c r="G75">
        <v>1288286245</v>
      </c>
      <c r="H75">
        <v>0</v>
      </c>
      <c r="I75">
        <v>1288286245</v>
      </c>
      <c r="J75">
        <v>1340331634</v>
      </c>
      <c r="K75">
        <v>0</v>
      </c>
      <c r="L75">
        <v>1340331634</v>
      </c>
      <c r="N75" t="s">
        <v>918</v>
      </c>
      <c r="P75" t="s">
        <v>641</v>
      </c>
      <c r="R75" t="s">
        <v>643</v>
      </c>
      <c r="S75" t="s">
        <v>920</v>
      </c>
      <c r="T75">
        <v>52045389</v>
      </c>
      <c r="U75">
        <v>52045389</v>
      </c>
      <c r="V75">
        <v>0</v>
      </c>
      <c r="Z75" t="s">
        <v>919</v>
      </c>
      <c r="AK75">
        <v>0.69</v>
      </c>
      <c r="AL75">
        <v>54509.999999999993</v>
      </c>
      <c r="AM75">
        <v>0.68200000000000005</v>
      </c>
      <c r="AN75">
        <v>53495.999999999985</v>
      </c>
      <c r="AP75">
        <v>44634</v>
      </c>
      <c r="AQ75" t="s">
        <v>692</v>
      </c>
      <c r="AR75">
        <v>53495.999999999985</v>
      </c>
      <c r="AS75" t="s">
        <v>88</v>
      </c>
      <c r="AU75" t="s">
        <v>647</v>
      </c>
    </row>
    <row r="76" spans="1:47" x14ac:dyDescent="0.3">
      <c r="A76" t="s">
        <v>496</v>
      </c>
      <c r="B76" t="s">
        <v>80</v>
      </c>
      <c r="C76" t="s">
        <v>921</v>
      </c>
      <c r="D76" t="s">
        <v>922</v>
      </c>
      <c r="E76">
        <v>57098.05</v>
      </c>
      <c r="F76" t="s">
        <v>538</v>
      </c>
      <c r="G76">
        <v>3364319186</v>
      </c>
      <c r="H76">
        <v>402912477</v>
      </c>
      <c r="I76">
        <v>2961406709</v>
      </c>
      <c r="J76">
        <v>3434968812</v>
      </c>
      <c r="K76">
        <v>411373510</v>
      </c>
      <c r="L76">
        <v>3023595302</v>
      </c>
      <c r="N76" t="s">
        <v>923</v>
      </c>
      <c r="O76" t="s">
        <v>923</v>
      </c>
      <c r="P76" t="s">
        <v>641</v>
      </c>
      <c r="Q76" t="s">
        <v>642</v>
      </c>
      <c r="R76" t="s">
        <v>643</v>
      </c>
      <c r="S76">
        <v>4142049275</v>
      </c>
      <c r="T76">
        <v>70649626</v>
      </c>
      <c r="U76">
        <v>62188593</v>
      </c>
      <c r="V76">
        <v>8461033</v>
      </c>
      <c r="Z76" t="s">
        <v>924</v>
      </c>
      <c r="AK76">
        <v>13</v>
      </c>
      <c r="AL76">
        <v>742268.79610000004</v>
      </c>
      <c r="AM76">
        <v>3.074873840187808</v>
      </c>
      <c r="AN76">
        <v>175567.91565504522</v>
      </c>
      <c r="AP76">
        <v>45493</v>
      </c>
      <c r="AQ76" t="s">
        <v>154</v>
      </c>
      <c r="AR76">
        <v>183903</v>
      </c>
      <c r="AS76" t="s">
        <v>154</v>
      </c>
      <c r="AT76" t="s">
        <v>646</v>
      </c>
      <c r="AU76" t="s">
        <v>647</v>
      </c>
    </row>
    <row r="77" spans="1:47" x14ac:dyDescent="0.3">
      <c r="A77" t="s">
        <v>687</v>
      </c>
      <c r="B77" t="s">
        <v>80</v>
      </c>
      <c r="C77" t="s">
        <v>925</v>
      </c>
      <c r="D77" t="s">
        <v>926</v>
      </c>
      <c r="E77">
        <v>3460</v>
      </c>
      <c r="F77" t="s">
        <v>538</v>
      </c>
      <c r="G77">
        <v>75169499</v>
      </c>
      <c r="H77">
        <v>9665712</v>
      </c>
      <c r="I77">
        <v>65503787</v>
      </c>
      <c r="J77">
        <v>76748034</v>
      </c>
      <c r="K77">
        <v>9868688</v>
      </c>
      <c r="L77">
        <v>66879346</v>
      </c>
      <c r="N77" t="s">
        <v>927</v>
      </c>
      <c r="O77" t="s">
        <v>927</v>
      </c>
      <c r="P77" t="s">
        <v>641</v>
      </c>
      <c r="Q77" t="s">
        <v>642</v>
      </c>
      <c r="R77" t="s">
        <v>643</v>
      </c>
      <c r="S77">
        <v>43268631</v>
      </c>
      <c r="T77">
        <v>1578535</v>
      </c>
      <c r="U77">
        <v>1375559</v>
      </c>
      <c r="V77">
        <v>202976</v>
      </c>
      <c r="Z77" t="s">
        <v>928</v>
      </c>
      <c r="AK77">
        <v>5</v>
      </c>
      <c r="AL77">
        <v>20000</v>
      </c>
      <c r="AM77">
        <v>5</v>
      </c>
      <c r="AN77">
        <v>17300</v>
      </c>
      <c r="AP77">
        <v>44634</v>
      </c>
      <c r="AQ77" t="s">
        <v>692</v>
      </c>
      <c r="AR77">
        <v>17300</v>
      </c>
      <c r="AS77" t="s">
        <v>88</v>
      </c>
      <c r="AU77" t="s">
        <v>647</v>
      </c>
    </row>
    <row r="78" spans="1:47" x14ac:dyDescent="0.3">
      <c r="A78" t="s">
        <v>79</v>
      </c>
      <c r="B78" t="s">
        <v>80</v>
      </c>
      <c r="C78" t="s">
        <v>929</v>
      </c>
      <c r="D78" t="s">
        <v>930</v>
      </c>
      <c r="E78">
        <v>1185</v>
      </c>
      <c r="F78" t="s">
        <v>538</v>
      </c>
      <c r="G78">
        <v>143103664</v>
      </c>
      <c r="H78">
        <v>36711825</v>
      </c>
      <c r="I78">
        <v>106391839</v>
      </c>
      <c r="J78">
        <v>148884899</v>
      </c>
      <c r="K78">
        <v>38194945</v>
      </c>
      <c r="L78">
        <v>110689954</v>
      </c>
      <c r="O78" t="s">
        <v>931</v>
      </c>
      <c r="P78" t="s">
        <v>641</v>
      </c>
      <c r="Q78" t="s">
        <v>642</v>
      </c>
      <c r="R78" t="s">
        <v>643</v>
      </c>
      <c r="S78" t="s">
        <v>682</v>
      </c>
      <c r="T78">
        <v>5781235</v>
      </c>
      <c r="U78">
        <v>4298115</v>
      </c>
      <c r="V78">
        <v>1483120</v>
      </c>
      <c r="AS78" t="s">
        <v>88</v>
      </c>
      <c r="AU78" t="s">
        <v>647</v>
      </c>
    </row>
    <row r="79" spans="1:47" x14ac:dyDescent="0.3">
      <c r="A79" t="s">
        <v>70</v>
      </c>
      <c r="B79" t="s">
        <v>169</v>
      </c>
      <c r="C79" t="s">
        <v>932</v>
      </c>
      <c r="D79" t="s">
        <v>933</v>
      </c>
      <c r="E79">
        <v>33442</v>
      </c>
      <c r="F79" t="s">
        <v>538</v>
      </c>
      <c r="G79">
        <v>707296001</v>
      </c>
      <c r="H79">
        <v>46221791</v>
      </c>
      <c r="I79">
        <v>661074210</v>
      </c>
      <c r="J79">
        <v>735870345</v>
      </c>
      <c r="K79">
        <v>48089106</v>
      </c>
      <c r="L79">
        <v>687781239</v>
      </c>
      <c r="M79" t="s">
        <v>934</v>
      </c>
      <c r="N79" t="s">
        <v>935</v>
      </c>
      <c r="O79" t="s">
        <v>934</v>
      </c>
      <c r="P79" t="s">
        <v>641</v>
      </c>
      <c r="Q79" t="s">
        <v>642</v>
      </c>
      <c r="R79" t="s">
        <v>680</v>
      </c>
      <c r="S79">
        <v>163879651</v>
      </c>
      <c r="T79">
        <v>28574344</v>
      </c>
      <c r="U79">
        <v>26707029</v>
      </c>
      <c r="V79">
        <v>1867315</v>
      </c>
      <c r="W79">
        <v>33442</v>
      </c>
      <c r="X79" t="s">
        <v>936</v>
      </c>
      <c r="Y79">
        <v>37487</v>
      </c>
      <c r="Z79" t="s">
        <v>937</v>
      </c>
      <c r="AB79" t="s">
        <v>177</v>
      </c>
      <c r="AK79">
        <v>0.2</v>
      </c>
      <c r="AL79">
        <v>6688.4012000000002</v>
      </c>
      <c r="AM79">
        <v>7.2999999999999995E-2</v>
      </c>
      <c r="AN79">
        <v>2451.4251171747883</v>
      </c>
      <c r="AP79">
        <v>45622</v>
      </c>
      <c r="AQ79" t="s">
        <v>645</v>
      </c>
      <c r="AR79">
        <v>3720.9473415962161</v>
      </c>
      <c r="AS79" t="s">
        <v>645</v>
      </c>
      <c r="AU79" t="s">
        <v>647</v>
      </c>
    </row>
    <row r="80" spans="1:47" x14ac:dyDescent="0.3">
      <c r="A80" t="s">
        <v>70</v>
      </c>
      <c r="B80" t="s">
        <v>169</v>
      </c>
      <c r="C80" t="s">
        <v>938</v>
      </c>
      <c r="D80" t="s">
        <v>933</v>
      </c>
      <c r="E80">
        <v>34168.120000000003</v>
      </c>
      <c r="F80" t="s">
        <v>538</v>
      </c>
      <c r="G80">
        <v>707296001</v>
      </c>
      <c r="H80">
        <v>46221791</v>
      </c>
      <c r="I80">
        <v>661074210</v>
      </c>
      <c r="J80">
        <v>735870345</v>
      </c>
      <c r="K80">
        <v>48089106</v>
      </c>
      <c r="L80">
        <v>687781239</v>
      </c>
      <c r="M80" t="s">
        <v>934</v>
      </c>
      <c r="N80" t="s">
        <v>939</v>
      </c>
      <c r="O80" t="s">
        <v>934</v>
      </c>
      <c r="P80" t="s">
        <v>641</v>
      </c>
      <c r="Q80" t="s">
        <v>642</v>
      </c>
      <c r="R80" t="s">
        <v>680</v>
      </c>
      <c r="S80">
        <v>167513047</v>
      </c>
      <c r="T80">
        <v>28574344</v>
      </c>
      <c r="U80">
        <v>26707029</v>
      </c>
      <c r="V80">
        <v>1867315</v>
      </c>
      <c r="W80">
        <v>34168.120000000003</v>
      </c>
      <c r="X80" t="s">
        <v>936</v>
      </c>
      <c r="Y80">
        <v>37487</v>
      </c>
      <c r="Z80" t="s">
        <v>940</v>
      </c>
      <c r="AB80" t="s">
        <v>177</v>
      </c>
      <c r="AK80">
        <v>0.2</v>
      </c>
      <c r="AL80">
        <v>6833.6240000000007</v>
      </c>
      <c r="AM80">
        <v>8.9999999999999993E-3</v>
      </c>
      <c r="AN80">
        <v>313.08155752736917</v>
      </c>
      <c r="AP80">
        <v>45622</v>
      </c>
      <c r="AQ80" t="s">
        <v>645</v>
      </c>
      <c r="AR80">
        <v>313.08155752736917</v>
      </c>
      <c r="AS80" t="s">
        <v>645</v>
      </c>
      <c r="AU80" t="s">
        <v>647</v>
      </c>
    </row>
    <row r="81" spans="1:47" x14ac:dyDescent="0.3">
      <c r="A81" t="s">
        <v>70</v>
      </c>
      <c r="B81" t="s">
        <v>169</v>
      </c>
      <c r="C81" t="s">
        <v>941</v>
      </c>
      <c r="D81" t="s">
        <v>933</v>
      </c>
      <c r="E81">
        <v>42300</v>
      </c>
      <c r="F81" t="s">
        <v>538</v>
      </c>
      <c r="G81">
        <v>707296001</v>
      </c>
      <c r="H81">
        <v>46221791</v>
      </c>
      <c r="I81">
        <v>661074210</v>
      </c>
      <c r="J81">
        <v>735870345</v>
      </c>
      <c r="K81">
        <v>48089106</v>
      </c>
      <c r="L81">
        <v>687781239</v>
      </c>
      <c r="M81" t="s">
        <v>934</v>
      </c>
      <c r="N81" t="s">
        <v>942</v>
      </c>
      <c r="O81" t="s">
        <v>934</v>
      </c>
      <c r="P81" t="s">
        <v>641</v>
      </c>
      <c r="Q81" t="s">
        <v>642</v>
      </c>
      <c r="R81" t="s">
        <v>680</v>
      </c>
      <c r="S81">
        <v>176043004</v>
      </c>
      <c r="T81">
        <v>28574344</v>
      </c>
      <c r="U81">
        <v>26707029</v>
      </c>
      <c r="V81">
        <v>1867315</v>
      </c>
      <c r="W81">
        <v>42300</v>
      </c>
      <c r="X81" t="s">
        <v>936</v>
      </c>
      <c r="Y81">
        <v>37487</v>
      </c>
      <c r="Z81" t="s">
        <v>943</v>
      </c>
      <c r="AB81" t="s">
        <v>177</v>
      </c>
      <c r="AK81">
        <v>0.2</v>
      </c>
      <c r="AL81">
        <v>8460</v>
      </c>
      <c r="AM81">
        <v>5.5E-2</v>
      </c>
      <c r="AN81">
        <v>2325.5625214511742</v>
      </c>
      <c r="AP81">
        <v>45622</v>
      </c>
      <c r="AQ81" t="s">
        <v>645</v>
      </c>
      <c r="AR81">
        <v>4706.5380153786209</v>
      </c>
      <c r="AS81" t="s">
        <v>645</v>
      </c>
      <c r="AU81" t="s">
        <v>647</v>
      </c>
    </row>
    <row r="82" spans="1:47" x14ac:dyDescent="0.3">
      <c r="A82" t="s">
        <v>70</v>
      </c>
      <c r="B82" t="s">
        <v>169</v>
      </c>
      <c r="C82" t="s">
        <v>944</v>
      </c>
      <c r="D82" t="s">
        <v>933</v>
      </c>
      <c r="E82">
        <v>52095.31</v>
      </c>
      <c r="F82" t="s">
        <v>538</v>
      </c>
      <c r="G82">
        <v>707296001</v>
      </c>
      <c r="H82">
        <v>46221791</v>
      </c>
      <c r="I82">
        <v>661074210</v>
      </c>
      <c r="J82">
        <v>735870345</v>
      </c>
      <c r="K82">
        <v>48089106</v>
      </c>
      <c r="L82">
        <v>687781239</v>
      </c>
      <c r="M82" t="s">
        <v>934</v>
      </c>
      <c r="N82" t="s">
        <v>945</v>
      </c>
      <c r="O82" t="s">
        <v>934</v>
      </c>
      <c r="P82" t="s">
        <v>641</v>
      </c>
      <c r="Q82" t="s">
        <v>642</v>
      </c>
      <c r="R82" t="s">
        <v>680</v>
      </c>
      <c r="S82">
        <v>255403110</v>
      </c>
      <c r="T82">
        <v>28574344</v>
      </c>
      <c r="U82">
        <v>26707029</v>
      </c>
      <c r="V82">
        <v>1867315</v>
      </c>
      <c r="W82">
        <v>52095.31</v>
      </c>
      <c r="X82" t="s">
        <v>936</v>
      </c>
      <c r="Y82">
        <v>37487</v>
      </c>
      <c r="Z82" t="s">
        <v>946</v>
      </c>
      <c r="AB82" t="s">
        <v>177</v>
      </c>
      <c r="AK82">
        <v>0.2</v>
      </c>
      <c r="AL82">
        <v>10419.062</v>
      </c>
      <c r="AM82">
        <v>8.9999999999999993E-3</v>
      </c>
      <c r="AN82">
        <v>477.34791363034105</v>
      </c>
      <c r="AP82">
        <v>45622</v>
      </c>
      <c r="AQ82" t="s">
        <v>645</v>
      </c>
      <c r="AR82">
        <v>5796.4197857667614</v>
      </c>
      <c r="AS82" t="s">
        <v>645</v>
      </c>
      <c r="AU82" t="s">
        <v>647</v>
      </c>
    </row>
    <row r="83" spans="1:47" x14ac:dyDescent="0.3">
      <c r="A83" t="s">
        <v>70</v>
      </c>
      <c r="B83" t="s">
        <v>169</v>
      </c>
      <c r="C83" t="s">
        <v>947</v>
      </c>
      <c r="D83" t="s">
        <v>933</v>
      </c>
      <c r="E83">
        <v>53875</v>
      </c>
      <c r="F83" t="s">
        <v>538</v>
      </c>
      <c r="G83">
        <v>707296001</v>
      </c>
      <c r="H83">
        <v>46221791</v>
      </c>
      <c r="I83">
        <v>661074210</v>
      </c>
      <c r="J83">
        <v>735870345</v>
      </c>
      <c r="K83">
        <v>48089106</v>
      </c>
      <c r="L83">
        <v>687781239</v>
      </c>
      <c r="M83" t="s">
        <v>934</v>
      </c>
      <c r="N83" t="s">
        <v>948</v>
      </c>
      <c r="O83" t="s">
        <v>934</v>
      </c>
      <c r="P83" t="s">
        <v>641</v>
      </c>
      <c r="Q83" t="s">
        <v>642</v>
      </c>
      <c r="R83" t="s">
        <v>680</v>
      </c>
      <c r="S83">
        <v>264128242</v>
      </c>
      <c r="T83">
        <v>28574344</v>
      </c>
      <c r="U83">
        <v>26707029</v>
      </c>
      <c r="V83">
        <v>1867315</v>
      </c>
      <c r="W83">
        <v>53875</v>
      </c>
      <c r="X83" t="s">
        <v>936</v>
      </c>
      <c r="Y83">
        <v>37487</v>
      </c>
      <c r="Z83" t="s">
        <v>949</v>
      </c>
      <c r="AB83" t="s">
        <v>177</v>
      </c>
      <c r="AK83">
        <v>0.2</v>
      </c>
      <c r="AL83">
        <v>10775</v>
      </c>
      <c r="AM83">
        <v>6.8000000000000005E-2</v>
      </c>
      <c r="AN83">
        <v>3667.1526532958824</v>
      </c>
      <c r="AP83">
        <v>45622</v>
      </c>
      <c r="AQ83" t="s">
        <v>645</v>
      </c>
      <c r="AR83">
        <v>5994.4381933457016</v>
      </c>
      <c r="AS83" t="s">
        <v>645</v>
      </c>
      <c r="AU83" t="s">
        <v>647</v>
      </c>
    </row>
    <row r="84" spans="1:47" x14ac:dyDescent="0.3">
      <c r="A84" t="s">
        <v>70</v>
      </c>
      <c r="B84" t="s">
        <v>169</v>
      </c>
      <c r="C84" t="s">
        <v>950</v>
      </c>
      <c r="D84" t="s">
        <v>933</v>
      </c>
      <c r="E84">
        <v>56036</v>
      </c>
      <c r="F84" t="s">
        <v>538</v>
      </c>
      <c r="G84">
        <v>707296001</v>
      </c>
      <c r="H84">
        <v>46221791</v>
      </c>
      <c r="I84">
        <v>661074210</v>
      </c>
      <c r="J84">
        <v>735870345</v>
      </c>
      <c r="K84">
        <v>48089106</v>
      </c>
      <c r="L84">
        <v>687781239</v>
      </c>
      <c r="M84" t="s">
        <v>934</v>
      </c>
      <c r="N84" t="s">
        <v>951</v>
      </c>
      <c r="O84" t="s">
        <v>934</v>
      </c>
      <c r="P84" t="s">
        <v>641</v>
      </c>
      <c r="Q84" t="s">
        <v>642</v>
      </c>
      <c r="R84" t="s">
        <v>680</v>
      </c>
      <c r="S84">
        <v>274722786</v>
      </c>
      <c r="T84">
        <v>28574344</v>
      </c>
      <c r="U84">
        <v>26707029</v>
      </c>
      <c r="V84">
        <v>1867315</v>
      </c>
      <c r="W84">
        <v>56036</v>
      </c>
      <c r="X84" t="s">
        <v>936</v>
      </c>
      <c r="Y84">
        <v>37487</v>
      </c>
      <c r="Z84" t="s">
        <v>952</v>
      </c>
      <c r="AB84" t="s">
        <v>177</v>
      </c>
      <c r="AK84">
        <v>0.2</v>
      </c>
      <c r="AL84">
        <v>11207.2</v>
      </c>
      <c r="AM84">
        <v>6.8000000000000005E-2</v>
      </c>
      <c r="AN84">
        <v>3814.2471662197322</v>
      </c>
      <c r="AP84">
        <v>45622</v>
      </c>
      <c r="AQ84" t="s">
        <v>645</v>
      </c>
      <c r="AR84">
        <v>6234.8833151242643</v>
      </c>
      <c r="AS84" t="s">
        <v>645</v>
      </c>
      <c r="AU84" t="s">
        <v>647</v>
      </c>
    </row>
    <row r="85" spans="1:47" x14ac:dyDescent="0.3">
      <c r="A85" t="s">
        <v>869</v>
      </c>
      <c r="B85" t="s">
        <v>169</v>
      </c>
      <c r="C85" t="s">
        <v>953</v>
      </c>
      <c r="D85" t="s">
        <v>933</v>
      </c>
      <c r="E85">
        <v>56912</v>
      </c>
      <c r="F85" t="s">
        <v>538</v>
      </c>
      <c r="G85">
        <v>707296001</v>
      </c>
      <c r="H85">
        <v>46221791</v>
      </c>
      <c r="I85">
        <v>661074210</v>
      </c>
      <c r="J85">
        <v>735870345</v>
      </c>
      <c r="K85">
        <v>48089106</v>
      </c>
      <c r="L85">
        <v>687781239</v>
      </c>
      <c r="M85" t="s">
        <v>934</v>
      </c>
      <c r="N85" t="s">
        <v>954</v>
      </c>
      <c r="O85" t="s">
        <v>934</v>
      </c>
      <c r="P85" t="s">
        <v>641</v>
      </c>
      <c r="Q85" t="s">
        <v>642</v>
      </c>
      <c r="R85" t="s">
        <v>680</v>
      </c>
      <c r="S85">
        <v>296664916</v>
      </c>
      <c r="T85">
        <v>28574344</v>
      </c>
      <c r="U85">
        <v>26707029</v>
      </c>
      <c r="V85">
        <v>1867315</v>
      </c>
      <c r="Z85" t="s">
        <v>955</v>
      </c>
      <c r="AK85">
        <v>0.2</v>
      </c>
      <c r="AL85">
        <v>11382.4</v>
      </c>
      <c r="AM85">
        <v>6.8000000000000005E-2</v>
      </c>
      <c r="AN85">
        <v>3873.8745578538328</v>
      </c>
      <c r="AP85">
        <v>45622</v>
      </c>
      <c r="AQ85" t="s">
        <v>645</v>
      </c>
      <c r="AR85">
        <v>6332.3520456555098</v>
      </c>
      <c r="AS85" t="s">
        <v>645</v>
      </c>
      <c r="AU85" t="s">
        <v>647</v>
      </c>
    </row>
    <row r="86" spans="1:47" x14ac:dyDescent="0.3">
      <c r="A86" t="s">
        <v>70</v>
      </c>
      <c r="B86" t="s">
        <v>169</v>
      </c>
      <c r="C86" t="s">
        <v>956</v>
      </c>
      <c r="D86" t="s">
        <v>902</v>
      </c>
      <c r="E86">
        <v>58885.95</v>
      </c>
      <c r="F86" t="s">
        <v>538</v>
      </c>
      <c r="G86">
        <v>59930463</v>
      </c>
      <c r="H86">
        <v>46221791</v>
      </c>
      <c r="I86">
        <v>13708672</v>
      </c>
      <c r="J86">
        <v>62351619</v>
      </c>
      <c r="K86">
        <v>48089106</v>
      </c>
      <c r="L86">
        <v>14262513</v>
      </c>
      <c r="M86" t="s">
        <v>903</v>
      </c>
      <c r="N86" t="s">
        <v>957</v>
      </c>
      <c r="O86" t="s">
        <v>903</v>
      </c>
      <c r="P86" t="s">
        <v>641</v>
      </c>
      <c r="Q86" t="s">
        <v>642</v>
      </c>
      <c r="R86" t="s">
        <v>782</v>
      </c>
      <c r="S86">
        <v>418876169</v>
      </c>
      <c r="T86">
        <v>2421156</v>
      </c>
      <c r="U86">
        <v>553841</v>
      </c>
      <c r="V86">
        <v>1867315</v>
      </c>
      <c r="Z86" t="s">
        <v>958</v>
      </c>
      <c r="AK86">
        <v>0.3</v>
      </c>
      <c r="AL86">
        <v>18712.5</v>
      </c>
      <c r="AM86">
        <v>0.17016949659318639</v>
      </c>
      <c r="AN86">
        <v>10614.32235</v>
      </c>
      <c r="AP86">
        <v>45622</v>
      </c>
      <c r="AQ86" t="s">
        <v>645</v>
      </c>
      <c r="AR86">
        <v>12503.662961250177</v>
      </c>
      <c r="AS86" t="s">
        <v>645</v>
      </c>
      <c r="AT86" t="s">
        <v>109</v>
      </c>
      <c r="AU86" t="s">
        <v>647</v>
      </c>
    </row>
    <row r="87" spans="1:47" x14ac:dyDescent="0.3">
      <c r="A87" t="s">
        <v>70</v>
      </c>
      <c r="B87" t="s">
        <v>71</v>
      </c>
      <c r="C87" t="s">
        <v>959</v>
      </c>
      <c r="D87" t="s">
        <v>638</v>
      </c>
      <c r="E87">
        <v>5000</v>
      </c>
      <c r="F87" t="s">
        <v>538</v>
      </c>
      <c r="G87">
        <v>13515423</v>
      </c>
      <c r="H87">
        <v>0</v>
      </c>
      <c r="I87">
        <v>13515423</v>
      </c>
      <c r="J87">
        <v>14061432</v>
      </c>
      <c r="K87">
        <v>0</v>
      </c>
      <c r="L87">
        <v>14061432</v>
      </c>
      <c r="M87" t="s">
        <v>639</v>
      </c>
      <c r="N87" t="s">
        <v>960</v>
      </c>
      <c r="O87" t="s">
        <v>639</v>
      </c>
      <c r="P87" t="s">
        <v>641</v>
      </c>
      <c r="Q87" t="s">
        <v>642</v>
      </c>
      <c r="R87" t="s">
        <v>643</v>
      </c>
      <c r="S87">
        <v>20646696</v>
      </c>
      <c r="T87">
        <v>546009</v>
      </c>
      <c r="U87">
        <v>546009</v>
      </c>
      <c r="V87">
        <v>0</v>
      </c>
      <c r="Z87" t="s">
        <v>961</v>
      </c>
      <c r="AK87">
        <v>0.65</v>
      </c>
      <c r="AL87">
        <v>3250</v>
      </c>
      <c r="AM87">
        <v>0.3339765359742346</v>
      </c>
      <c r="AN87">
        <v>1669.882679871173</v>
      </c>
      <c r="AP87">
        <v>43865</v>
      </c>
      <c r="AQ87" t="s">
        <v>645</v>
      </c>
      <c r="AR87">
        <v>3250</v>
      </c>
      <c r="AS87" t="s">
        <v>645</v>
      </c>
      <c r="AT87" t="s">
        <v>646</v>
      </c>
      <c r="AU87" t="s">
        <v>647</v>
      </c>
    </row>
    <row r="88" spans="1:47" x14ac:dyDescent="0.3">
      <c r="A88" t="s">
        <v>70</v>
      </c>
      <c r="B88" t="s">
        <v>169</v>
      </c>
      <c r="C88" t="s">
        <v>962</v>
      </c>
      <c r="D88" t="s">
        <v>902</v>
      </c>
      <c r="E88">
        <v>61191.81</v>
      </c>
      <c r="F88" t="s">
        <v>538</v>
      </c>
      <c r="G88">
        <v>59930463</v>
      </c>
      <c r="H88">
        <v>46221791</v>
      </c>
      <c r="I88">
        <v>13708672</v>
      </c>
      <c r="J88">
        <v>62351619</v>
      </c>
      <c r="K88">
        <v>48089106</v>
      </c>
      <c r="L88">
        <v>14262513</v>
      </c>
      <c r="M88" t="s">
        <v>903</v>
      </c>
      <c r="N88" t="s">
        <v>963</v>
      </c>
      <c r="O88" t="s">
        <v>903</v>
      </c>
      <c r="P88" t="s">
        <v>641</v>
      </c>
      <c r="Q88" t="s">
        <v>642</v>
      </c>
      <c r="R88" t="s">
        <v>782</v>
      </c>
      <c r="S88">
        <v>418876169</v>
      </c>
      <c r="T88">
        <v>2421156</v>
      </c>
      <c r="U88">
        <v>553841</v>
      </c>
      <c r="V88">
        <v>1867315</v>
      </c>
      <c r="Z88" t="s">
        <v>964</v>
      </c>
      <c r="AK88">
        <v>0.3</v>
      </c>
      <c r="AL88">
        <v>18712.5</v>
      </c>
      <c r="AM88">
        <v>0.17016949659318639</v>
      </c>
      <c r="AN88">
        <v>10614.32235</v>
      </c>
      <c r="AP88">
        <v>45622</v>
      </c>
      <c r="AQ88" t="s">
        <v>645</v>
      </c>
      <c r="AR88">
        <v>12503.662961250177</v>
      </c>
      <c r="AS88" t="s">
        <v>645</v>
      </c>
      <c r="AT88" t="s">
        <v>109</v>
      </c>
      <c r="AU88" t="s">
        <v>647</v>
      </c>
    </row>
    <row r="89" spans="1:47" x14ac:dyDescent="0.3">
      <c r="A89" t="s">
        <v>70</v>
      </c>
      <c r="B89" t="s">
        <v>169</v>
      </c>
      <c r="C89" t="s">
        <v>965</v>
      </c>
      <c r="D89" t="s">
        <v>933</v>
      </c>
      <c r="E89">
        <v>62395</v>
      </c>
      <c r="F89" t="s">
        <v>538</v>
      </c>
      <c r="G89">
        <v>707296001</v>
      </c>
      <c r="H89">
        <v>46221791</v>
      </c>
      <c r="I89">
        <v>661074210</v>
      </c>
      <c r="J89">
        <v>735870345</v>
      </c>
      <c r="K89">
        <v>48089106</v>
      </c>
      <c r="L89">
        <v>687781239</v>
      </c>
      <c r="M89" t="s">
        <v>934</v>
      </c>
      <c r="N89" t="s">
        <v>966</v>
      </c>
      <c r="O89" t="s">
        <v>934</v>
      </c>
      <c r="P89" t="s">
        <v>641</v>
      </c>
      <c r="Q89" t="s">
        <v>642</v>
      </c>
      <c r="R89" t="s">
        <v>680</v>
      </c>
      <c r="S89">
        <v>305898497</v>
      </c>
      <c r="T89">
        <v>28574344</v>
      </c>
      <c r="U89">
        <v>26707029</v>
      </c>
      <c r="V89">
        <v>1867315</v>
      </c>
      <c r="W89">
        <v>62395</v>
      </c>
      <c r="X89" t="s">
        <v>936</v>
      </c>
      <c r="Y89">
        <v>37487</v>
      </c>
      <c r="Z89" t="s">
        <v>967</v>
      </c>
      <c r="AB89" t="s">
        <v>177</v>
      </c>
      <c r="AK89">
        <v>0.2</v>
      </c>
      <c r="AL89">
        <v>12479</v>
      </c>
      <c r="AM89">
        <v>6.8000000000000005E-2</v>
      </c>
      <c r="AN89">
        <v>4247.090297956317</v>
      </c>
      <c r="AP89">
        <v>45622</v>
      </c>
      <c r="AQ89" t="s">
        <v>645</v>
      </c>
      <c r="AR89">
        <v>6942.4217368687714</v>
      </c>
      <c r="AS89" t="s">
        <v>645</v>
      </c>
      <c r="AU89" t="s">
        <v>647</v>
      </c>
    </row>
    <row r="90" spans="1:47" x14ac:dyDescent="0.3">
      <c r="A90" t="s">
        <v>70</v>
      </c>
      <c r="B90" t="s">
        <v>169</v>
      </c>
      <c r="C90" t="s">
        <v>968</v>
      </c>
      <c r="D90" t="s">
        <v>933</v>
      </c>
      <c r="E90">
        <v>65787</v>
      </c>
      <c r="F90" t="s">
        <v>538</v>
      </c>
      <c r="G90">
        <v>707296001</v>
      </c>
      <c r="H90">
        <v>46221791</v>
      </c>
      <c r="I90">
        <v>661074210</v>
      </c>
      <c r="J90">
        <v>735870345</v>
      </c>
      <c r="K90">
        <v>48089106</v>
      </c>
      <c r="L90">
        <v>687781239</v>
      </c>
      <c r="M90" t="s">
        <v>934</v>
      </c>
      <c r="N90" t="s">
        <v>969</v>
      </c>
      <c r="O90" t="s">
        <v>934</v>
      </c>
      <c r="P90" t="s">
        <v>641</v>
      </c>
      <c r="Q90" t="s">
        <v>642</v>
      </c>
      <c r="R90" t="s">
        <v>680</v>
      </c>
      <c r="S90">
        <v>322528154</v>
      </c>
      <c r="T90">
        <v>28574344</v>
      </c>
      <c r="U90">
        <v>26707029</v>
      </c>
      <c r="V90">
        <v>1867315</v>
      </c>
      <c r="W90">
        <v>65787</v>
      </c>
      <c r="X90" t="s">
        <v>936</v>
      </c>
      <c r="Y90">
        <v>37487</v>
      </c>
      <c r="Z90" t="s">
        <v>970</v>
      </c>
      <c r="AB90" t="s">
        <v>177</v>
      </c>
      <c r="AK90">
        <v>0.2</v>
      </c>
      <c r="AL90">
        <v>13157.4</v>
      </c>
      <c r="AM90">
        <v>6.3E-2</v>
      </c>
      <c r="AN90">
        <v>4133.5165578847254</v>
      </c>
      <c r="AP90">
        <v>45622</v>
      </c>
      <c r="AQ90" t="s">
        <v>645</v>
      </c>
      <c r="AR90">
        <v>7319.834903492042</v>
      </c>
      <c r="AS90" t="s">
        <v>645</v>
      </c>
      <c r="AU90" t="s">
        <v>647</v>
      </c>
    </row>
    <row r="91" spans="1:47" x14ac:dyDescent="0.3">
      <c r="A91" t="s">
        <v>70</v>
      </c>
      <c r="B91" t="s">
        <v>169</v>
      </c>
      <c r="C91" t="s">
        <v>971</v>
      </c>
      <c r="D91" t="s">
        <v>933</v>
      </c>
      <c r="E91">
        <v>71134</v>
      </c>
      <c r="F91" t="s">
        <v>538</v>
      </c>
      <c r="G91">
        <v>707296001</v>
      </c>
      <c r="H91">
        <v>46221791</v>
      </c>
      <c r="I91">
        <v>661074210</v>
      </c>
      <c r="J91">
        <v>735870345</v>
      </c>
      <c r="K91">
        <v>48089106</v>
      </c>
      <c r="L91">
        <v>687781239</v>
      </c>
      <c r="M91" t="s">
        <v>934</v>
      </c>
      <c r="N91" t="s">
        <v>972</v>
      </c>
      <c r="O91" t="s">
        <v>934</v>
      </c>
      <c r="P91" t="s">
        <v>641</v>
      </c>
      <c r="Q91" t="s">
        <v>642</v>
      </c>
      <c r="R91" t="s">
        <v>680</v>
      </c>
      <c r="S91">
        <v>314502581</v>
      </c>
      <c r="T91">
        <v>28574344</v>
      </c>
      <c r="U91">
        <v>26707029</v>
      </c>
      <c r="V91">
        <v>1867315</v>
      </c>
      <c r="W91">
        <v>71134</v>
      </c>
      <c r="X91" t="s">
        <v>936</v>
      </c>
      <c r="Y91">
        <v>37487</v>
      </c>
      <c r="Z91" t="s">
        <v>973</v>
      </c>
      <c r="AB91" t="s">
        <v>177</v>
      </c>
      <c r="AK91">
        <v>0.2</v>
      </c>
      <c r="AL91">
        <v>14226.8</v>
      </c>
      <c r="AM91">
        <v>5.5E-2</v>
      </c>
      <c r="AN91">
        <v>3910.7934846550311</v>
      </c>
      <c r="AP91">
        <v>45622</v>
      </c>
      <c r="AQ91" t="s">
        <v>645</v>
      </c>
      <c r="AR91">
        <v>7914.772463024653</v>
      </c>
      <c r="AS91" t="s">
        <v>645</v>
      </c>
      <c r="AU91" t="s">
        <v>647</v>
      </c>
    </row>
    <row r="92" spans="1:47" x14ac:dyDescent="0.3">
      <c r="A92" t="s">
        <v>70</v>
      </c>
      <c r="B92" t="s">
        <v>169</v>
      </c>
      <c r="C92" t="s">
        <v>974</v>
      </c>
      <c r="D92" t="s">
        <v>933</v>
      </c>
      <c r="E92">
        <v>71272</v>
      </c>
      <c r="F92" t="s">
        <v>538</v>
      </c>
      <c r="G92">
        <v>707296001</v>
      </c>
      <c r="H92">
        <v>46221791</v>
      </c>
      <c r="I92">
        <v>661074210</v>
      </c>
      <c r="J92">
        <v>735870345</v>
      </c>
      <c r="K92">
        <v>48089106</v>
      </c>
      <c r="L92">
        <v>687781239</v>
      </c>
      <c r="M92" t="s">
        <v>934</v>
      </c>
      <c r="N92" t="s">
        <v>975</v>
      </c>
      <c r="O92" t="s">
        <v>934</v>
      </c>
      <c r="P92" t="s">
        <v>641</v>
      </c>
      <c r="Q92" t="s">
        <v>642</v>
      </c>
      <c r="R92" t="s">
        <v>680</v>
      </c>
      <c r="S92">
        <v>349418986</v>
      </c>
      <c r="T92">
        <v>28574344</v>
      </c>
      <c r="U92">
        <v>26707029</v>
      </c>
      <c r="V92">
        <v>1867315</v>
      </c>
      <c r="W92">
        <v>71272</v>
      </c>
      <c r="X92" t="s">
        <v>936</v>
      </c>
      <c r="Y92">
        <v>37487</v>
      </c>
      <c r="Z92" t="s">
        <v>976</v>
      </c>
      <c r="AB92" t="s">
        <v>177</v>
      </c>
      <c r="AK92">
        <v>0.2</v>
      </c>
      <c r="AL92">
        <v>14254.4</v>
      </c>
      <c r="AM92">
        <v>6.3E-2</v>
      </c>
      <c r="AN92">
        <v>4478.1490585307147</v>
      </c>
      <c r="AP92">
        <v>45622</v>
      </c>
      <c r="AQ92" t="s">
        <v>645</v>
      </c>
      <c r="AR92">
        <v>7930.1271260535468</v>
      </c>
      <c r="AS92" t="s">
        <v>645</v>
      </c>
      <c r="AU92" t="s">
        <v>647</v>
      </c>
    </row>
    <row r="93" spans="1:47" x14ac:dyDescent="0.3">
      <c r="A93" t="s">
        <v>70</v>
      </c>
      <c r="B93" t="s">
        <v>169</v>
      </c>
      <c r="C93" t="s">
        <v>977</v>
      </c>
      <c r="D93" t="s">
        <v>933</v>
      </c>
      <c r="E93">
        <v>74526</v>
      </c>
      <c r="F93" t="s">
        <v>538</v>
      </c>
      <c r="G93">
        <v>707296001</v>
      </c>
      <c r="H93">
        <v>46221791</v>
      </c>
      <c r="I93">
        <v>661074210</v>
      </c>
      <c r="J93">
        <v>735870345</v>
      </c>
      <c r="K93">
        <v>48089106</v>
      </c>
      <c r="L93">
        <v>687781239</v>
      </c>
      <c r="M93" t="s">
        <v>934</v>
      </c>
      <c r="N93" t="s">
        <v>978</v>
      </c>
      <c r="O93" t="s">
        <v>934</v>
      </c>
      <c r="P93" t="s">
        <v>641</v>
      </c>
      <c r="Q93" t="s">
        <v>642</v>
      </c>
      <c r="R93" t="s">
        <v>680</v>
      </c>
      <c r="S93">
        <v>365372084</v>
      </c>
      <c r="T93">
        <v>28574344</v>
      </c>
      <c r="U93">
        <v>26707029</v>
      </c>
      <c r="V93">
        <v>1867315</v>
      </c>
      <c r="W93">
        <v>74526</v>
      </c>
      <c r="X93" t="s">
        <v>936</v>
      </c>
      <c r="Y93">
        <v>37487</v>
      </c>
      <c r="Z93" t="s">
        <v>979</v>
      </c>
      <c r="AB93" t="s">
        <v>177</v>
      </c>
      <c r="AK93">
        <v>0.2</v>
      </c>
      <c r="AL93">
        <v>14905.2</v>
      </c>
      <c r="AM93">
        <v>0.06</v>
      </c>
      <c r="AN93">
        <v>4487.4952908864288</v>
      </c>
      <c r="AP93">
        <v>45622</v>
      </c>
      <c r="AQ93" t="s">
        <v>645</v>
      </c>
      <c r="AR93">
        <v>8292.1856296479218</v>
      </c>
      <c r="AS93" t="s">
        <v>645</v>
      </c>
      <c r="AU93" t="s">
        <v>647</v>
      </c>
    </row>
    <row r="94" spans="1:47" x14ac:dyDescent="0.3">
      <c r="A94" t="s">
        <v>70</v>
      </c>
      <c r="B94" t="s">
        <v>169</v>
      </c>
      <c r="C94" t="s">
        <v>980</v>
      </c>
      <c r="D94" t="s">
        <v>933</v>
      </c>
      <c r="E94">
        <v>75568</v>
      </c>
      <c r="F94" t="s">
        <v>538</v>
      </c>
      <c r="G94">
        <v>707296001</v>
      </c>
      <c r="H94">
        <v>46221791</v>
      </c>
      <c r="I94">
        <v>661074210</v>
      </c>
      <c r="J94">
        <v>735870345</v>
      </c>
      <c r="K94">
        <v>48089106</v>
      </c>
      <c r="L94">
        <v>687781239</v>
      </c>
      <c r="M94" t="s">
        <v>934</v>
      </c>
      <c r="N94" t="s">
        <v>981</v>
      </c>
      <c r="O94" t="s">
        <v>934</v>
      </c>
      <c r="P94" t="s">
        <v>641</v>
      </c>
      <c r="Q94" t="s">
        <v>642</v>
      </c>
      <c r="R94" t="s">
        <v>680</v>
      </c>
      <c r="S94">
        <v>370480610</v>
      </c>
      <c r="T94">
        <v>28574344</v>
      </c>
      <c r="U94">
        <v>26707029</v>
      </c>
      <c r="V94">
        <v>1867315</v>
      </c>
      <c r="W94">
        <v>75568</v>
      </c>
      <c r="X94" t="s">
        <v>936</v>
      </c>
      <c r="Y94">
        <v>37487</v>
      </c>
      <c r="Z94" t="s">
        <v>982</v>
      </c>
      <c r="AB94" t="s">
        <v>177</v>
      </c>
      <c r="AK94">
        <v>0.2</v>
      </c>
      <c r="AL94">
        <v>15113.6</v>
      </c>
      <c r="AM94">
        <v>6.2E-2</v>
      </c>
      <c r="AN94">
        <v>4649.1563127254585</v>
      </c>
      <c r="AP94">
        <v>45622</v>
      </c>
      <c r="AQ94" t="s">
        <v>645</v>
      </c>
      <c r="AR94">
        <v>8408.1244620834896</v>
      </c>
      <c r="AS94" t="s">
        <v>645</v>
      </c>
      <c r="AU94" t="s">
        <v>647</v>
      </c>
    </row>
    <row r="95" spans="1:47" x14ac:dyDescent="0.3">
      <c r="A95" t="s">
        <v>70</v>
      </c>
      <c r="B95" t="s">
        <v>169</v>
      </c>
      <c r="C95" t="s">
        <v>983</v>
      </c>
      <c r="D95" t="s">
        <v>933</v>
      </c>
      <c r="E95">
        <v>77838</v>
      </c>
      <c r="F95" t="s">
        <v>538</v>
      </c>
      <c r="G95">
        <v>707296001</v>
      </c>
      <c r="H95">
        <v>46221791</v>
      </c>
      <c r="I95">
        <v>661074210</v>
      </c>
      <c r="J95">
        <v>735870345</v>
      </c>
      <c r="K95">
        <v>48089106</v>
      </c>
      <c r="L95">
        <v>687781239</v>
      </c>
      <c r="M95" t="s">
        <v>934</v>
      </c>
      <c r="N95" t="s">
        <v>984</v>
      </c>
      <c r="O95" t="s">
        <v>934</v>
      </c>
      <c r="P95" t="s">
        <v>641</v>
      </c>
      <c r="Q95" t="s">
        <v>642</v>
      </c>
      <c r="R95" t="s">
        <v>680</v>
      </c>
      <c r="S95">
        <v>368406802</v>
      </c>
      <c r="T95">
        <v>28574344</v>
      </c>
      <c r="U95">
        <v>26707029</v>
      </c>
      <c r="V95">
        <v>1867315</v>
      </c>
      <c r="W95">
        <v>77838</v>
      </c>
      <c r="X95" t="s">
        <v>936</v>
      </c>
      <c r="Y95">
        <v>37487</v>
      </c>
      <c r="Z95" t="s">
        <v>985</v>
      </c>
      <c r="AB95" t="s">
        <v>177</v>
      </c>
      <c r="AK95">
        <v>0.2</v>
      </c>
      <c r="AL95">
        <v>15567.6</v>
      </c>
      <c r="AM95">
        <v>0.06</v>
      </c>
      <c r="AN95">
        <v>4686.9234690177636</v>
      </c>
      <c r="AP95">
        <v>45622</v>
      </c>
      <c r="AQ95" t="s">
        <v>645</v>
      </c>
      <c r="AR95">
        <v>8660.6975423413969</v>
      </c>
      <c r="AS95" t="s">
        <v>645</v>
      </c>
      <c r="AU95" t="s">
        <v>647</v>
      </c>
    </row>
    <row r="96" spans="1:47" x14ac:dyDescent="0.3">
      <c r="A96" t="s">
        <v>70</v>
      </c>
      <c r="B96" t="s">
        <v>71</v>
      </c>
      <c r="C96" t="s">
        <v>986</v>
      </c>
      <c r="D96" t="s">
        <v>638</v>
      </c>
      <c r="E96">
        <v>5000</v>
      </c>
      <c r="F96" t="s">
        <v>538</v>
      </c>
      <c r="G96">
        <v>13515423</v>
      </c>
      <c r="H96">
        <v>0</v>
      </c>
      <c r="I96">
        <v>13515423</v>
      </c>
      <c r="J96">
        <v>14061432</v>
      </c>
      <c r="K96">
        <v>0</v>
      </c>
      <c r="L96">
        <v>14061432</v>
      </c>
      <c r="M96" t="s">
        <v>639</v>
      </c>
      <c r="N96" t="s">
        <v>987</v>
      </c>
      <c r="O96" t="s">
        <v>639</v>
      </c>
      <c r="P96" t="s">
        <v>641</v>
      </c>
      <c r="Q96" t="s">
        <v>642</v>
      </c>
      <c r="R96" t="s">
        <v>643</v>
      </c>
      <c r="S96">
        <v>20646696</v>
      </c>
      <c r="T96">
        <v>546009</v>
      </c>
      <c r="U96">
        <v>546009</v>
      </c>
      <c r="V96">
        <v>0</v>
      </c>
      <c r="Z96" t="s">
        <v>988</v>
      </c>
      <c r="AK96">
        <v>0.65</v>
      </c>
      <c r="AL96">
        <v>3250</v>
      </c>
      <c r="AM96">
        <v>0.3339765359742346</v>
      </c>
      <c r="AN96">
        <v>1669.882679871173</v>
      </c>
      <c r="AP96">
        <v>43865</v>
      </c>
      <c r="AQ96" t="s">
        <v>645</v>
      </c>
      <c r="AR96">
        <v>3250</v>
      </c>
      <c r="AS96" t="s">
        <v>645</v>
      </c>
      <c r="AT96" t="s">
        <v>646</v>
      </c>
      <c r="AU96" t="s">
        <v>647</v>
      </c>
    </row>
    <row r="97" spans="1:47" x14ac:dyDescent="0.3">
      <c r="A97" t="s">
        <v>70</v>
      </c>
      <c r="B97" t="s">
        <v>169</v>
      </c>
      <c r="C97" t="s">
        <v>989</v>
      </c>
      <c r="D97" t="s">
        <v>933</v>
      </c>
      <c r="E97">
        <v>78814.210000000006</v>
      </c>
      <c r="F97" t="s">
        <v>538</v>
      </c>
      <c r="G97">
        <v>707296001</v>
      </c>
      <c r="H97">
        <v>46221791</v>
      </c>
      <c r="I97">
        <v>661074210</v>
      </c>
      <c r="J97">
        <v>735870345</v>
      </c>
      <c r="K97">
        <v>48089106</v>
      </c>
      <c r="L97">
        <v>687781239</v>
      </c>
      <c r="M97" t="s">
        <v>934</v>
      </c>
      <c r="N97" t="s">
        <v>990</v>
      </c>
      <c r="O97" t="s">
        <v>934</v>
      </c>
      <c r="P97" t="s">
        <v>641</v>
      </c>
      <c r="Q97" t="s">
        <v>642</v>
      </c>
      <c r="R97" t="s">
        <v>680</v>
      </c>
      <c r="S97">
        <v>367138058</v>
      </c>
      <c r="T97">
        <v>28574344</v>
      </c>
      <c r="U97">
        <v>26707029</v>
      </c>
      <c r="V97">
        <v>1867315</v>
      </c>
      <c r="W97">
        <v>78814.210000000006</v>
      </c>
      <c r="X97" t="s">
        <v>936</v>
      </c>
      <c r="Y97">
        <v>37487</v>
      </c>
      <c r="Z97" t="s">
        <v>991</v>
      </c>
      <c r="AB97" t="s">
        <v>177</v>
      </c>
      <c r="AK97">
        <v>0.2</v>
      </c>
      <c r="AL97">
        <v>15762.842000000002</v>
      </c>
      <c r="AM97">
        <v>8.9999999999999993E-3</v>
      </c>
      <c r="AN97">
        <v>722.17247018826788</v>
      </c>
      <c r="AP97">
        <v>45622</v>
      </c>
      <c r="AQ97" t="s">
        <v>645</v>
      </c>
      <c r="AR97">
        <v>8769.3162060764516</v>
      </c>
      <c r="AS97" t="s">
        <v>645</v>
      </c>
      <c r="AU97" t="s">
        <v>647</v>
      </c>
    </row>
    <row r="98" spans="1:47" x14ac:dyDescent="0.3">
      <c r="A98" t="s">
        <v>70</v>
      </c>
      <c r="B98" t="s">
        <v>71</v>
      </c>
      <c r="C98" t="s">
        <v>992</v>
      </c>
      <c r="D98" t="s">
        <v>638</v>
      </c>
      <c r="E98">
        <v>5000</v>
      </c>
      <c r="F98" t="s">
        <v>538</v>
      </c>
      <c r="G98">
        <v>13515423</v>
      </c>
      <c r="H98">
        <v>0</v>
      </c>
      <c r="I98">
        <v>13515423</v>
      </c>
      <c r="J98">
        <v>14061432</v>
      </c>
      <c r="K98">
        <v>0</v>
      </c>
      <c r="L98">
        <v>14061432</v>
      </c>
      <c r="M98" t="s">
        <v>639</v>
      </c>
      <c r="N98" t="s">
        <v>993</v>
      </c>
      <c r="O98" t="s">
        <v>639</v>
      </c>
      <c r="P98" t="s">
        <v>641</v>
      </c>
      <c r="Q98" t="s">
        <v>642</v>
      </c>
      <c r="R98" t="s">
        <v>643</v>
      </c>
      <c r="S98">
        <v>20646696</v>
      </c>
      <c r="T98">
        <v>546009</v>
      </c>
      <c r="U98">
        <v>546009</v>
      </c>
      <c r="V98">
        <v>0</v>
      </c>
      <c r="Z98" t="s">
        <v>994</v>
      </c>
      <c r="AK98">
        <v>0.65</v>
      </c>
      <c r="AL98">
        <v>3250</v>
      </c>
      <c r="AM98">
        <v>0.3339765359742346</v>
      </c>
      <c r="AN98">
        <v>1669.882679871173</v>
      </c>
      <c r="AP98">
        <v>43865</v>
      </c>
      <c r="AQ98" t="s">
        <v>645</v>
      </c>
      <c r="AR98">
        <v>3250</v>
      </c>
      <c r="AS98" t="s">
        <v>645</v>
      </c>
      <c r="AT98" t="s">
        <v>646</v>
      </c>
      <c r="AU98" t="s">
        <v>647</v>
      </c>
    </row>
    <row r="99" spans="1:47" x14ac:dyDescent="0.3">
      <c r="A99" t="s">
        <v>70</v>
      </c>
      <c r="B99" t="s">
        <v>169</v>
      </c>
      <c r="C99" t="s">
        <v>995</v>
      </c>
      <c r="D99" t="s">
        <v>933</v>
      </c>
      <c r="E99">
        <v>79700</v>
      </c>
      <c r="F99" t="s">
        <v>538</v>
      </c>
      <c r="G99">
        <v>707296001</v>
      </c>
      <c r="H99">
        <v>46221791</v>
      </c>
      <c r="I99">
        <v>661074210</v>
      </c>
      <c r="J99">
        <v>735870345</v>
      </c>
      <c r="K99">
        <v>48089106</v>
      </c>
      <c r="L99">
        <v>687781239</v>
      </c>
      <c r="M99" t="s">
        <v>934</v>
      </c>
      <c r="N99" t="s">
        <v>996</v>
      </c>
      <c r="O99" t="s">
        <v>934</v>
      </c>
      <c r="P99" t="s">
        <v>641</v>
      </c>
      <c r="Q99" t="s">
        <v>642</v>
      </c>
      <c r="R99" t="s">
        <v>680</v>
      </c>
      <c r="S99">
        <v>390738204</v>
      </c>
      <c r="T99">
        <v>28574344</v>
      </c>
      <c r="U99">
        <v>26707029</v>
      </c>
      <c r="V99">
        <v>1867315</v>
      </c>
      <c r="W99">
        <v>79700</v>
      </c>
      <c r="X99" t="s">
        <v>936</v>
      </c>
      <c r="Y99">
        <v>37487</v>
      </c>
      <c r="Z99" t="s">
        <v>997</v>
      </c>
      <c r="AB99" t="s">
        <v>177</v>
      </c>
      <c r="AK99">
        <v>0.2</v>
      </c>
      <c r="AL99">
        <v>15940</v>
      </c>
      <c r="AM99">
        <v>0.06</v>
      </c>
      <c r="AN99">
        <v>4799.0416053947392</v>
      </c>
      <c r="AP99">
        <v>45622</v>
      </c>
      <c r="AQ99" t="s">
        <v>645</v>
      </c>
      <c r="AR99">
        <v>8867.8742275573532</v>
      </c>
      <c r="AS99" t="s">
        <v>645</v>
      </c>
      <c r="AU99" t="s">
        <v>647</v>
      </c>
    </row>
    <row r="100" spans="1:47" x14ac:dyDescent="0.3">
      <c r="A100" t="s">
        <v>70</v>
      </c>
      <c r="B100" t="s">
        <v>71</v>
      </c>
      <c r="C100" t="s">
        <v>998</v>
      </c>
      <c r="D100" t="s">
        <v>638</v>
      </c>
      <c r="E100">
        <v>5000</v>
      </c>
      <c r="F100" t="s">
        <v>538</v>
      </c>
      <c r="G100">
        <v>13515423</v>
      </c>
      <c r="H100">
        <v>0</v>
      </c>
      <c r="I100">
        <v>13515423</v>
      </c>
      <c r="J100">
        <v>14061432</v>
      </c>
      <c r="K100">
        <v>0</v>
      </c>
      <c r="L100">
        <v>14061432</v>
      </c>
      <c r="M100" t="s">
        <v>639</v>
      </c>
      <c r="N100" t="s">
        <v>999</v>
      </c>
      <c r="O100" t="s">
        <v>639</v>
      </c>
      <c r="P100" t="s">
        <v>641</v>
      </c>
      <c r="Q100" t="s">
        <v>642</v>
      </c>
      <c r="R100" t="s">
        <v>643</v>
      </c>
      <c r="S100">
        <v>20646696</v>
      </c>
      <c r="T100">
        <v>546009</v>
      </c>
      <c r="U100">
        <v>546009</v>
      </c>
      <c r="V100">
        <v>0</v>
      </c>
      <c r="Z100" t="s">
        <v>1000</v>
      </c>
      <c r="AK100">
        <v>0.65</v>
      </c>
      <c r="AL100">
        <v>3250</v>
      </c>
      <c r="AM100">
        <v>0.3339765359742346</v>
      </c>
      <c r="AN100">
        <v>1669.882679871173</v>
      </c>
      <c r="AP100">
        <v>43865</v>
      </c>
      <c r="AQ100" t="s">
        <v>645</v>
      </c>
      <c r="AR100">
        <v>3250</v>
      </c>
      <c r="AS100" t="s">
        <v>645</v>
      </c>
      <c r="AT100" t="s">
        <v>646</v>
      </c>
      <c r="AU100" t="s">
        <v>647</v>
      </c>
    </row>
    <row r="101" spans="1:47" x14ac:dyDescent="0.3">
      <c r="A101" t="s">
        <v>70</v>
      </c>
      <c r="B101" t="s">
        <v>169</v>
      </c>
      <c r="C101" t="s">
        <v>1001</v>
      </c>
      <c r="D101" t="s">
        <v>933</v>
      </c>
      <c r="E101">
        <v>79860</v>
      </c>
      <c r="F101" t="s">
        <v>538</v>
      </c>
      <c r="G101">
        <v>707296001</v>
      </c>
      <c r="H101">
        <v>46221791</v>
      </c>
      <c r="I101">
        <v>661074210</v>
      </c>
      <c r="J101">
        <v>735870345</v>
      </c>
      <c r="K101">
        <v>48089106</v>
      </c>
      <c r="L101">
        <v>687781239</v>
      </c>
      <c r="M101" t="s">
        <v>934</v>
      </c>
      <c r="N101" t="s">
        <v>1002</v>
      </c>
      <c r="O101" t="s">
        <v>934</v>
      </c>
      <c r="P101" t="s">
        <v>641</v>
      </c>
      <c r="Q101" t="s">
        <v>642</v>
      </c>
      <c r="R101" t="s">
        <v>680</v>
      </c>
      <c r="S101">
        <v>391522620</v>
      </c>
      <c r="T101">
        <v>28574344</v>
      </c>
      <c r="U101">
        <v>26707029</v>
      </c>
      <c r="V101">
        <v>1867315</v>
      </c>
      <c r="W101">
        <v>79860</v>
      </c>
      <c r="X101" t="s">
        <v>936</v>
      </c>
      <c r="Y101">
        <v>37487</v>
      </c>
      <c r="Z101" t="s">
        <v>1003</v>
      </c>
      <c r="AB101" t="s">
        <v>177</v>
      </c>
      <c r="AK101">
        <v>0.2</v>
      </c>
      <c r="AL101">
        <v>15972</v>
      </c>
      <c r="AM101">
        <v>0.06</v>
      </c>
      <c r="AN101">
        <v>4808.6758168986689</v>
      </c>
      <c r="AP101">
        <v>45622</v>
      </c>
      <c r="AQ101" t="s">
        <v>645</v>
      </c>
      <c r="AR101">
        <v>8885.6767354169424</v>
      </c>
      <c r="AS101" t="s">
        <v>645</v>
      </c>
      <c r="AU101" t="s">
        <v>647</v>
      </c>
    </row>
    <row r="102" spans="1:47" x14ac:dyDescent="0.3">
      <c r="A102" t="s">
        <v>70</v>
      </c>
      <c r="B102" t="s">
        <v>71</v>
      </c>
      <c r="C102" t="s">
        <v>1004</v>
      </c>
      <c r="D102" t="s">
        <v>638</v>
      </c>
      <c r="E102">
        <v>5000</v>
      </c>
      <c r="F102" t="s">
        <v>538</v>
      </c>
      <c r="G102">
        <v>13515423</v>
      </c>
      <c r="H102">
        <v>0</v>
      </c>
      <c r="I102">
        <v>13515423</v>
      </c>
      <c r="J102">
        <v>14061432</v>
      </c>
      <c r="K102">
        <v>0</v>
      </c>
      <c r="L102">
        <v>14061432</v>
      </c>
      <c r="M102" t="s">
        <v>639</v>
      </c>
      <c r="N102" t="s">
        <v>1005</v>
      </c>
      <c r="O102" t="s">
        <v>639</v>
      </c>
      <c r="P102" t="s">
        <v>641</v>
      </c>
      <c r="Q102" t="s">
        <v>642</v>
      </c>
      <c r="R102" t="s">
        <v>643</v>
      </c>
      <c r="S102">
        <v>20646696</v>
      </c>
      <c r="T102">
        <v>546009</v>
      </c>
      <c r="U102">
        <v>546009</v>
      </c>
      <c r="V102">
        <v>0</v>
      </c>
      <c r="Z102" t="s">
        <v>1006</v>
      </c>
      <c r="AK102">
        <v>0.65</v>
      </c>
      <c r="AL102">
        <v>3250</v>
      </c>
      <c r="AM102">
        <v>0.3339765359742346</v>
      </c>
      <c r="AN102">
        <v>1669.882679871173</v>
      </c>
      <c r="AP102">
        <v>43865</v>
      </c>
      <c r="AQ102" t="s">
        <v>645</v>
      </c>
      <c r="AR102">
        <v>3250</v>
      </c>
      <c r="AS102" t="s">
        <v>645</v>
      </c>
      <c r="AT102" t="s">
        <v>646</v>
      </c>
      <c r="AU102" t="s">
        <v>647</v>
      </c>
    </row>
    <row r="103" spans="1:47" x14ac:dyDescent="0.3">
      <c r="A103" t="s">
        <v>70</v>
      </c>
      <c r="B103" t="s">
        <v>169</v>
      </c>
      <c r="C103" t="s">
        <v>1007</v>
      </c>
      <c r="D103" t="s">
        <v>933</v>
      </c>
      <c r="E103">
        <v>79891</v>
      </c>
      <c r="F103" t="s">
        <v>538</v>
      </c>
      <c r="G103">
        <v>707296001</v>
      </c>
      <c r="H103">
        <v>46221791</v>
      </c>
      <c r="I103">
        <v>661074210</v>
      </c>
      <c r="J103">
        <v>735870345</v>
      </c>
      <c r="K103">
        <v>48089106</v>
      </c>
      <c r="L103">
        <v>687781239</v>
      </c>
      <c r="M103" t="s">
        <v>934</v>
      </c>
      <c r="N103" t="s">
        <v>1008</v>
      </c>
      <c r="O103" t="s">
        <v>934</v>
      </c>
      <c r="P103" t="s">
        <v>641</v>
      </c>
      <c r="Q103" t="s">
        <v>642</v>
      </c>
      <c r="R103" t="s">
        <v>680</v>
      </c>
      <c r="S103">
        <v>391674600</v>
      </c>
      <c r="T103">
        <v>28574344</v>
      </c>
      <c r="U103">
        <v>26707029</v>
      </c>
      <c r="V103">
        <v>1867315</v>
      </c>
      <c r="W103">
        <v>79891</v>
      </c>
      <c r="X103" t="s">
        <v>936</v>
      </c>
      <c r="Y103">
        <v>37487</v>
      </c>
      <c r="Z103" t="s">
        <v>1009</v>
      </c>
      <c r="AB103" t="s">
        <v>177</v>
      </c>
      <c r="AK103">
        <v>0.2</v>
      </c>
      <c r="AL103">
        <v>15978.2</v>
      </c>
      <c r="AM103">
        <v>6.2E-2</v>
      </c>
      <c r="AN103">
        <v>4915.1194550596756</v>
      </c>
      <c r="AP103">
        <v>45622</v>
      </c>
      <c r="AQ103" t="s">
        <v>645</v>
      </c>
      <c r="AR103">
        <v>8889.1259713147374</v>
      </c>
      <c r="AS103" t="s">
        <v>645</v>
      </c>
      <c r="AU103" t="s">
        <v>647</v>
      </c>
    </row>
    <row r="104" spans="1:47" x14ac:dyDescent="0.3">
      <c r="A104" t="s">
        <v>70</v>
      </c>
      <c r="B104" t="s">
        <v>71</v>
      </c>
      <c r="C104" t="s">
        <v>1010</v>
      </c>
      <c r="D104" t="s">
        <v>638</v>
      </c>
      <c r="E104">
        <v>5000</v>
      </c>
      <c r="F104" t="s">
        <v>538</v>
      </c>
      <c r="G104">
        <v>13515423</v>
      </c>
      <c r="H104">
        <v>0</v>
      </c>
      <c r="I104">
        <v>13515423</v>
      </c>
      <c r="J104">
        <v>14061432</v>
      </c>
      <c r="K104">
        <v>0</v>
      </c>
      <c r="L104">
        <v>14061432</v>
      </c>
      <c r="M104" t="s">
        <v>639</v>
      </c>
      <c r="N104" t="s">
        <v>1011</v>
      </c>
      <c r="O104" t="s">
        <v>639</v>
      </c>
      <c r="P104" t="s">
        <v>641</v>
      </c>
      <c r="Q104" t="s">
        <v>642</v>
      </c>
      <c r="R104" t="s">
        <v>643</v>
      </c>
      <c r="S104">
        <v>20646696</v>
      </c>
      <c r="T104">
        <v>546009</v>
      </c>
      <c r="U104">
        <v>546009</v>
      </c>
      <c r="V104">
        <v>0</v>
      </c>
      <c r="Z104" t="s">
        <v>1012</v>
      </c>
      <c r="AK104">
        <v>0.65</v>
      </c>
      <c r="AL104">
        <v>3250</v>
      </c>
      <c r="AM104">
        <v>0.3339765359742346</v>
      </c>
      <c r="AN104">
        <v>1669.882679871173</v>
      </c>
      <c r="AP104">
        <v>43865</v>
      </c>
      <c r="AQ104" t="s">
        <v>645</v>
      </c>
      <c r="AR104">
        <v>3250</v>
      </c>
      <c r="AS104" t="s">
        <v>645</v>
      </c>
      <c r="AT104" t="s">
        <v>646</v>
      </c>
      <c r="AU104" t="s">
        <v>647</v>
      </c>
    </row>
    <row r="105" spans="1:47" x14ac:dyDescent="0.3">
      <c r="A105" t="s">
        <v>70</v>
      </c>
      <c r="B105" t="s">
        <v>71</v>
      </c>
      <c r="C105" t="s">
        <v>1013</v>
      </c>
      <c r="D105" t="s">
        <v>638</v>
      </c>
      <c r="E105">
        <v>5000</v>
      </c>
      <c r="F105" t="s">
        <v>538</v>
      </c>
      <c r="G105">
        <v>13515423</v>
      </c>
      <c r="H105">
        <v>0</v>
      </c>
      <c r="I105">
        <v>13515423</v>
      </c>
      <c r="J105">
        <v>14061432</v>
      </c>
      <c r="K105">
        <v>0</v>
      </c>
      <c r="L105">
        <v>14061432</v>
      </c>
      <c r="M105" t="s">
        <v>639</v>
      </c>
      <c r="N105" t="s">
        <v>1014</v>
      </c>
      <c r="O105" t="s">
        <v>639</v>
      </c>
      <c r="P105" t="s">
        <v>641</v>
      </c>
      <c r="Q105" t="s">
        <v>642</v>
      </c>
      <c r="R105" t="s">
        <v>643</v>
      </c>
      <c r="S105">
        <v>20646696</v>
      </c>
      <c r="T105">
        <v>546009</v>
      </c>
      <c r="U105">
        <v>546009</v>
      </c>
      <c r="V105">
        <v>0</v>
      </c>
      <c r="Z105" t="s">
        <v>1015</v>
      </c>
      <c r="AK105">
        <v>0.65</v>
      </c>
      <c r="AL105">
        <v>3250</v>
      </c>
      <c r="AM105">
        <v>0.3339765359742346</v>
      </c>
      <c r="AN105">
        <v>1669.882679871173</v>
      </c>
      <c r="AP105">
        <v>43865</v>
      </c>
      <c r="AQ105" t="s">
        <v>645</v>
      </c>
      <c r="AR105">
        <v>3250</v>
      </c>
      <c r="AS105" t="s">
        <v>645</v>
      </c>
      <c r="AT105" t="s">
        <v>646</v>
      </c>
      <c r="AU105" t="s">
        <v>647</v>
      </c>
    </row>
    <row r="106" spans="1:47" x14ac:dyDescent="0.3">
      <c r="A106" t="s">
        <v>70</v>
      </c>
      <c r="B106" t="s">
        <v>71</v>
      </c>
      <c r="C106" t="s">
        <v>1016</v>
      </c>
      <c r="D106" t="s">
        <v>638</v>
      </c>
      <c r="E106">
        <v>5000</v>
      </c>
      <c r="F106" t="s">
        <v>538</v>
      </c>
      <c r="G106">
        <v>13515423</v>
      </c>
      <c r="H106">
        <v>0</v>
      </c>
      <c r="I106">
        <v>13515423</v>
      </c>
      <c r="J106">
        <v>14061432</v>
      </c>
      <c r="K106">
        <v>0</v>
      </c>
      <c r="L106">
        <v>14061432</v>
      </c>
      <c r="M106" t="s">
        <v>639</v>
      </c>
      <c r="N106" t="s">
        <v>1017</v>
      </c>
      <c r="O106" t="s">
        <v>639</v>
      </c>
      <c r="P106" t="s">
        <v>641</v>
      </c>
      <c r="Q106" t="s">
        <v>642</v>
      </c>
      <c r="R106" t="s">
        <v>643</v>
      </c>
      <c r="S106">
        <v>20646696</v>
      </c>
      <c r="T106">
        <v>546009</v>
      </c>
      <c r="U106">
        <v>546009</v>
      </c>
      <c r="V106">
        <v>0</v>
      </c>
      <c r="Z106" t="s">
        <v>1018</v>
      </c>
      <c r="AK106">
        <v>0.65</v>
      </c>
      <c r="AL106">
        <v>3250</v>
      </c>
      <c r="AM106">
        <v>0.3339765359742346</v>
      </c>
      <c r="AN106">
        <v>1669.882679871173</v>
      </c>
      <c r="AP106">
        <v>43865</v>
      </c>
      <c r="AQ106" t="s">
        <v>645</v>
      </c>
      <c r="AR106">
        <v>3250</v>
      </c>
      <c r="AS106" t="s">
        <v>645</v>
      </c>
      <c r="AT106" t="s">
        <v>646</v>
      </c>
      <c r="AU106" t="s">
        <v>647</v>
      </c>
    </row>
    <row r="107" spans="1:47" x14ac:dyDescent="0.3">
      <c r="A107" t="s">
        <v>70</v>
      </c>
      <c r="B107" t="s">
        <v>71</v>
      </c>
      <c r="C107" t="s">
        <v>1019</v>
      </c>
      <c r="D107" t="s">
        <v>638</v>
      </c>
      <c r="E107">
        <v>5000</v>
      </c>
      <c r="F107" t="s">
        <v>538</v>
      </c>
      <c r="G107">
        <v>13515423</v>
      </c>
      <c r="H107">
        <v>0</v>
      </c>
      <c r="I107">
        <v>13515423</v>
      </c>
      <c r="J107">
        <v>14061432</v>
      </c>
      <c r="K107">
        <v>0</v>
      </c>
      <c r="L107">
        <v>14061432</v>
      </c>
      <c r="M107" t="s">
        <v>639</v>
      </c>
      <c r="N107" t="s">
        <v>1020</v>
      </c>
      <c r="O107" t="s">
        <v>639</v>
      </c>
      <c r="P107" t="s">
        <v>641</v>
      </c>
      <c r="Q107" t="s">
        <v>642</v>
      </c>
      <c r="R107" t="s">
        <v>643</v>
      </c>
      <c r="S107">
        <v>20646696</v>
      </c>
      <c r="T107">
        <v>546009</v>
      </c>
      <c r="U107">
        <v>546009</v>
      </c>
      <c r="V107">
        <v>0</v>
      </c>
      <c r="Z107" t="s">
        <v>1021</v>
      </c>
      <c r="AK107">
        <v>0.65</v>
      </c>
      <c r="AL107">
        <v>3250</v>
      </c>
      <c r="AM107">
        <v>0.3339765359742346</v>
      </c>
      <c r="AN107">
        <v>1669.882679871173</v>
      </c>
      <c r="AP107">
        <v>43865</v>
      </c>
      <c r="AQ107" t="s">
        <v>645</v>
      </c>
      <c r="AR107">
        <v>3250</v>
      </c>
      <c r="AS107" t="s">
        <v>645</v>
      </c>
      <c r="AT107" t="s">
        <v>646</v>
      </c>
      <c r="AU107" t="s">
        <v>647</v>
      </c>
    </row>
    <row r="108" spans="1:47" x14ac:dyDescent="0.3">
      <c r="A108" t="s">
        <v>70</v>
      </c>
      <c r="B108" t="s">
        <v>71</v>
      </c>
      <c r="C108" t="s">
        <v>1022</v>
      </c>
      <c r="D108" t="s">
        <v>638</v>
      </c>
      <c r="E108">
        <v>5000</v>
      </c>
      <c r="F108" t="s">
        <v>538</v>
      </c>
      <c r="G108">
        <v>13515423</v>
      </c>
      <c r="H108">
        <v>0</v>
      </c>
      <c r="I108">
        <v>13515423</v>
      </c>
      <c r="J108">
        <v>14061432</v>
      </c>
      <c r="K108">
        <v>0</v>
      </c>
      <c r="L108">
        <v>14061432</v>
      </c>
      <c r="M108" t="s">
        <v>639</v>
      </c>
      <c r="N108" t="s">
        <v>1023</v>
      </c>
      <c r="O108" t="s">
        <v>639</v>
      </c>
      <c r="P108" t="s">
        <v>641</v>
      </c>
      <c r="Q108" t="s">
        <v>642</v>
      </c>
      <c r="R108" t="s">
        <v>643</v>
      </c>
      <c r="S108">
        <v>20646696</v>
      </c>
      <c r="T108">
        <v>546009</v>
      </c>
      <c r="U108">
        <v>546009</v>
      </c>
      <c r="V108">
        <v>0</v>
      </c>
      <c r="Z108" t="s">
        <v>1024</v>
      </c>
      <c r="AK108">
        <v>0.65</v>
      </c>
      <c r="AL108">
        <v>3250</v>
      </c>
      <c r="AM108">
        <v>0.3339765359742346</v>
      </c>
      <c r="AN108">
        <v>1669.882679871173</v>
      </c>
      <c r="AP108">
        <v>43865</v>
      </c>
      <c r="AQ108" t="s">
        <v>645</v>
      </c>
      <c r="AR108">
        <v>3250</v>
      </c>
      <c r="AS108" t="s">
        <v>645</v>
      </c>
      <c r="AT108" t="s">
        <v>646</v>
      </c>
      <c r="AU108" t="s">
        <v>647</v>
      </c>
    </row>
    <row r="109" spans="1:47" x14ac:dyDescent="0.3">
      <c r="A109" t="s">
        <v>70</v>
      </c>
      <c r="B109" t="s">
        <v>71</v>
      </c>
      <c r="C109" t="s">
        <v>1025</v>
      </c>
      <c r="D109" t="s">
        <v>638</v>
      </c>
      <c r="E109">
        <v>5000</v>
      </c>
      <c r="F109" t="s">
        <v>538</v>
      </c>
      <c r="G109">
        <v>13515423</v>
      </c>
      <c r="H109">
        <v>0</v>
      </c>
      <c r="I109">
        <v>13515423</v>
      </c>
      <c r="J109">
        <v>14061432</v>
      </c>
      <c r="K109">
        <v>0</v>
      </c>
      <c r="L109">
        <v>14061432</v>
      </c>
      <c r="M109" t="s">
        <v>639</v>
      </c>
      <c r="N109" t="s">
        <v>1026</v>
      </c>
      <c r="O109" t="s">
        <v>639</v>
      </c>
      <c r="P109" t="s">
        <v>641</v>
      </c>
      <c r="Q109" t="s">
        <v>642</v>
      </c>
      <c r="R109" t="s">
        <v>643</v>
      </c>
      <c r="S109">
        <v>20646696</v>
      </c>
      <c r="T109">
        <v>546009</v>
      </c>
      <c r="U109">
        <v>546009</v>
      </c>
      <c r="V109">
        <v>0</v>
      </c>
      <c r="Z109" t="s">
        <v>1027</v>
      </c>
      <c r="AK109">
        <v>0.65</v>
      </c>
      <c r="AL109">
        <v>3250</v>
      </c>
      <c r="AM109">
        <v>0.3339765359742346</v>
      </c>
      <c r="AN109">
        <v>1669.882679871173</v>
      </c>
      <c r="AP109">
        <v>43865</v>
      </c>
      <c r="AQ109" t="s">
        <v>645</v>
      </c>
      <c r="AR109">
        <v>3250</v>
      </c>
      <c r="AS109" t="s">
        <v>645</v>
      </c>
      <c r="AT109" t="s">
        <v>646</v>
      </c>
      <c r="AU109" t="s">
        <v>647</v>
      </c>
    </row>
    <row r="110" spans="1:47" x14ac:dyDescent="0.3">
      <c r="A110" t="s">
        <v>70</v>
      </c>
      <c r="B110" t="s">
        <v>71</v>
      </c>
      <c r="C110" t="s">
        <v>1028</v>
      </c>
      <c r="D110" t="s">
        <v>638</v>
      </c>
      <c r="E110">
        <v>5000</v>
      </c>
      <c r="F110" t="s">
        <v>538</v>
      </c>
      <c r="G110">
        <v>13515423</v>
      </c>
      <c r="H110">
        <v>0</v>
      </c>
      <c r="I110">
        <v>13515423</v>
      </c>
      <c r="J110">
        <v>14061432</v>
      </c>
      <c r="K110">
        <v>0</v>
      </c>
      <c r="L110">
        <v>14061432</v>
      </c>
      <c r="M110" t="s">
        <v>639</v>
      </c>
      <c r="N110" t="s">
        <v>1029</v>
      </c>
      <c r="O110" t="s">
        <v>639</v>
      </c>
      <c r="P110" t="s">
        <v>641</v>
      </c>
      <c r="Q110" t="s">
        <v>642</v>
      </c>
      <c r="R110" t="s">
        <v>643</v>
      </c>
      <c r="S110">
        <v>20646696</v>
      </c>
      <c r="T110">
        <v>546009</v>
      </c>
      <c r="U110">
        <v>546009</v>
      </c>
      <c r="V110">
        <v>0</v>
      </c>
      <c r="Z110" t="s">
        <v>1030</v>
      </c>
      <c r="AK110">
        <v>0.65</v>
      </c>
      <c r="AL110">
        <v>3250</v>
      </c>
      <c r="AM110">
        <v>0.3339765359742346</v>
      </c>
      <c r="AN110">
        <v>1669.882679871173</v>
      </c>
      <c r="AP110">
        <v>43865</v>
      </c>
      <c r="AQ110" t="s">
        <v>645</v>
      </c>
      <c r="AR110">
        <v>3250</v>
      </c>
      <c r="AS110" t="s">
        <v>645</v>
      </c>
      <c r="AT110" t="s">
        <v>646</v>
      </c>
      <c r="AU110" t="s">
        <v>647</v>
      </c>
    </row>
    <row r="111" spans="1:47" x14ac:dyDescent="0.3">
      <c r="A111" t="s">
        <v>70</v>
      </c>
      <c r="B111" t="s">
        <v>71</v>
      </c>
      <c r="C111" t="s">
        <v>1031</v>
      </c>
      <c r="D111" t="s">
        <v>638</v>
      </c>
      <c r="E111">
        <v>5000</v>
      </c>
      <c r="F111" t="s">
        <v>538</v>
      </c>
      <c r="G111">
        <v>13515423</v>
      </c>
      <c r="H111">
        <v>0</v>
      </c>
      <c r="I111">
        <v>13515423</v>
      </c>
      <c r="J111">
        <v>14061432</v>
      </c>
      <c r="K111">
        <v>0</v>
      </c>
      <c r="L111">
        <v>14061432</v>
      </c>
      <c r="M111" t="s">
        <v>639</v>
      </c>
      <c r="N111" t="s">
        <v>1029</v>
      </c>
      <c r="O111" t="s">
        <v>639</v>
      </c>
      <c r="P111" t="s">
        <v>641</v>
      </c>
      <c r="Q111" t="s">
        <v>642</v>
      </c>
      <c r="R111" t="s">
        <v>643</v>
      </c>
      <c r="S111">
        <v>20646696</v>
      </c>
      <c r="T111">
        <v>546009</v>
      </c>
      <c r="U111">
        <v>546009</v>
      </c>
      <c r="V111">
        <v>0</v>
      </c>
      <c r="Z111" t="s">
        <v>1032</v>
      </c>
      <c r="AK111">
        <v>0.65</v>
      </c>
      <c r="AL111">
        <v>3250</v>
      </c>
      <c r="AM111">
        <v>0.3339765359742346</v>
      </c>
      <c r="AN111">
        <v>1669.882679871173</v>
      </c>
      <c r="AP111">
        <v>43865</v>
      </c>
      <c r="AQ111" t="s">
        <v>645</v>
      </c>
      <c r="AR111">
        <v>3250</v>
      </c>
      <c r="AS111" t="s">
        <v>645</v>
      </c>
      <c r="AT111" t="s">
        <v>646</v>
      </c>
      <c r="AU111" t="s">
        <v>647</v>
      </c>
    </row>
    <row r="112" spans="1:47" x14ac:dyDescent="0.3">
      <c r="A112" t="s">
        <v>70</v>
      </c>
      <c r="B112" t="s">
        <v>71</v>
      </c>
      <c r="C112" t="s">
        <v>1033</v>
      </c>
      <c r="D112" t="s">
        <v>638</v>
      </c>
      <c r="E112">
        <v>5000</v>
      </c>
      <c r="F112" t="s">
        <v>538</v>
      </c>
      <c r="G112">
        <v>13515423</v>
      </c>
      <c r="H112">
        <v>0</v>
      </c>
      <c r="I112">
        <v>13515423</v>
      </c>
      <c r="J112">
        <v>14061432</v>
      </c>
      <c r="K112">
        <v>0</v>
      </c>
      <c r="L112">
        <v>14061432</v>
      </c>
      <c r="M112" t="s">
        <v>639</v>
      </c>
      <c r="N112" t="s">
        <v>1034</v>
      </c>
      <c r="O112" t="s">
        <v>639</v>
      </c>
      <c r="P112" t="s">
        <v>641</v>
      </c>
      <c r="Q112" t="s">
        <v>642</v>
      </c>
      <c r="R112" t="s">
        <v>643</v>
      </c>
      <c r="S112">
        <v>20646696</v>
      </c>
      <c r="T112">
        <v>546009</v>
      </c>
      <c r="U112">
        <v>546009</v>
      </c>
      <c r="V112">
        <v>0</v>
      </c>
      <c r="Z112" t="s">
        <v>1035</v>
      </c>
      <c r="AK112">
        <v>0.65</v>
      </c>
      <c r="AL112">
        <v>3250</v>
      </c>
      <c r="AM112">
        <v>0.3339765359742346</v>
      </c>
      <c r="AN112">
        <v>1669.882679871173</v>
      </c>
      <c r="AP112">
        <v>43865</v>
      </c>
      <c r="AQ112" t="s">
        <v>645</v>
      </c>
      <c r="AR112">
        <v>3250</v>
      </c>
      <c r="AS112" t="s">
        <v>645</v>
      </c>
      <c r="AT112" t="s">
        <v>646</v>
      </c>
      <c r="AU112" t="s">
        <v>647</v>
      </c>
    </row>
    <row r="113" spans="1:47" x14ac:dyDescent="0.3">
      <c r="A113" t="s">
        <v>70</v>
      </c>
      <c r="B113" t="s">
        <v>71</v>
      </c>
      <c r="C113" t="s">
        <v>1036</v>
      </c>
      <c r="D113" t="s">
        <v>638</v>
      </c>
      <c r="E113">
        <v>5000</v>
      </c>
      <c r="F113" t="s">
        <v>538</v>
      </c>
      <c r="G113">
        <v>13515423</v>
      </c>
      <c r="H113">
        <v>0</v>
      </c>
      <c r="I113">
        <v>13515423</v>
      </c>
      <c r="J113">
        <v>14061432</v>
      </c>
      <c r="K113">
        <v>0</v>
      </c>
      <c r="L113">
        <v>14061432</v>
      </c>
      <c r="M113" t="s">
        <v>639</v>
      </c>
      <c r="N113" t="s">
        <v>1037</v>
      </c>
      <c r="O113" t="s">
        <v>639</v>
      </c>
      <c r="P113" t="s">
        <v>641</v>
      </c>
      <c r="Q113" t="s">
        <v>642</v>
      </c>
      <c r="R113" t="s">
        <v>643</v>
      </c>
      <c r="S113">
        <v>20646696</v>
      </c>
      <c r="T113">
        <v>546009</v>
      </c>
      <c r="U113">
        <v>546009</v>
      </c>
      <c r="V113">
        <v>0</v>
      </c>
      <c r="Z113" t="s">
        <v>1038</v>
      </c>
      <c r="AK113">
        <v>0.65</v>
      </c>
      <c r="AL113">
        <v>3250</v>
      </c>
      <c r="AM113">
        <v>0.3339765359742346</v>
      </c>
      <c r="AN113">
        <v>1669.882679871173</v>
      </c>
      <c r="AP113">
        <v>43865</v>
      </c>
      <c r="AQ113" t="s">
        <v>645</v>
      </c>
      <c r="AR113">
        <v>3250</v>
      </c>
      <c r="AS113" t="s">
        <v>645</v>
      </c>
      <c r="AT113" t="s">
        <v>646</v>
      </c>
      <c r="AU113" t="s">
        <v>647</v>
      </c>
    </row>
    <row r="114" spans="1:47" x14ac:dyDescent="0.3">
      <c r="A114" t="s">
        <v>70</v>
      </c>
      <c r="B114" t="s">
        <v>71</v>
      </c>
      <c r="C114" t="s">
        <v>1039</v>
      </c>
      <c r="D114" t="s">
        <v>638</v>
      </c>
      <c r="E114">
        <v>5000</v>
      </c>
      <c r="F114" t="s">
        <v>538</v>
      </c>
      <c r="G114">
        <v>13515423</v>
      </c>
      <c r="H114">
        <v>0</v>
      </c>
      <c r="I114">
        <v>13515423</v>
      </c>
      <c r="J114">
        <v>14061432</v>
      </c>
      <c r="K114">
        <v>0</v>
      </c>
      <c r="L114">
        <v>14061432</v>
      </c>
      <c r="M114" t="s">
        <v>639</v>
      </c>
      <c r="N114" t="s">
        <v>1040</v>
      </c>
      <c r="O114" t="s">
        <v>639</v>
      </c>
      <c r="P114" t="s">
        <v>641</v>
      </c>
      <c r="Q114" t="s">
        <v>642</v>
      </c>
      <c r="R114" t="s">
        <v>643</v>
      </c>
      <c r="S114">
        <v>20646696</v>
      </c>
      <c r="T114">
        <v>546009</v>
      </c>
      <c r="U114">
        <v>546009</v>
      </c>
      <c r="V114">
        <v>0</v>
      </c>
      <c r="Z114" t="s">
        <v>1041</v>
      </c>
      <c r="AK114">
        <v>0.65</v>
      </c>
      <c r="AL114">
        <v>3250</v>
      </c>
      <c r="AM114">
        <v>0.3339765359742346</v>
      </c>
      <c r="AN114">
        <v>1669.882679871173</v>
      </c>
      <c r="AP114">
        <v>43865</v>
      </c>
      <c r="AQ114" t="s">
        <v>645</v>
      </c>
      <c r="AR114">
        <v>3250</v>
      </c>
      <c r="AS114" t="s">
        <v>645</v>
      </c>
      <c r="AT114" t="s">
        <v>646</v>
      </c>
      <c r="AU114" t="s">
        <v>647</v>
      </c>
    </row>
    <row r="115" spans="1:47" x14ac:dyDescent="0.3">
      <c r="A115" t="s">
        <v>70</v>
      </c>
      <c r="B115" t="s">
        <v>71</v>
      </c>
      <c r="C115" t="s">
        <v>1042</v>
      </c>
      <c r="D115" t="s">
        <v>638</v>
      </c>
      <c r="E115">
        <v>5000</v>
      </c>
      <c r="F115" t="s">
        <v>538</v>
      </c>
      <c r="G115">
        <v>13515423</v>
      </c>
      <c r="H115">
        <v>0</v>
      </c>
      <c r="I115">
        <v>13515423</v>
      </c>
      <c r="J115">
        <v>14061432</v>
      </c>
      <c r="K115">
        <v>0</v>
      </c>
      <c r="L115">
        <v>14061432</v>
      </c>
      <c r="M115" t="s">
        <v>639</v>
      </c>
      <c r="N115" t="s">
        <v>1043</v>
      </c>
      <c r="O115" t="s">
        <v>639</v>
      </c>
      <c r="P115" t="s">
        <v>641</v>
      </c>
      <c r="Q115" t="s">
        <v>642</v>
      </c>
      <c r="R115" t="s">
        <v>643</v>
      </c>
      <c r="S115">
        <v>20646696</v>
      </c>
      <c r="T115">
        <v>546009</v>
      </c>
      <c r="U115">
        <v>546009</v>
      </c>
      <c r="V115">
        <v>0</v>
      </c>
      <c r="Z115" t="s">
        <v>1044</v>
      </c>
      <c r="AK115">
        <v>0.65</v>
      </c>
      <c r="AL115">
        <v>3250</v>
      </c>
      <c r="AM115">
        <v>0.3339765359742346</v>
      </c>
      <c r="AN115">
        <v>1669.882679871173</v>
      </c>
      <c r="AP115">
        <v>43865</v>
      </c>
      <c r="AQ115" t="s">
        <v>645</v>
      </c>
      <c r="AR115">
        <v>3250</v>
      </c>
      <c r="AS115" t="s">
        <v>645</v>
      </c>
      <c r="AT115" t="s">
        <v>646</v>
      </c>
      <c r="AU115" t="s">
        <v>647</v>
      </c>
    </row>
    <row r="116" spans="1:47" x14ac:dyDescent="0.3">
      <c r="A116" t="s">
        <v>70</v>
      </c>
      <c r="B116" t="s">
        <v>71</v>
      </c>
      <c r="C116" t="s">
        <v>1045</v>
      </c>
      <c r="D116" t="s">
        <v>638</v>
      </c>
      <c r="E116">
        <v>5000</v>
      </c>
      <c r="F116" t="s">
        <v>538</v>
      </c>
      <c r="G116">
        <v>13515423</v>
      </c>
      <c r="H116">
        <v>0</v>
      </c>
      <c r="I116">
        <v>13515423</v>
      </c>
      <c r="J116">
        <v>14061432</v>
      </c>
      <c r="K116">
        <v>0</v>
      </c>
      <c r="L116">
        <v>14061432</v>
      </c>
      <c r="M116" t="s">
        <v>639</v>
      </c>
      <c r="N116" t="s">
        <v>1046</v>
      </c>
      <c r="O116" t="s">
        <v>639</v>
      </c>
      <c r="P116" t="s">
        <v>641</v>
      </c>
      <c r="Q116" t="s">
        <v>642</v>
      </c>
      <c r="R116" t="s">
        <v>643</v>
      </c>
      <c r="S116">
        <v>20646696</v>
      </c>
      <c r="T116">
        <v>546009</v>
      </c>
      <c r="U116">
        <v>546009</v>
      </c>
      <c r="V116">
        <v>0</v>
      </c>
      <c r="Z116" t="s">
        <v>1047</v>
      </c>
      <c r="AK116">
        <v>0.65</v>
      </c>
      <c r="AL116">
        <v>3250</v>
      </c>
      <c r="AM116">
        <v>0.3339765359742346</v>
      </c>
      <c r="AN116">
        <v>1669.882679871173</v>
      </c>
      <c r="AP116">
        <v>43865</v>
      </c>
      <c r="AQ116" t="s">
        <v>645</v>
      </c>
      <c r="AR116">
        <v>3250</v>
      </c>
      <c r="AS116" t="s">
        <v>645</v>
      </c>
      <c r="AT116" t="s">
        <v>646</v>
      </c>
      <c r="AU116" t="s">
        <v>647</v>
      </c>
    </row>
    <row r="117" spans="1:47" x14ac:dyDescent="0.3">
      <c r="A117" t="s">
        <v>70</v>
      </c>
      <c r="B117" t="s">
        <v>71</v>
      </c>
      <c r="C117" t="s">
        <v>1048</v>
      </c>
      <c r="D117" t="s">
        <v>638</v>
      </c>
      <c r="E117">
        <v>5000</v>
      </c>
      <c r="F117" t="s">
        <v>538</v>
      </c>
      <c r="G117">
        <v>13515423</v>
      </c>
      <c r="H117">
        <v>0</v>
      </c>
      <c r="I117">
        <v>13515423</v>
      </c>
      <c r="J117">
        <v>14061432</v>
      </c>
      <c r="K117">
        <v>0</v>
      </c>
      <c r="L117">
        <v>14061432</v>
      </c>
      <c r="M117" t="s">
        <v>639</v>
      </c>
      <c r="N117" t="s">
        <v>1029</v>
      </c>
      <c r="O117" t="s">
        <v>639</v>
      </c>
      <c r="P117" t="s">
        <v>641</v>
      </c>
      <c r="Q117" t="s">
        <v>642</v>
      </c>
      <c r="R117" t="s">
        <v>643</v>
      </c>
      <c r="S117" t="s">
        <v>682</v>
      </c>
      <c r="T117">
        <v>546009</v>
      </c>
      <c r="U117">
        <v>546009</v>
      </c>
      <c r="V117">
        <v>0</v>
      </c>
      <c r="Z117" t="s">
        <v>1049</v>
      </c>
      <c r="AK117">
        <v>0.65</v>
      </c>
      <c r="AL117">
        <v>3250</v>
      </c>
      <c r="AM117">
        <v>0.3339765359742346</v>
      </c>
      <c r="AN117">
        <v>1669.882679871173</v>
      </c>
      <c r="AP117">
        <v>43865</v>
      </c>
      <c r="AQ117" t="s">
        <v>645</v>
      </c>
      <c r="AR117">
        <v>3250</v>
      </c>
      <c r="AS117" t="s">
        <v>645</v>
      </c>
      <c r="AT117" t="s">
        <v>646</v>
      </c>
      <c r="AU117" t="s">
        <v>647</v>
      </c>
    </row>
    <row r="118" spans="1:47" x14ac:dyDescent="0.3">
      <c r="A118" t="s">
        <v>70</v>
      </c>
      <c r="B118" t="s">
        <v>71</v>
      </c>
      <c r="C118" t="s">
        <v>1050</v>
      </c>
      <c r="D118" t="s">
        <v>638</v>
      </c>
      <c r="E118">
        <v>5000</v>
      </c>
      <c r="F118" t="s">
        <v>538</v>
      </c>
      <c r="G118">
        <v>13515423</v>
      </c>
      <c r="H118">
        <v>0</v>
      </c>
      <c r="I118">
        <v>13515423</v>
      </c>
      <c r="J118">
        <v>14061432</v>
      </c>
      <c r="K118">
        <v>0</v>
      </c>
      <c r="L118">
        <v>14061432</v>
      </c>
      <c r="M118" t="s">
        <v>639</v>
      </c>
      <c r="N118" t="s">
        <v>1029</v>
      </c>
      <c r="O118" t="s">
        <v>639</v>
      </c>
      <c r="P118" t="s">
        <v>641</v>
      </c>
      <c r="Q118" t="s">
        <v>642</v>
      </c>
      <c r="R118" t="s">
        <v>643</v>
      </c>
      <c r="S118" t="s">
        <v>682</v>
      </c>
      <c r="T118">
        <v>546009</v>
      </c>
      <c r="U118">
        <v>546009</v>
      </c>
      <c r="V118">
        <v>0</v>
      </c>
      <c r="Z118" t="s">
        <v>1051</v>
      </c>
      <c r="AK118">
        <v>0.65</v>
      </c>
      <c r="AL118">
        <v>3250</v>
      </c>
      <c r="AM118">
        <v>0.3339765359742346</v>
      </c>
      <c r="AN118">
        <v>1669.882679871173</v>
      </c>
      <c r="AP118">
        <v>43865</v>
      </c>
      <c r="AQ118" t="s">
        <v>645</v>
      </c>
      <c r="AR118">
        <v>3250</v>
      </c>
      <c r="AS118" t="s">
        <v>645</v>
      </c>
      <c r="AT118" t="s">
        <v>646</v>
      </c>
      <c r="AU118" t="s">
        <v>647</v>
      </c>
    </row>
    <row r="119" spans="1:47" x14ac:dyDescent="0.3">
      <c r="A119" t="s">
        <v>70</v>
      </c>
      <c r="B119" t="s">
        <v>71</v>
      </c>
      <c r="C119" t="s">
        <v>1052</v>
      </c>
      <c r="D119" t="s">
        <v>638</v>
      </c>
      <c r="E119">
        <v>5000</v>
      </c>
      <c r="F119" t="s">
        <v>538</v>
      </c>
      <c r="G119">
        <v>13515423</v>
      </c>
      <c r="H119">
        <v>0</v>
      </c>
      <c r="I119">
        <v>13515423</v>
      </c>
      <c r="J119">
        <v>14061432</v>
      </c>
      <c r="K119">
        <v>0</v>
      </c>
      <c r="L119">
        <v>14061432</v>
      </c>
      <c r="M119" t="s">
        <v>639</v>
      </c>
      <c r="N119" t="s">
        <v>1053</v>
      </c>
      <c r="O119" t="s">
        <v>639</v>
      </c>
      <c r="P119" t="s">
        <v>641</v>
      </c>
      <c r="Q119" t="s">
        <v>642</v>
      </c>
      <c r="R119" t="s">
        <v>643</v>
      </c>
      <c r="S119">
        <v>20646696</v>
      </c>
      <c r="T119">
        <v>546009</v>
      </c>
      <c r="U119">
        <v>546009</v>
      </c>
      <c r="V119">
        <v>0</v>
      </c>
      <c r="Z119" t="s">
        <v>1054</v>
      </c>
      <c r="AK119">
        <v>0.65</v>
      </c>
      <c r="AL119">
        <v>3250</v>
      </c>
      <c r="AM119">
        <v>0.3339765359742346</v>
      </c>
      <c r="AN119">
        <v>1669.882679871173</v>
      </c>
      <c r="AP119">
        <v>43865</v>
      </c>
      <c r="AQ119" t="s">
        <v>645</v>
      </c>
      <c r="AR119">
        <v>3250</v>
      </c>
      <c r="AS119" t="s">
        <v>645</v>
      </c>
      <c r="AT119" t="s">
        <v>646</v>
      </c>
      <c r="AU119" t="s">
        <v>647</v>
      </c>
    </row>
    <row r="120" spans="1:47" x14ac:dyDescent="0.3">
      <c r="A120" t="s">
        <v>70</v>
      </c>
      <c r="B120" t="s">
        <v>71</v>
      </c>
      <c r="C120" t="s">
        <v>1055</v>
      </c>
      <c r="D120" t="s">
        <v>638</v>
      </c>
      <c r="E120">
        <v>5000</v>
      </c>
      <c r="F120" t="s">
        <v>538</v>
      </c>
      <c r="G120">
        <v>13515423</v>
      </c>
      <c r="H120">
        <v>0</v>
      </c>
      <c r="I120">
        <v>13515423</v>
      </c>
      <c r="J120">
        <v>14061432</v>
      </c>
      <c r="K120">
        <v>0</v>
      </c>
      <c r="L120">
        <v>14061432</v>
      </c>
      <c r="M120" t="s">
        <v>639</v>
      </c>
      <c r="N120" t="s">
        <v>1056</v>
      </c>
      <c r="O120" t="s">
        <v>639</v>
      </c>
      <c r="P120" t="s">
        <v>641</v>
      </c>
      <c r="Q120" t="s">
        <v>642</v>
      </c>
      <c r="R120" t="s">
        <v>643</v>
      </c>
      <c r="S120">
        <v>20646696</v>
      </c>
      <c r="T120">
        <v>546009</v>
      </c>
      <c r="U120">
        <v>546009</v>
      </c>
      <c r="V120">
        <v>0</v>
      </c>
      <c r="Z120" t="s">
        <v>1057</v>
      </c>
      <c r="AK120">
        <v>0.65</v>
      </c>
      <c r="AL120">
        <v>3250</v>
      </c>
      <c r="AM120">
        <v>0.3339765359742346</v>
      </c>
      <c r="AN120">
        <v>1669.882679871173</v>
      </c>
      <c r="AP120">
        <v>43865</v>
      </c>
      <c r="AQ120" t="s">
        <v>645</v>
      </c>
      <c r="AR120">
        <v>3250</v>
      </c>
      <c r="AS120" t="s">
        <v>645</v>
      </c>
      <c r="AT120" t="s">
        <v>646</v>
      </c>
      <c r="AU120" t="s">
        <v>647</v>
      </c>
    </row>
    <row r="121" spans="1:47" x14ac:dyDescent="0.3">
      <c r="A121" t="s">
        <v>70</v>
      </c>
      <c r="B121" t="s">
        <v>71</v>
      </c>
      <c r="C121" t="s">
        <v>1058</v>
      </c>
      <c r="D121" t="s">
        <v>638</v>
      </c>
      <c r="E121">
        <v>5000</v>
      </c>
      <c r="F121" t="s">
        <v>538</v>
      </c>
      <c r="G121">
        <v>13515423</v>
      </c>
      <c r="H121">
        <v>0</v>
      </c>
      <c r="I121">
        <v>13515423</v>
      </c>
      <c r="J121">
        <v>14061432</v>
      </c>
      <c r="K121">
        <v>0</v>
      </c>
      <c r="L121">
        <v>14061432</v>
      </c>
      <c r="M121" t="s">
        <v>639</v>
      </c>
      <c r="N121" t="s">
        <v>1059</v>
      </c>
      <c r="O121" t="s">
        <v>639</v>
      </c>
      <c r="P121" t="s">
        <v>641</v>
      </c>
      <c r="Q121" t="s">
        <v>642</v>
      </c>
      <c r="R121" t="s">
        <v>643</v>
      </c>
      <c r="S121">
        <v>20646696</v>
      </c>
      <c r="T121">
        <v>546009</v>
      </c>
      <c r="U121">
        <v>546009</v>
      </c>
      <c r="V121">
        <v>0</v>
      </c>
      <c r="Z121" t="s">
        <v>1060</v>
      </c>
      <c r="AK121">
        <v>0.65</v>
      </c>
      <c r="AL121">
        <v>3250</v>
      </c>
      <c r="AM121">
        <v>0.3339765359742346</v>
      </c>
      <c r="AN121">
        <v>1669.882679871173</v>
      </c>
      <c r="AP121">
        <v>43865</v>
      </c>
      <c r="AQ121" t="s">
        <v>645</v>
      </c>
      <c r="AR121">
        <v>3250</v>
      </c>
      <c r="AS121" t="s">
        <v>645</v>
      </c>
      <c r="AT121" t="s">
        <v>646</v>
      </c>
      <c r="AU121" t="s">
        <v>647</v>
      </c>
    </row>
    <row r="122" spans="1:47" x14ac:dyDescent="0.3">
      <c r="A122" t="s">
        <v>70</v>
      </c>
      <c r="B122" t="s">
        <v>71</v>
      </c>
      <c r="C122" t="s">
        <v>1061</v>
      </c>
      <c r="D122" t="s">
        <v>638</v>
      </c>
      <c r="E122">
        <v>5000</v>
      </c>
      <c r="F122" t="s">
        <v>538</v>
      </c>
      <c r="G122">
        <v>13515423</v>
      </c>
      <c r="H122">
        <v>0</v>
      </c>
      <c r="I122">
        <v>13515423</v>
      </c>
      <c r="J122">
        <v>14061432</v>
      </c>
      <c r="K122">
        <v>0</v>
      </c>
      <c r="L122">
        <v>14061432</v>
      </c>
      <c r="M122" t="s">
        <v>639</v>
      </c>
      <c r="N122" t="s">
        <v>1062</v>
      </c>
      <c r="O122" t="s">
        <v>639</v>
      </c>
      <c r="P122" t="s">
        <v>641</v>
      </c>
      <c r="Q122" t="s">
        <v>642</v>
      </c>
      <c r="R122" t="s">
        <v>643</v>
      </c>
      <c r="S122">
        <v>20646696</v>
      </c>
      <c r="T122">
        <v>546009</v>
      </c>
      <c r="U122">
        <v>546009</v>
      </c>
      <c r="V122">
        <v>0</v>
      </c>
      <c r="Z122" t="s">
        <v>1063</v>
      </c>
      <c r="AK122">
        <v>0.65</v>
      </c>
      <c r="AL122">
        <v>3250</v>
      </c>
      <c r="AM122">
        <v>0.3339765359742346</v>
      </c>
      <c r="AN122">
        <v>1669.882679871173</v>
      </c>
      <c r="AP122">
        <v>43865</v>
      </c>
      <c r="AQ122" t="s">
        <v>645</v>
      </c>
      <c r="AR122">
        <v>3250</v>
      </c>
      <c r="AS122" t="s">
        <v>645</v>
      </c>
      <c r="AT122" t="s">
        <v>646</v>
      </c>
      <c r="AU122" t="s">
        <v>647</v>
      </c>
    </row>
    <row r="123" spans="1:47" x14ac:dyDescent="0.3">
      <c r="A123" t="s">
        <v>70</v>
      </c>
      <c r="B123" t="s">
        <v>71</v>
      </c>
      <c r="C123" t="s">
        <v>1064</v>
      </c>
      <c r="D123" t="s">
        <v>638</v>
      </c>
      <c r="E123">
        <v>5000</v>
      </c>
      <c r="F123" t="s">
        <v>538</v>
      </c>
      <c r="G123">
        <v>13515423</v>
      </c>
      <c r="H123">
        <v>0</v>
      </c>
      <c r="I123">
        <v>13515423</v>
      </c>
      <c r="J123">
        <v>14061432</v>
      </c>
      <c r="K123">
        <v>0</v>
      </c>
      <c r="L123">
        <v>14061432</v>
      </c>
      <c r="M123" t="s">
        <v>639</v>
      </c>
      <c r="N123" t="s">
        <v>1065</v>
      </c>
      <c r="O123" t="s">
        <v>639</v>
      </c>
      <c r="P123" t="s">
        <v>641</v>
      </c>
      <c r="Q123" t="s">
        <v>642</v>
      </c>
      <c r="R123" t="s">
        <v>643</v>
      </c>
      <c r="S123">
        <v>20646696</v>
      </c>
      <c r="T123">
        <v>546009</v>
      </c>
      <c r="U123">
        <v>546009</v>
      </c>
      <c r="V123">
        <v>0</v>
      </c>
      <c r="Z123" t="s">
        <v>1066</v>
      </c>
      <c r="AK123">
        <v>0.65</v>
      </c>
      <c r="AL123">
        <v>3250</v>
      </c>
      <c r="AM123">
        <v>0.3339765359742346</v>
      </c>
      <c r="AN123">
        <v>1669.882679871173</v>
      </c>
      <c r="AP123">
        <v>43865</v>
      </c>
      <c r="AQ123" t="s">
        <v>645</v>
      </c>
      <c r="AR123">
        <v>3250</v>
      </c>
      <c r="AS123" t="s">
        <v>645</v>
      </c>
      <c r="AT123" t="s">
        <v>646</v>
      </c>
      <c r="AU123" t="s">
        <v>647</v>
      </c>
    </row>
    <row r="124" spans="1:47" x14ac:dyDescent="0.3">
      <c r="A124" t="s">
        <v>70</v>
      </c>
      <c r="B124" t="s">
        <v>71</v>
      </c>
      <c r="C124" t="s">
        <v>1067</v>
      </c>
      <c r="D124" t="s">
        <v>638</v>
      </c>
      <c r="E124">
        <v>5000</v>
      </c>
      <c r="F124" t="s">
        <v>538</v>
      </c>
      <c r="G124">
        <v>13515423</v>
      </c>
      <c r="H124">
        <v>0</v>
      </c>
      <c r="I124">
        <v>13515423</v>
      </c>
      <c r="J124">
        <v>14061432</v>
      </c>
      <c r="K124">
        <v>0</v>
      </c>
      <c r="L124">
        <v>14061432</v>
      </c>
      <c r="M124" t="s">
        <v>639</v>
      </c>
      <c r="N124" t="s">
        <v>1068</v>
      </c>
      <c r="O124" t="s">
        <v>639</v>
      </c>
      <c r="P124" t="s">
        <v>641</v>
      </c>
      <c r="Q124" t="s">
        <v>642</v>
      </c>
      <c r="R124" t="s">
        <v>643</v>
      </c>
      <c r="S124">
        <v>20646696</v>
      </c>
      <c r="T124">
        <v>546009</v>
      </c>
      <c r="U124">
        <v>546009</v>
      </c>
      <c r="V124">
        <v>0</v>
      </c>
      <c r="Z124" t="s">
        <v>1069</v>
      </c>
      <c r="AK124">
        <v>0.65</v>
      </c>
      <c r="AL124">
        <v>3250</v>
      </c>
      <c r="AM124">
        <v>0.3339765359742346</v>
      </c>
      <c r="AN124">
        <v>1669.882679871173</v>
      </c>
      <c r="AP124">
        <v>43865</v>
      </c>
      <c r="AQ124" t="s">
        <v>645</v>
      </c>
      <c r="AR124">
        <v>3250</v>
      </c>
      <c r="AS124" t="s">
        <v>645</v>
      </c>
      <c r="AT124" t="s">
        <v>646</v>
      </c>
      <c r="AU124" t="s">
        <v>647</v>
      </c>
    </row>
    <row r="125" spans="1:47" x14ac:dyDescent="0.3">
      <c r="A125" t="s">
        <v>70</v>
      </c>
      <c r="B125" t="s">
        <v>71</v>
      </c>
      <c r="C125" t="s">
        <v>1070</v>
      </c>
      <c r="D125" t="s">
        <v>638</v>
      </c>
      <c r="E125">
        <v>5000</v>
      </c>
      <c r="F125" t="s">
        <v>538</v>
      </c>
      <c r="G125">
        <v>13515423</v>
      </c>
      <c r="H125">
        <v>0</v>
      </c>
      <c r="I125">
        <v>13515423</v>
      </c>
      <c r="J125">
        <v>14061432</v>
      </c>
      <c r="K125">
        <v>0</v>
      </c>
      <c r="L125">
        <v>14061432</v>
      </c>
      <c r="M125" t="s">
        <v>639</v>
      </c>
      <c r="N125" t="s">
        <v>1071</v>
      </c>
      <c r="O125" t="s">
        <v>639</v>
      </c>
      <c r="P125" t="s">
        <v>641</v>
      </c>
      <c r="Q125" t="s">
        <v>642</v>
      </c>
      <c r="R125" t="s">
        <v>643</v>
      </c>
      <c r="S125">
        <v>20646696</v>
      </c>
      <c r="T125">
        <v>546009</v>
      </c>
      <c r="U125">
        <v>546009</v>
      </c>
      <c r="V125">
        <v>0</v>
      </c>
      <c r="Z125" t="s">
        <v>1072</v>
      </c>
      <c r="AK125">
        <v>0.65</v>
      </c>
      <c r="AL125">
        <v>3250</v>
      </c>
      <c r="AM125">
        <v>0.3339765359742346</v>
      </c>
      <c r="AN125">
        <v>1669.882679871173</v>
      </c>
      <c r="AP125">
        <v>43865</v>
      </c>
      <c r="AQ125" t="s">
        <v>645</v>
      </c>
      <c r="AR125">
        <v>3250</v>
      </c>
      <c r="AS125" t="s">
        <v>645</v>
      </c>
      <c r="AT125" t="s">
        <v>646</v>
      </c>
      <c r="AU125" t="s">
        <v>647</v>
      </c>
    </row>
    <row r="126" spans="1:47" x14ac:dyDescent="0.3">
      <c r="A126" t="s">
        <v>70</v>
      </c>
      <c r="B126" t="s">
        <v>71</v>
      </c>
      <c r="C126" t="s">
        <v>1073</v>
      </c>
      <c r="D126" t="s">
        <v>638</v>
      </c>
      <c r="E126">
        <v>5000</v>
      </c>
      <c r="F126" t="s">
        <v>538</v>
      </c>
      <c r="G126">
        <v>13515423</v>
      </c>
      <c r="H126">
        <v>0</v>
      </c>
      <c r="I126">
        <v>13515423</v>
      </c>
      <c r="J126">
        <v>14061432</v>
      </c>
      <c r="K126">
        <v>0</v>
      </c>
      <c r="L126">
        <v>14061432</v>
      </c>
      <c r="M126" t="s">
        <v>639</v>
      </c>
      <c r="N126" t="s">
        <v>1074</v>
      </c>
      <c r="O126" t="s">
        <v>639</v>
      </c>
      <c r="P126" t="s">
        <v>641</v>
      </c>
      <c r="Q126" t="s">
        <v>642</v>
      </c>
      <c r="R126" t="s">
        <v>643</v>
      </c>
      <c r="S126">
        <v>20646696</v>
      </c>
      <c r="T126">
        <v>546009</v>
      </c>
      <c r="U126">
        <v>546009</v>
      </c>
      <c r="V126">
        <v>0</v>
      </c>
      <c r="Z126" t="s">
        <v>1075</v>
      </c>
      <c r="AK126">
        <v>0.65</v>
      </c>
      <c r="AL126">
        <v>3250</v>
      </c>
      <c r="AM126">
        <v>0.3339765359742346</v>
      </c>
      <c r="AN126">
        <v>1669.882679871173</v>
      </c>
      <c r="AP126">
        <v>43865</v>
      </c>
      <c r="AQ126" t="s">
        <v>645</v>
      </c>
      <c r="AR126">
        <v>3250</v>
      </c>
      <c r="AS126" t="s">
        <v>645</v>
      </c>
      <c r="AT126" t="s">
        <v>646</v>
      </c>
      <c r="AU126" t="s">
        <v>647</v>
      </c>
    </row>
    <row r="127" spans="1:47" x14ac:dyDescent="0.3">
      <c r="A127" t="s">
        <v>70</v>
      </c>
      <c r="B127" t="s">
        <v>71</v>
      </c>
      <c r="C127" t="s">
        <v>1076</v>
      </c>
      <c r="D127" t="s">
        <v>638</v>
      </c>
      <c r="E127">
        <v>5000</v>
      </c>
      <c r="F127" t="s">
        <v>538</v>
      </c>
      <c r="G127">
        <v>13515423</v>
      </c>
      <c r="H127">
        <v>0</v>
      </c>
      <c r="I127">
        <v>13515423</v>
      </c>
      <c r="J127">
        <v>14061432</v>
      </c>
      <c r="K127">
        <v>0</v>
      </c>
      <c r="L127">
        <v>14061432</v>
      </c>
      <c r="M127" t="s">
        <v>639</v>
      </c>
      <c r="N127" t="s">
        <v>1077</v>
      </c>
      <c r="O127" t="s">
        <v>639</v>
      </c>
      <c r="P127" t="s">
        <v>641</v>
      </c>
      <c r="Q127" t="s">
        <v>642</v>
      </c>
      <c r="R127" t="s">
        <v>643</v>
      </c>
      <c r="S127">
        <v>20646696</v>
      </c>
      <c r="T127">
        <v>546009</v>
      </c>
      <c r="U127">
        <v>546009</v>
      </c>
      <c r="V127">
        <v>0</v>
      </c>
      <c r="Z127" t="s">
        <v>1078</v>
      </c>
      <c r="AK127">
        <v>0.65</v>
      </c>
      <c r="AL127">
        <v>3250</v>
      </c>
      <c r="AM127">
        <v>0.3339765359742346</v>
      </c>
      <c r="AN127">
        <v>1669.882679871173</v>
      </c>
      <c r="AP127">
        <v>43865</v>
      </c>
      <c r="AQ127" t="s">
        <v>645</v>
      </c>
      <c r="AR127">
        <v>3250</v>
      </c>
      <c r="AS127" t="s">
        <v>645</v>
      </c>
      <c r="AT127" t="s">
        <v>646</v>
      </c>
      <c r="AU127" t="s">
        <v>647</v>
      </c>
    </row>
    <row r="128" spans="1:47" x14ac:dyDescent="0.3">
      <c r="A128" t="s">
        <v>70</v>
      </c>
      <c r="B128" t="s">
        <v>71</v>
      </c>
      <c r="C128" t="s">
        <v>1079</v>
      </c>
      <c r="D128" t="s">
        <v>638</v>
      </c>
      <c r="E128">
        <v>5000</v>
      </c>
      <c r="F128" t="s">
        <v>538</v>
      </c>
      <c r="G128">
        <v>13515423</v>
      </c>
      <c r="H128">
        <v>0</v>
      </c>
      <c r="I128">
        <v>13515423</v>
      </c>
      <c r="J128">
        <v>14061432</v>
      </c>
      <c r="K128">
        <v>0</v>
      </c>
      <c r="L128">
        <v>14061432</v>
      </c>
      <c r="M128" t="s">
        <v>639</v>
      </c>
      <c r="N128" t="s">
        <v>1080</v>
      </c>
      <c r="O128" t="s">
        <v>639</v>
      </c>
      <c r="P128" t="s">
        <v>641</v>
      </c>
      <c r="Q128" t="s">
        <v>642</v>
      </c>
      <c r="R128" t="s">
        <v>643</v>
      </c>
      <c r="S128">
        <v>20646696</v>
      </c>
      <c r="T128">
        <v>546009</v>
      </c>
      <c r="U128">
        <v>546009</v>
      </c>
      <c r="V128">
        <v>0</v>
      </c>
      <c r="Z128" t="s">
        <v>1081</v>
      </c>
      <c r="AK128">
        <v>0.65</v>
      </c>
      <c r="AL128">
        <v>3250</v>
      </c>
      <c r="AM128">
        <v>0.3339765359742346</v>
      </c>
      <c r="AN128">
        <v>1669.882679871173</v>
      </c>
      <c r="AP128">
        <v>43865</v>
      </c>
      <c r="AQ128" t="s">
        <v>645</v>
      </c>
      <c r="AR128">
        <v>3250</v>
      </c>
      <c r="AS128" t="s">
        <v>645</v>
      </c>
      <c r="AT128" t="s">
        <v>646</v>
      </c>
      <c r="AU128" t="s">
        <v>647</v>
      </c>
    </row>
    <row r="129" spans="1:47" x14ac:dyDescent="0.3">
      <c r="A129" t="s">
        <v>70</v>
      </c>
      <c r="B129" t="s">
        <v>71</v>
      </c>
      <c r="C129" t="s">
        <v>1082</v>
      </c>
      <c r="D129" t="s">
        <v>638</v>
      </c>
      <c r="E129">
        <v>5000</v>
      </c>
      <c r="F129" t="s">
        <v>538</v>
      </c>
      <c r="G129">
        <v>13515423</v>
      </c>
      <c r="H129">
        <v>0</v>
      </c>
      <c r="I129">
        <v>13515423</v>
      </c>
      <c r="J129">
        <v>14061432</v>
      </c>
      <c r="K129">
        <v>0</v>
      </c>
      <c r="L129">
        <v>14061432</v>
      </c>
      <c r="N129" t="s">
        <v>639</v>
      </c>
      <c r="O129" t="s">
        <v>639</v>
      </c>
      <c r="P129" t="s">
        <v>641</v>
      </c>
      <c r="Q129" t="s">
        <v>642</v>
      </c>
      <c r="R129" t="s">
        <v>643</v>
      </c>
      <c r="S129">
        <v>19485683</v>
      </c>
      <c r="T129">
        <v>546009</v>
      </c>
      <c r="U129">
        <v>546009</v>
      </c>
      <c r="V129">
        <v>0</v>
      </c>
      <c r="Z129" t="s">
        <v>1083</v>
      </c>
      <c r="AK129">
        <v>0.3</v>
      </c>
      <c r="AL129">
        <v>1500</v>
      </c>
      <c r="AM129">
        <v>0.3</v>
      </c>
      <c r="AN129">
        <v>1500</v>
      </c>
      <c r="AS129" t="s">
        <v>88</v>
      </c>
      <c r="AU129" t="s">
        <v>647</v>
      </c>
    </row>
    <row r="130" spans="1:47" x14ac:dyDescent="0.3">
      <c r="A130" t="s">
        <v>70</v>
      </c>
      <c r="B130" t="s">
        <v>71</v>
      </c>
      <c r="C130" t="s">
        <v>1084</v>
      </c>
      <c r="D130" t="s">
        <v>1085</v>
      </c>
      <c r="E130">
        <v>5000</v>
      </c>
      <c r="F130" t="s">
        <v>538</v>
      </c>
      <c r="G130">
        <v>63081977</v>
      </c>
      <c r="H130">
        <v>0</v>
      </c>
      <c r="I130">
        <v>63081977</v>
      </c>
      <c r="J130">
        <v>64406678</v>
      </c>
      <c r="K130">
        <v>0</v>
      </c>
      <c r="L130">
        <v>64406678</v>
      </c>
      <c r="M130" t="s">
        <v>1086</v>
      </c>
      <c r="N130" t="s">
        <v>1087</v>
      </c>
      <c r="O130" t="s">
        <v>1087</v>
      </c>
      <c r="P130" t="s">
        <v>641</v>
      </c>
      <c r="Q130" t="s">
        <v>642</v>
      </c>
      <c r="R130" t="s">
        <v>643</v>
      </c>
      <c r="S130">
        <v>92395390</v>
      </c>
      <c r="T130">
        <v>1324701</v>
      </c>
      <c r="U130">
        <v>1324701</v>
      </c>
      <c r="V130">
        <v>0</v>
      </c>
      <c r="Z130" t="s">
        <v>1088</v>
      </c>
      <c r="AK130">
        <v>3.5</v>
      </c>
      <c r="AL130">
        <v>17500</v>
      </c>
      <c r="AM130">
        <v>0.88</v>
      </c>
      <c r="AN130">
        <v>4400</v>
      </c>
      <c r="AP130">
        <v>40868</v>
      </c>
      <c r="AQ130" t="s">
        <v>108</v>
      </c>
      <c r="AR130">
        <v>4400</v>
      </c>
      <c r="AS130" t="s">
        <v>88</v>
      </c>
      <c r="AU130" t="s">
        <v>647</v>
      </c>
    </row>
    <row r="131" spans="1:47" x14ac:dyDescent="0.3">
      <c r="A131" t="s">
        <v>70</v>
      </c>
      <c r="B131" t="s">
        <v>71</v>
      </c>
      <c r="C131" t="s">
        <v>1089</v>
      </c>
      <c r="D131" t="s">
        <v>638</v>
      </c>
      <c r="E131">
        <v>5400</v>
      </c>
      <c r="F131" t="s">
        <v>538</v>
      </c>
      <c r="G131">
        <v>13515423</v>
      </c>
      <c r="H131">
        <v>0</v>
      </c>
      <c r="I131">
        <v>13515423</v>
      </c>
      <c r="J131">
        <v>14061432</v>
      </c>
      <c r="K131">
        <v>0</v>
      </c>
      <c r="L131">
        <v>14061432</v>
      </c>
      <c r="M131" t="s">
        <v>639</v>
      </c>
      <c r="N131" t="s">
        <v>1090</v>
      </c>
      <c r="O131" t="s">
        <v>639</v>
      </c>
      <c r="P131" t="s">
        <v>641</v>
      </c>
      <c r="Q131" t="s">
        <v>642</v>
      </c>
      <c r="R131" t="s">
        <v>643</v>
      </c>
      <c r="S131">
        <v>22298431</v>
      </c>
      <c r="T131">
        <v>546009</v>
      </c>
      <c r="U131">
        <v>546009</v>
      </c>
      <c r="V131">
        <v>0</v>
      </c>
      <c r="Z131" t="s">
        <v>1091</v>
      </c>
      <c r="AK131">
        <v>0.65</v>
      </c>
      <c r="AL131">
        <v>3510</v>
      </c>
      <c r="AM131">
        <v>0.3339765359742346</v>
      </c>
      <c r="AN131">
        <v>1803.4732942608669</v>
      </c>
      <c r="AP131">
        <v>43865</v>
      </c>
      <c r="AQ131" t="s">
        <v>645</v>
      </c>
      <c r="AR131">
        <v>3510</v>
      </c>
      <c r="AS131" t="s">
        <v>645</v>
      </c>
      <c r="AT131" t="s">
        <v>646</v>
      </c>
      <c r="AU131" t="s">
        <v>647</v>
      </c>
    </row>
    <row r="132" spans="1:47" x14ac:dyDescent="0.3">
      <c r="A132" t="s">
        <v>70</v>
      </c>
      <c r="B132" t="s">
        <v>71</v>
      </c>
      <c r="C132" t="s">
        <v>1092</v>
      </c>
      <c r="D132" t="s">
        <v>1093</v>
      </c>
      <c r="E132">
        <v>5850</v>
      </c>
      <c r="F132" t="s">
        <v>538</v>
      </c>
      <c r="G132">
        <v>73805913</v>
      </c>
      <c r="H132">
        <v>0</v>
      </c>
      <c r="I132">
        <v>73805913</v>
      </c>
      <c r="J132">
        <v>75355813</v>
      </c>
      <c r="K132">
        <v>0</v>
      </c>
      <c r="L132">
        <v>75355813</v>
      </c>
      <c r="M132" t="s">
        <v>1086</v>
      </c>
      <c r="N132" t="s">
        <v>1094</v>
      </c>
      <c r="O132" t="s">
        <v>1094</v>
      </c>
      <c r="P132" t="s">
        <v>641</v>
      </c>
      <c r="Q132" t="s">
        <v>642</v>
      </c>
      <c r="R132" t="s">
        <v>643</v>
      </c>
      <c r="S132">
        <v>92395390</v>
      </c>
      <c r="T132">
        <v>1549900</v>
      </c>
      <c r="U132">
        <v>1549900</v>
      </c>
      <c r="V132">
        <v>0</v>
      </c>
      <c r="Z132" t="s">
        <v>1095</v>
      </c>
      <c r="AK132">
        <v>3.5</v>
      </c>
      <c r="AL132">
        <v>20475</v>
      </c>
      <c r="AM132">
        <v>0.88</v>
      </c>
      <c r="AN132">
        <v>4400</v>
      </c>
      <c r="AP132">
        <v>40868</v>
      </c>
      <c r="AQ132" t="s">
        <v>108</v>
      </c>
      <c r="AR132">
        <v>4400</v>
      </c>
      <c r="AS132" t="s">
        <v>88</v>
      </c>
      <c r="AU132" t="s">
        <v>647</v>
      </c>
    </row>
    <row r="133" spans="1:47" x14ac:dyDescent="0.3">
      <c r="A133" t="s">
        <v>70</v>
      </c>
      <c r="B133" t="s">
        <v>71</v>
      </c>
      <c r="C133" t="s">
        <v>1096</v>
      </c>
      <c r="D133" t="s">
        <v>638</v>
      </c>
      <c r="E133">
        <v>6000</v>
      </c>
      <c r="F133" t="s">
        <v>538</v>
      </c>
      <c r="G133">
        <v>13515423</v>
      </c>
      <c r="H133">
        <v>0</v>
      </c>
      <c r="I133">
        <v>13515423</v>
      </c>
      <c r="J133">
        <v>14061432</v>
      </c>
      <c r="K133">
        <v>0</v>
      </c>
      <c r="L133">
        <v>14061432</v>
      </c>
      <c r="M133" t="s">
        <v>639</v>
      </c>
      <c r="N133" t="s">
        <v>1097</v>
      </c>
      <c r="O133" t="s">
        <v>639</v>
      </c>
      <c r="P133" t="s">
        <v>641</v>
      </c>
      <c r="Q133" t="s">
        <v>642</v>
      </c>
      <c r="R133" t="s">
        <v>643</v>
      </c>
      <c r="S133" t="s">
        <v>682</v>
      </c>
      <c r="T133">
        <v>546009</v>
      </c>
      <c r="U133">
        <v>546009</v>
      </c>
      <c r="V133">
        <v>0</v>
      </c>
      <c r="Z133" t="s">
        <v>1098</v>
      </c>
      <c r="AK133">
        <v>0.65</v>
      </c>
      <c r="AL133">
        <v>3900</v>
      </c>
      <c r="AM133">
        <v>0.3339765359742346</v>
      </c>
      <c r="AN133">
        <v>2003.8592158454076</v>
      </c>
      <c r="AP133">
        <v>43865</v>
      </c>
      <c r="AQ133" t="s">
        <v>645</v>
      </c>
      <c r="AR133">
        <v>3900</v>
      </c>
      <c r="AS133" t="s">
        <v>645</v>
      </c>
      <c r="AT133" t="s">
        <v>646</v>
      </c>
      <c r="AU133" t="s">
        <v>647</v>
      </c>
    </row>
    <row r="134" spans="1:47" x14ac:dyDescent="0.3">
      <c r="A134" t="s">
        <v>70</v>
      </c>
      <c r="B134" t="s">
        <v>71</v>
      </c>
      <c r="C134" t="s">
        <v>1099</v>
      </c>
      <c r="D134" t="s">
        <v>638</v>
      </c>
      <c r="E134">
        <v>6000</v>
      </c>
      <c r="F134" t="s">
        <v>538</v>
      </c>
      <c r="G134">
        <v>13515423</v>
      </c>
      <c r="H134">
        <v>0</v>
      </c>
      <c r="I134">
        <v>13515423</v>
      </c>
      <c r="J134">
        <v>14061432</v>
      </c>
      <c r="K134">
        <v>0</v>
      </c>
      <c r="L134">
        <v>14061432</v>
      </c>
      <c r="M134" t="s">
        <v>639</v>
      </c>
      <c r="N134" t="s">
        <v>1100</v>
      </c>
      <c r="O134" t="s">
        <v>639</v>
      </c>
      <c r="P134" t="s">
        <v>641</v>
      </c>
      <c r="Q134" t="s">
        <v>642</v>
      </c>
      <c r="R134" t="s">
        <v>643</v>
      </c>
      <c r="S134">
        <v>24776038</v>
      </c>
      <c r="T134">
        <v>546009</v>
      </c>
      <c r="U134">
        <v>546009</v>
      </c>
      <c r="V134">
        <v>0</v>
      </c>
      <c r="Z134" t="s">
        <v>1101</v>
      </c>
      <c r="AK134">
        <v>0.65</v>
      </c>
      <c r="AL134">
        <v>3900</v>
      </c>
      <c r="AM134">
        <v>0.3339765359742346</v>
      </c>
      <c r="AN134">
        <v>2003.8592158454076</v>
      </c>
      <c r="AP134">
        <v>43865</v>
      </c>
      <c r="AQ134" t="s">
        <v>645</v>
      </c>
      <c r="AR134">
        <v>3900</v>
      </c>
      <c r="AS134" t="s">
        <v>645</v>
      </c>
      <c r="AT134" t="s">
        <v>646</v>
      </c>
      <c r="AU134" t="s">
        <v>647</v>
      </c>
    </row>
    <row r="135" spans="1:47" x14ac:dyDescent="0.3">
      <c r="A135" t="s">
        <v>70</v>
      </c>
      <c r="B135" t="s">
        <v>71</v>
      </c>
      <c r="C135" t="s">
        <v>1102</v>
      </c>
      <c r="D135" t="s">
        <v>638</v>
      </c>
      <c r="E135">
        <v>6000</v>
      </c>
      <c r="F135" t="s">
        <v>538</v>
      </c>
      <c r="G135">
        <v>13515423</v>
      </c>
      <c r="H135">
        <v>0</v>
      </c>
      <c r="I135">
        <v>13515423</v>
      </c>
      <c r="J135">
        <v>14061432</v>
      </c>
      <c r="K135">
        <v>0</v>
      </c>
      <c r="L135">
        <v>14061432</v>
      </c>
      <c r="M135" t="s">
        <v>639</v>
      </c>
      <c r="N135" t="s">
        <v>1103</v>
      </c>
      <c r="O135" t="s">
        <v>639</v>
      </c>
      <c r="P135" t="s">
        <v>641</v>
      </c>
      <c r="Q135" t="s">
        <v>642</v>
      </c>
      <c r="R135" t="s">
        <v>643</v>
      </c>
      <c r="S135">
        <v>24776038</v>
      </c>
      <c r="T135">
        <v>546009</v>
      </c>
      <c r="U135">
        <v>546009</v>
      </c>
      <c r="V135">
        <v>0</v>
      </c>
      <c r="Z135" t="s">
        <v>1104</v>
      </c>
      <c r="AK135">
        <v>0.65</v>
      </c>
      <c r="AL135">
        <v>3250</v>
      </c>
      <c r="AM135">
        <v>0.3339765359742346</v>
      </c>
      <c r="AN135">
        <v>2003.8592158454076</v>
      </c>
      <c r="AP135">
        <v>43865</v>
      </c>
      <c r="AQ135" t="s">
        <v>645</v>
      </c>
      <c r="AR135">
        <v>3900</v>
      </c>
      <c r="AS135" t="s">
        <v>645</v>
      </c>
      <c r="AT135" t="s">
        <v>646</v>
      </c>
      <c r="AU135" t="s">
        <v>647</v>
      </c>
    </row>
    <row r="136" spans="1:47" x14ac:dyDescent="0.3">
      <c r="A136" t="s">
        <v>1105</v>
      </c>
      <c r="B136" t="s">
        <v>71</v>
      </c>
      <c r="C136" t="s">
        <v>1106</v>
      </c>
      <c r="D136" t="s">
        <v>1107</v>
      </c>
      <c r="E136">
        <v>19400</v>
      </c>
      <c r="F136" t="s">
        <v>538</v>
      </c>
      <c r="G136">
        <v>944118335</v>
      </c>
      <c r="H136">
        <v>0</v>
      </c>
      <c r="I136">
        <v>944118335</v>
      </c>
      <c r="J136">
        <v>982259708</v>
      </c>
      <c r="K136">
        <v>0</v>
      </c>
      <c r="L136">
        <v>982259708</v>
      </c>
      <c r="M136" t="s">
        <v>1108</v>
      </c>
      <c r="N136" t="s">
        <v>1109</v>
      </c>
      <c r="O136" t="s">
        <v>1109</v>
      </c>
      <c r="P136" t="s">
        <v>641</v>
      </c>
      <c r="Q136" t="s">
        <v>642</v>
      </c>
      <c r="R136" t="s">
        <v>643</v>
      </c>
      <c r="S136">
        <v>235746239</v>
      </c>
      <c r="T136">
        <v>38141373</v>
      </c>
      <c r="U136">
        <v>38141373</v>
      </c>
      <c r="V136">
        <v>0</v>
      </c>
      <c r="Z136" t="s">
        <v>1110</v>
      </c>
      <c r="AK136">
        <v>0.8</v>
      </c>
      <c r="AL136">
        <v>15520</v>
      </c>
      <c r="AM136">
        <v>0.47</v>
      </c>
      <c r="AN136">
        <v>9118</v>
      </c>
      <c r="AP136">
        <v>45579</v>
      </c>
      <c r="AQ136" t="s">
        <v>1111</v>
      </c>
      <c r="AR136">
        <v>9118</v>
      </c>
      <c r="AS136" t="s">
        <v>1111</v>
      </c>
      <c r="AU136" t="s">
        <v>647</v>
      </c>
    </row>
    <row r="137" spans="1:47" x14ac:dyDescent="0.3">
      <c r="A137" t="s">
        <v>1105</v>
      </c>
      <c r="B137" t="s">
        <v>71</v>
      </c>
      <c r="C137" t="s">
        <v>1112</v>
      </c>
      <c r="D137" t="s">
        <v>1113</v>
      </c>
      <c r="E137">
        <v>40700</v>
      </c>
      <c r="F137" t="s">
        <v>538</v>
      </c>
      <c r="G137">
        <v>1842409621</v>
      </c>
      <c r="H137">
        <v>0</v>
      </c>
      <c r="I137">
        <v>1842409621</v>
      </c>
      <c r="J137">
        <v>1881099633</v>
      </c>
      <c r="K137">
        <v>0</v>
      </c>
      <c r="L137">
        <v>1881099633</v>
      </c>
      <c r="M137" t="s">
        <v>1108</v>
      </c>
      <c r="N137" t="s">
        <v>1114</v>
      </c>
      <c r="O137" t="s">
        <v>1114</v>
      </c>
      <c r="P137" t="s">
        <v>641</v>
      </c>
      <c r="Q137" t="s">
        <v>642</v>
      </c>
      <c r="R137" t="s">
        <v>643</v>
      </c>
      <c r="S137">
        <v>494580829</v>
      </c>
      <c r="T137">
        <v>38690012</v>
      </c>
      <c r="U137">
        <v>38690012</v>
      </c>
      <c r="V137">
        <v>0</v>
      </c>
      <c r="Z137" t="s">
        <v>1115</v>
      </c>
      <c r="AK137">
        <v>0.8</v>
      </c>
      <c r="AL137">
        <v>32560</v>
      </c>
      <c r="AM137">
        <v>0.47</v>
      </c>
      <c r="AN137">
        <v>19129</v>
      </c>
      <c r="AP137">
        <v>45579</v>
      </c>
      <c r="AQ137" t="s">
        <v>1111</v>
      </c>
      <c r="AR137">
        <v>19129</v>
      </c>
      <c r="AS137" t="s">
        <v>1111</v>
      </c>
      <c r="AU137" t="s">
        <v>647</v>
      </c>
    </row>
    <row r="138" spans="1:47" x14ac:dyDescent="0.3">
      <c r="A138" t="s">
        <v>496</v>
      </c>
      <c r="B138" t="s">
        <v>71</v>
      </c>
      <c r="C138" t="s">
        <v>1116</v>
      </c>
      <c r="D138" t="s">
        <v>1117</v>
      </c>
      <c r="E138">
        <v>54848.91</v>
      </c>
      <c r="F138" t="s">
        <v>538</v>
      </c>
      <c r="G138">
        <v>4615626336</v>
      </c>
      <c r="H138">
        <v>0</v>
      </c>
      <c r="I138">
        <v>4612626336</v>
      </c>
      <c r="J138">
        <v>4712553013</v>
      </c>
      <c r="K138">
        <v>0</v>
      </c>
      <c r="L138">
        <v>4712553013</v>
      </c>
      <c r="M138" t="s">
        <v>1118</v>
      </c>
      <c r="N138" t="s">
        <v>1119</v>
      </c>
      <c r="O138" t="s">
        <v>1119</v>
      </c>
      <c r="P138" t="s">
        <v>641</v>
      </c>
      <c r="Q138" t="s">
        <v>642</v>
      </c>
      <c r="R138" t="s">
        <v>643</v>
      </c>
      <c r="S138">
        <v>292805086</v>
      </c>
      <c r="T138">
        <v>96926677</v>
      </c>
      <c r="U138">
        <v>99926677</v>
      </c>
      <c r="V138">
        <v>0</v>
      </c>
      <c r="Z138" t="s">
        <v>1120</v>
      </c>
      <c r="AK138">
        <v>1.8</v>
      </c>
      <c r="AL138">
        <v>86364.306000000011</v>
      </c>
      <c r="AM138">
        <v>3.3951373756388916</v>
      </c>
      <c r="AN138">
        <v>186407.88</v>
      </c>
      <c r="AP138">
        <v>45603</v>
      </c>
      <c r="AQ138" t="s">
        <v>645</v>
      </c>
      <c r="AR138">
        <v>186407.88</v>
      </c>
      <c r="AS138" t="s">
        <v>645</v>
      </c>
      <c r="AT138" t="s">
        <v>646</v>
      </c>
      <c r="AU138" t="s">
        <v>647</v>
      </c>
    </row>
    <row r="139" spans="1:47" x14ac:dyDescent="0.3">
      <c r="A139" t="s">
        <v>70</v>
      </c>
      <c r="B139" t="s">
        <v>71</v>
      </c>
      <c r="C139" t="s">
        <v>1121</v>
      </c>
      <c r="D139" t="s">
        <v>852</v>
      </c>
      <c r="E139">
        <v>80900</v>
      </c>
      <c r="F139" t="s">
        <v>538</v>
      </c>
      <c r="G139">
        <v>14607774</v>
      </c>
      <c r="H139">
        <v>14607774</v>
      </c>
      <c r="I139">
        <v>0</v>
      </c>
      <c r="J139">
        <v>14914537</v>
      </c>
      <c r="K139">
        <v>14914537</v>
      </c>
      <c r="L139">
        <v>0</v>
      </c>
      <c r="N139" t="s">
        <v>1122</v>
      </c>
      <c r="O139" t="s">
        <v>1123</v>
      </c>
      <c r="P139" t="s">
        <v>854</v>
      </c>
      <c r="Q139" t="s">
        <v>1124</v>
      </c>
      <c r="R139" t="s">
        <v>782</v>
      </c>
      <c r="S139">
        <v>536964272</v>
      </c>
      <c r="T139">
        <v>306763</v>
      </c>
      <c r="U139">
        <v>0</v>
      </c>
      <c r="V139">
        <v>306763</v>
      </c>
      <c r="Z139" t="s">
        <v>1125</v>
      </c>
      <c r="AK139">
        <v>0.51</v>
      </c>
      <c r="AL139">
        <v>41259</v>
      </c>
      <c r="AM139">
        <v>0.51</v>
      </c>
      <c r="AN139">
        <v>41259</v>
      </c>
      <c r="AP139">
        <v>43243</v>
      </c>
      <c r="AQ139" t="s">
        <v>87</v>
      </c>
      <c r="AR139">
        <v>41259</v>
      </c>
      <c r="AS139" t="s">
        <v>88</v>
      </c>
      <c r="AU139" t="s">
        <v>647</v>
      </c>
    </row>
    <row r="140" spans="1:47" x14ac:dyDescent="0.3">
      <c r="A140" t="s">
        <v>70</v>
      </c>
      <c r="B140" t="s">
        <v>169</v>
      </c>
      <c r="C140" t="s">
        <v>1126</v>
      </c>
      <c r="D140" t="s">
        <v>933</v>
      </c>
      <c r="E140">
        <v>80608</v>
      </c>
      <c r="F140" t="s">
        <v>538</v>
      </c>
      <c r="G140">
        <v>707296001</v>
      </c>
      <c r="H140">
        <v>46221791</v>
      </c>
      <c r="I140">
        <v>661074210</v>
      </c>
      <c r="J140">
        <v>735870345</v>
      </c>
      <c r="K140">
        <v>48089106</v>
      </c>
      <c r="L140">
        <v>687781239</v>
      </c>
      <c r="M140" t="s">
        <v>934</v>
      </c>
      <c r="N140" t="s">
        <v>1127</v>
      </c>
      <c r="O140" t="s">
        <v>934</v>
      </c>
      <c r="P140" t="s">
        <v>641</v>
      </c>
      <c r="Q140" t="s">
        <v>642</v>
      </c>
      <c r="R140" t="s">
        <v>680</v>
      </c>
      <c r="S140">
        <v>337834113</v>
      </c>
      <c r="T140">
        <v>28574344</v>
      </c>
      <c r="U140">
        <v>26707029</v>
      </c>
      <c r="V140">
        <v>1867315</v>
      </c>
      <c r="W140">
        <v>80608</v>
      </c>
      <c r="X140" t="s">
        <v>936</v>
      </c>
      <c r="Y140">
        <v>37487</v>
      </c>
      <c r="Z140" t="s">
        <v>1128</v>
      </c>
      <c r="AB140" t="s">
        <v>177</v>
      </c>
      <c r="AK140">
        <v>0.2</v>
      </c>
      <c r="AL140">
        <v>16121.6</v>
      </c>
      <c r="AM140">
        <v>0.05</v>
      </c>
      <c r="AN140">
        <v>4009.5912764309232</v>
      </c>
      <c r="AP140">
        <v>45622</v>
      </c>
      <c r="AQ140" t="s">
        <v>645</v>
      </c>
      <c r="AR140">
        <v>8968.9034596605161</v>
      </c>
      <c r="AS140" t="s">
        <v>645</v>
      </c>
      <c r="AU140" t="s">
        <v>647</v>
      </c>
    </row>
    <row r="141" spans="1:47" x14ac:dyDescent="0.3">
      <c r="A141" t="s">
        <v>70</v>
      </c>
      <c r="B141" t="s">
        <v>169</v>
      </c>
      <c r="C141" t="s">
        <v>1129</v>
      </c>
      <c r="D141" t="s">
        <v>933</v>
      </c>
      <c r="E141">
        <v>91401</v>
      </c>
      <c r="F141" t="s">
        <v>538</v>
      </c>
      <c r="G141">
        <v>707296001</v>
      </c>
      <c r="H141">
        <v>46221791</v>
      </c>
      <c r="I141">
        <v>661074210</v>
      </c>
      <c r="J141">
        <v>735870345</v>
      </c>
      <c r="K141">
        <v>48089106</v>
      </c>
      <c r="L141">
        <v>687781239</v>
      </c>
      <c r="M141" t="s">
        <v>934</v>
      </c>
      <c r="N141" t="s">
        <v>1130</v>
      </c>
      <c r="O141" t="s">
        <v>934</v>
      </c>
      <c r="P141" t="s">
        <v>641</v>
      </c>
      <c r="Q141" t="s">
        <v>642</v>
      </c>
      <c r="R141" t="s">
        <v>680</v>
      </c>
      <c r="S141">
        <v>448103672</v>
      </c>
      <c r="T141">
        <v>28574344</v>
      </c>
      <c r="U141">
        <v>26707029</v>
      </c>
      <c r="V141">
        <v>1867315</v>
      </c>
      <c r="W141">
        <v>91401</v>
      </c>
      <c r="X141" t="s">
        <v>936</v>
      </c>
      <c r="Y141">
        <v>37487</v>
      </c>
      <c r="Z141" t="s">
        <v>1131</v>
      </c>
      <c r="AB141" t="s">
        <v>177</v>
      </c>
      <c r="AK141">
        <v>0.2</v>
      </c>
      <c r="AL141">
        <v>18280.2</v>
      </c>
      <c r="AM141">
        <v>5.8000000000000003E-2</v>
      </c>
      <c r="AN141">
        <v>5264.3164252048773</v>
      </c>
      <c r="AP141">
        <v>45622</v>
      </c>
      <c r="AQ141" t="s">
        <v>645</v>
      </c>
      <c r="AR141">
        <v>10169.793880463862</v>
      </c>
      <c r="AS141" t="s">
        <v>645</v>
      </c>
      <c r="AU141" t="s">
        <v>647</v>
      </c>
    </row>
    <row r="142" spans="1:47" x14ac:dyDescent="0.3">
      <c r="A142" t="s">
        <v>70</v>
      </c>
      <c r="B142" t="s">
        <v>169</v>
      </c>
      <c r="C142" t="s">
        <v>1132</v>
      </c>
      <c r="D142" t="s">
        <v>902</v>
      </c>
      <c r="E142">
        <v>102204.72</v>
      </c>
      <c r="F142" t="s">
        <v>538</v>
      </c>
      <c r="G142">
        <v>59930463</v>
      </c>
      <c r="H142">
        <v>46221791</v>
      </c>
      <c r="I142">
        <v>13708672</v>
      </c>
      <c r="J142">
        <v>61189003</v>
      </c>
      <c r="K142">
        <v>47192449</v>
      </c>
      <c r="L142">
        <v>13996554</v>
      </c>
      <c r="M142" t="s">
        <v>903</v>
      </c>
      <c r="N142" t="s">
        <v>1133</v>
      </c>
      <c r="O142" t="s">
        <v>903</v>
      </c>
      <c r="P142" t="s">
        <v>641</v>
      </c>
      <c r="Q142" t="s">
        <v>642</v>
      </c>
      <c r="R142" t="s">
        <v>782</v>
      </c>
      <c r="S142">
        <v>418876169</v>
      </c>
      <c r="T142">
        <v>1258540</v>
      </c>
      <c r="U142">
        <v>287882</v>
      </c>
      <c r="V142">
        <v>970658</v>
      </c>
      <c r="Z142" t="s">
        <v>1134</v>
      </c>
      <c r="AK142">
        <v>0.3</v>
      </c>
      <c r="AL142">
        <v>18712.5</v>
      </c>
      <c r="AM142">
        <v>0.17016949659318639</v>
      </c>
      <c r="AN142">
        <v>10614.32235</v>
      </c>
      <c r="AP142">
        <v>45622</v>
      </c>
      <c r="AQ142" t="s">
        <v>645</v>
      </c>
      <c r="AR142">
        <v>12503.662961250177</v>
      </c>
      <c r="AS142" t="s">
        <v>645</v>
      </c>
      <c r="AT142" t="s">
        <v>109</v>
      </c>
      <c r="AU142" t="s">
        <v>647</v>
      </c>
    </row>
    <row r="143" spans="1:47" x14ac:dyDescent="0.3">
      <c r="A143" t="s">
        <v>70</v>
      </c>
      <c r="B143" t="s">
        <v>169</v>
      </c>
      <c r="C143" t="s">
        <v>1135</v>
      </c>
      <c r="D143" t="s">
        <v>933</v>
      </c>
      <c r="E143">
        <v>120377</v>
      </c>
      <c r="F143" t="s">
        <v>538</v>
      </c>
      <c r="G143">
        <v>707296001</v>
      </c>
      <c r="H143">
        <v>46221791</v>
      </c>
      <c r="I143">
        <v>661074210</v>
      </c>
      <c r="J143">
        <v>735870345</v>
      </c>
      <c r="K143">
        <v>48089106</v>
      </c>
      <c r="L143">
        <v>687781239</v>
      </c>
      <c r="M143" t="s">
        <v>934</v>
      </c>
      <c r="N143" t="s">
        <v>1136</v>
      </c>
      <c r="O143" t="s">
        <v>934</v>
      </c>
      <c r="P143" t="s">
        <v>641</v>
      </c>
      <c r="Q143" t="s">
        <v>642</v>
      </c>
      <c r="R143" t="s">
        <v>680</v>
      </c>
      <c r="S143">
        <v>590161764</v>
      </c>
      <c r="T143">
        <v>28574344</v>
      </c>
      <c r="U143">
        <v>26707029</v>
      </c>
      <c r="V143">
        <v>1867315</v>
      </c>
      <c r="W143">
        <v>120377</v>
      </c>
      <c r="X143" t="s">
        <v>936</v>
      </c>
      <c r="Y143">
        <v>37487</v>
      </c>
      <c r="Z143" t="s">
        <v>1137</v>
      </c>
      <c r="AB143" t="s">
        <v>177</v>
      </c>
      <c r="AK143">
        <v>0.2</v>
      </c>
      <c r="AL143">
        <v>24075.4</v>
      </c>
      <c r="AM143">
        <v>4.4999999999999998E-2</v>
      </c>
      <c r="AN143">
        <v>5357.4829156370324</v>
      </c>
      <c r="AP143">
        <v>45622</v>
      </c>
      <c r="AQ143" t="s">
        <v>645</v>
      </c>
      <c r="AR143">
        <v>13393.828053835276</v>
      </c>
      <c r="AS143" t="s">
        <v>645</v>
      </c>
      <c r="AU143" t="s">
        <v>647</v>
      </c>
    </row>
    <row r="144" spans="1:47" x14ac:dyDescent="0.3">
      <c r="A144" t="s">
        <v>906</v>
      </c>
      <c r="B144" t="s">
        <v>383</v>
      </c>
      <c r="C144" t="s">
        <v>1138</v>
      </c>
      <c r="D144" t="s">
        <v>1139</v>
      </c>
      <c r="E144">
        <v>1327010.31</v>
      </c>
      <c r="F144" t="s">
        <v>538</v>
      </c>
      <c r="G144">
        <v>285499730</v>
      </c>
      <c r="H144">
        <v>46221791</v>
      </c>
      <c r="I144">
        <v>239277939</v>
      </c>
      <c r="J144">
        <v>297033752</v>
      </c>
      <c r="K144">
        <v>48089106</v>
      </c>
      <c r="L144">
        <v>248944646</v>
      </c>
      <c r="M144" t="s">
        <v>1140</v>
      </c>
      <c r="N144" t="s">
        <v>1140</v>
      </c>
      <c r="O144" t="s">
        <v>1140</v>
      </c>
      <c r="P144" t="s">
        <v>641</v>
      </c>
      <c r="Q144" t="s">
        <v>642</v>
      </c>
      <c r="R144" t="s">
        <v>680</v>
      </c>
      <c r="S144">
        <v>1342614125</v>
      </c>
      <c r="T144">
        <v>11534022</v>
      </c>
      <c r="U144">
        <v>9666707</v>
      </c>
      <c r="V144">
        <v>1867315</v>
      </c>
      <c r="Z144" t="s">
        <v>1141</v>
      </c>
      <c r="AK144">
        <v>0.46</v>
      </c>
      <c r="AL144">
        <v>411525</v>
      </c>
      <c r="AM144">
        <v>0.31011439541867614</v>
      </c>
      <c r="AN144">
        <v>411525</v>
      </c>
      <c r="AP144">
        <v>44221</v>
      </c>
      <c r="AQ144" t="s">
        <v>805</v>
      </c>
      <c r="AR144">
        <v>411525</v>
      </c>
      <c r="AS144" t="s">
        <v>805</v>
      </c>
      <c r="AT144" t="s">
        <v>155</v>
      </c>
      <c r="AU144" t="s">
        <v>647</v>
      </c>
    </row>
    <row r="145" spans="1:47" x14ac:dyDescent="0.3">
      <c r="A145" t="s">
        <v>869</v>
      </c>
      <c r="B145" t="s">
        <v>169</v>
      </c>
      <c r="C145" t="s">
        <v>1142</v>
      </c>
      <c r="D145" t="s">
        <v>1143</v>
      </c>
      <c r="E145">
        <v>306148.07</v>
      </c>
      <c r="F145" t="s">
        <v>538</v>
      </c>
      <c r="G145">
        <v>106068396</v>
      </c>
      <c r="H145">
        <v>46221791</v>
      </c>
      <c r="I145">
        <v>59846605</v>
      </c>
      <c r="J145">
        <v>108295832</v>
      </c>
      <c r="K145">
        <v>47192449</v>
      </c>
      <c r="L145">
        <v>61103383</v>
      </c>
      <c r="M145" t="s">
        <v>1144</v>
      </c>
      <c r="N145" t="s">
        <v>1144</v>
      </c>
      <c r="O145" t="s">
        <v>1144</v>
      </c>
      <c r="P145" t="s">
        <v>641</v>
      </c>
      <c r="Q145" t="s">
        <v>642</v>
      </c>
      <c r="R145" t="s">
        <v>782</v>
      </c>
      <c r="S145">
        <v>1023533126</v>
      </c>
      <c r="T145">
        <v>2227436</v>
      </c>
      <c r="U145">
        <v>1256778</v>
      </c>
      <c r="V145">
        <v>970658</v>
      </c>
      <c r="Z145" t="s">
        <v>1145</v>
      </c>
      <c r="AK145">
        <v>0.7</v>
      </c>
      <c r="AL145">
        <v>214303.649</v>
      </c>
      <c r="AM145">
        <v>0.82</v>
      </c>
      <c r="AN145">
        <v>251507.34</v>
      </c>
      <c r="AP145">
        <v>45532</v>
      </c>
      <c r="AQ145" t="s">
        <v>108</v>
      </c>
      <c r="AR145">
        <v>251507.34</v>
      </c>
      <c r="AS145" t="s">
        <v>108</v>
      </c>
      <c r="AT145" t="s">
        <v>155</v>
      </c>
      <c r="AU145" t="s">
        <v>647</v>
      </c>
    </row>
    <row r="146" spans="1:47" x14ac:dyDescent="0.3">
      <c r="A146" t="s">
        <v>70</v>
      </c>
      <c r="B146" t="s">
        <v>80</v>
      </c>
      <c r="C146" t="s">
        <v>1146</v>
      </c>
      <c r="E146">
        <v>12425.09</v>
      </c>
      <c r="F146" t="s">
        <v>538</v>
      </c>
      <c r="M146" t="s">
        <v>514</v>
      </c>
      <c r="N146" t="s">
        <v>1147</v>
      </c>
      <c r="T146">
        <v>0</v>
      </c>
      <c r="U146">
        <v>0</v>
      </c>
      <c r="V146">
        <v>0</v>
      </c>
      <c r="W146">
        <v>12425.09</v>
      </c>
      <c r="X146" t="s">
        <v>1148</v>
      </c>
      <c r="Y146">
        <v>43578</v>
      </c>
      <c r="Z146" t="s">
        <v>1149</v>
      </c>
      <c r="AK146">
        <v>1.59995880111237</v>
      </c>
      <c r="AL146">
        <v>19879.632100113296</v>
      </c>
      <c r="AM146">
        <v>1.59995880111237</v>
      </c>
      <c r="AN146">
        <v>19879.632100113296</v>
      </c>
      <c r="AO146">
        <v>13915.753769044886</v>
      </c>
      <c r="AP146">
        <v>44235</v>
      </c>
      <c r="AQ146" t="s">
        <v>108</v>
      </c>
      <c r="AR146">
        <v>19879.632100113296</v>
      </c>
      <c r="AS146" t="s">
        <v>108</v>
      </c>
      <c r="AT146" t="s">
        <v>109</v>
      </c>
      <c r="AU146" t="s">
        <v>647</v>
      </c>
    </row>
    <row r="147" spans="1:47" x14ac:dyDescent="0.3">
      <c r="A147" t="s">
        <v>70</v>
      </c>
      <c r="B147" t="s">
        <v>80</v>
      </c>
      <c r="C147" t="s">
        <v>1150</v>
      </c>
      <c r="E147">
        <v>12507.56</v>
      </c>
      <c r="F147" t="s">
        <v>538</v>
      </c>
      <c r="M147" t="s">
        <v>530</v>
      </c>
      <c r="N147" t="s">
        <v>535</v>
      </c>
      <c r="T147">
        <v>0</v>
      </c>
      <c r="U147">
        <v>0</v>
      </c>
      <c r="V147">
        <v>0</v>
      </c>
      <c r="W147">
        <v>12507.56</v>
      </c>
      <c r="X147" t="s">
        <v>1148</v>
      </c>
      <c r="Y147">
        <v>43578</v>
      </c>
      <c r="Z147" t="s">
        <v>1151</v>
      </c>
      <c r="AK147">
        <v>1.59995880111237</v>
      </c>
      <c r="AL147">
        <v>20011.580702441035</v>
      </c>
      <c r="AM147">
        <v>1.59995880111237</v>
      </c>
      <c r="AN147">
        <v>20011.580702441035</v>
      </c>
      <c r="AO147">
        <v>14008.1</v>
      </c>
      <c r="AP147">
        <v>44235</v>
      </c>
      <c r="AQ147" t="s">
        <v>108</v>
      </c>
      <c r="AR147">
        <v>20011.580702441035</v>
      </c>
      <c r="AS147" t="s">
        <v>108</v>
      </c>
      <c r="AT147" t="s">
        <v>109</v>
      </c>
      <c r="AU147" t="s">
        <v>647</v>
      </c>
    </row>
    <row r="148" spans="1:47" x14ac:dyDescent="0.3">
      <c r="A148" t="s">
        <v>70</v>
      </c>
      <c r="B148" t="s">
        <v>80</v>
      </c>
      <c r="C148" t="s">
        <v>1152</v>
      </c>
      <c r="E148">
        <v>12588.68</v>
      </c>
      <c r="F148" t="s">
        <v>538</v>
      </c>
      <c r="M148" t="s">
        <v>514</v>
      </c>
      <c r="N148" t="s">
        <v>529</v>
      </c>
      <c r="T148">
        <v>0</v>
      </c>
      <c r="U148">
        <v>0</v>
      </c>
      <c r="V148">
        <v>0</v>
      </c>
      <c r="W148">
        <v>12588.68</v>
      </c>
      <c r="X148" t="s">
        <v>1148</v>
      </c>
      <c r="Y148">
        <v>43578</v>
      </c>
      <c r="Z148" t="s">
        <v>1153</v>
      </c>
      <c r="AK148">
        <v>1.59995880111237</v>
      </c>
      <c r="AL148">
        <v>20141.369360387271</v>
      </c>
      <c r="AM148">
        <v>1.59995880111237</v>
      </c>
      <c r="AN148">
        <v>20141.369360387271</v>
      </c>
      <c r="AO148">
        <v>14098.97</v>
      </c>
      <c r="AP148">
        <v>44235</v>
      </c>
      <c r="AQ148" t="s">
        <v>108</v>
      </c>
      <c r="AR148">
        <v>20141.369360387271</v>
      </c>
      <c r="AS148" t="s">
        <v>108</v>
      </c>
      <c r="AT148" t="s">
        <v>109</v>
      </c>
      <c r="AU148" t="s">
        <v>647</v>
      </c>
    </row>
    <row r="149" spans="1:47" x14ac:dyDescent="0.3">
      <c r="A149" t="s">
        <v>70</v>
      </c>
      <c r="B149" t="s">
        <v>80</v>
      </c>
      <c r="C149" t="s">
        <v>1154</v>
      </c>
      <c r="E149">
        <v>23792.79</v>
      </c>
      <c r="F149" t="s">
        <v>538</v>
      </c>
      <c r="G149">
        <v>444284</v>
      </c>
      <c r="H149">
        <v>444284</v>
      </c>
      <c r="I149">
        <v>0</v>
      </c>
      <c r="J149">
        <v>453614</v>
      </c>
      <c r="K149">
        <v>453614</v>
      </c>
      <c r="L149">
        <v>0</v>
      </c>
      <c r="M149" t="s">
        <v>514</v>
      </c>
      <c r="N149" t="s">
        <v>521</v>
      </c>
      <c r="O149" t="s">
        <v>514</v>
      </c>
      <c r="T149">
        <v>9330</v>
      </c>
      <c r="U149">
        <v>0</v>
      </c>
      <c r="V149">
        <v>9330</v>
      </c>
      <c r="W149">
        <v>23792.79</v>
      </c>
      <c r="X149" t="s">
        <v>1148</v>
      </c>
      <c r="Y149">
        <v>43578</v>
      </c>
      <c r="Z149" t="s">
        <v>1155</v>
      </c>
      <c r="AK149">
        <v>1.0054456068861315</v>
      </c>
      <c r="AL149">
        <v>23922.366235520349</v>
      </c>
      <c r="AM149">
        <v>1.4999828337968208</v>
      </c>
      <c r="AN149">
        <v>35688.791567961001</v>
      </c>
      <c r="AO149">
        <v>24982.14</v>
      </c>
      <c r="AP149">
        <v>44235</v>
      </c>
      <c r="AQ149" t="s">
        <v>108</v>
      </c>
      <c r="AR149">
        <v>35688.791567961001</v>
      </c>
      <c r="AS149" t="s">
        <v>108</v>
      </c>
      <c r="AT149" t="s">
        <v>109</v>
      </c>
      <c r="AU149" t="s">
        <v>647</v>
      </c>
    </row>
    <row r="150" spans="1:47" x14ac:dyDescent="0.3">
      <c r="A150" t="s">
        <v>70</v>
      </c>
      <c r="B150" t="s">
        <v>80</v>
      </c>
      <c r="C150" t="s">
        <v>1156</v>
      </c>
      <c r="E150">
        <v>27916.63</v>
      </c>
      <c r="F150" t="s">
        <v>538</v>
      </c>
      <c r="M150" t="s">
        <v>514</v>
      </c>
      <c r="N150" t="s">
        <v>515</v>
      </c>
      <c r="T150">
        <v>0</v>
      </c>
      <c r="U150">
        <v>0</v>
      </c>
      <c r="V150">
        <v>0</v>
      </c>
      <c r="W150">
        <v>27916.63</v>
      </c>
      <c r="X150" t="s">
        <v>1148</v>
      </c>
      <c r="Y150">
        <v>43578</v>
      </c>
      <c r="Z150" t="s">
        <v>1157</v>
      </c>
      <c r="AK150">
        <v>1.59995880111237</v>
      </c>
      <c r="AL150">
        <v>44665.457865897624</v>
      </c>
      <c r="AM150">
        <v>1.59995880111237</v>
      </c>
      <c r="AN150">
        <v>44665.457865897624</v>
      </c>
      <c r="AO150">
        <v>31266.5</v>
      </c>
      <c r="AP150">
        <v>44235</v>
      </c>
      <c r="AQ150" t="s">
        <v>108</v>
      </c>
      <c r="AR150">
        <v>44665.457865897624</v>
      </c>
      <c r="AS150" t="s">
        <v>108</v>
      </c>
      <c r="AT150" t="s">
        <v>109</v>
      </c>
      <c r="AU150" t="s">
        <v>647</v>
      </c>
    </row>
    <row r="151" spans="1:47" x14ac:dyDescent="0.3">
      <c r="A151" t="s">
        <v>70</v>
      </c>
      <c r="B151" t="s">
        <v>80</v>
      </c>
      <c r="C151" t="s">
        <v>1158</v>
      </c>
      <c r="E151">
        <v>61175.24</v>
      </c>
      <c r="F151" t="s">
        <v>538</v>
      </c>
      <c r="M151" t="s">
        <v>514</v>
      </c>
      <c r="N151" t="s">
        <v>524</v>
      </c>
      <c r="T151">
        <v>0</v>
      </c>
      <c r="U151">
        <v>0</v>
      </c>
      <c r="V151">
        <v>0</v>
      </c>
      <c r="W151">
        <v>61175.24</v>
      </c>
      <c r="X151" t="s">
        <v>1148</v>
      </c>
      <c r="Y151">
        <v>43578</v>
      </c>
      <c r="Z151" t="s">
        <v>1159</v>
      </c>
      <c r="AK151">
        <v>1.4999828337968208</v>
      </c>
      <c r="AL151">
        <v>91761.809853400628</v>
      </c>
      <c r="AM151">
        <v>1.4999828337968208</v>
      </c>
      <c r="AN151">
        <v>91761.809853400628</v>
      </c>
      <c r="AO151">
        <v>59645.17</v>
      </c>
      <c r="AP151">
        <v>44235</v>
      </c>
      <c r="AQ151" t="s">
        <v>108</v>
      </c>
      <c r="AR151">
        <v>91761.809853400628</v>
      </c>
      <c r="AS151" t="s">
        <v>108</v>
      </c>
      <c r="AT151" t="s">
        <v>109</v>
      </c>
      <c r="AU151" t="s">
        <v>647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D671-2C89-4FA6-BB2A-68CAB64EC52B}">
  <dimension ref="A1:AT156"/>
  <sheetViews>
    <sheetView topLeftCell="AE1" zoomScaleNormal="100" workbookViewId="0">
      <selection activeCell="AF3" sqref="AF3"/>
    </sheetView>
  </sheetViews>
  <sheetFormatPr baseColWidth="10" defaultColWidth="11.44140625" defaultRowHeight="15" customHeight="1" outlineLevelCol="2" x14ac:dyDescent="0.3"/>
  <cols>
    <col min="1" max="1" width="47.33203125" customWidth="1"/>
    <col min="2" max="2" width="31" customWidth="1"/>
    <col min="3" max="3" width="35.88671875" customWidth="1"/>
    <col min="4" max="4" width="36.88671875" bestFit="1" customWidth="1"/>
    <col min="5" max="5" width="17.109375" customWidth="1"/>
    <col min="6" max="6" width="10.88671875" customWidth="1" outlineLevel="2"/>
    <col min="7" max="7" width="21.88671875" style="86" customWidth="1" outlineLevel="2"/>
    <col min="8" max="8" width="22.109375" style="86" customWidth="1" outlineLevel="2"/>
    <col min="9" max="9" width="21.88671875" style="86" customWidth="1" outlineLevel="2"/>
    <col min="10" max="10" width="19" customWidth="1" outlineLevel="2"/>
    <col min="11" max="11" width="22.109375" customWidth="1" outlineLevel="2"/>
    <col min="12" max="12" width="21.88671875" style="86" customWidth="1" outlineLevel="2"/>
    <col min="13" max="13" width="15.6640625" customWidth="1" outlineLevel="1"/>
    <col min="14" max="14" width="14.109375" customWidth="1" outlineLevel="1"/>
    <col min="15" max="15" width="24.6640625" customWidth="1" outlineLevel="1"/>
    <col min="16" max="16" width="23.33203125" customWidth="1" outlineLevel="1"/>
    <col min="17" max="17" width="11.6640625" customWidth="1" outlineLevel="1"/>
    <col min="18" max="18" width="28.5546875" customWidth="1" outlineLevel="1"/>
    <col min="19" max="19" width="28.44140625" customWidth="1" outlineLevel="1"/>
    <col min="20" max="20" width="31.33203125" customWidth="1" outlineLevel="1"/>
    <col min="21" max="21" width="31.5546875" customWidth="1" outlineLevel="1"/>
    <col min="22" max="22" width="19.6640625" customWidth="1" outlineLevel="1"/>
    <col min="23" max="23" width="12" customWidth="1" outlineLevel="1"/>
    <col min="24" max="24" width="17.33203125" customWidth="1" outlineLevel="1"/>
    <col min="25" max="25" width="11.44140625" customWidth="1" outlineLevel="1"/>
    <col min="26" max="26" width="20.88671875" customWidth="1" outlineLevel="1"/>
    <col min="27" max="27" width="21" customWidth="1" outlineLevel="1"/>
    <col min="28" max="28" width="18.109375" customWidth="1" outlineLevel="1"/>
    <col min="29" max="29" width="11.44140625" customWidth="1" outlineLevel="1"/>
    <col min="30" max="30" width="19.5546875" customWidth="1" outlineLevel="1"/>
    <col min="31" max="31" width="25.33203125" customWidth="1" outlineLevel="1"/>
    <col min="32" max="32" width="24.6640625" customWidth="1" outlineLevel="1"/>
    <col min="33" max="33" width="17.109375" customWidth="1" outlineLevel="1"/>
    <col min="34" max="34" width="17.5546875" customWidth="1" outlineLevel="1"/>
    <col min="35" max="35" width="11.44140625" customWidth="1" outlineLevel="1"/>
    <col min="36" max="36" width="18.6640625" customWidth="1" outlineLevel="1"/>
    <col min="37" max="37" width="13.5546875" customWidth="1"/>
    <col min="38" max="38" width="12.6640625" customWidth="1"/>
    <col min="39" max="39" width="15.6640625" customWidth="1"/>
    <col min="40" max="40" width="14.109375" customWidth="1"/>
    <col min="41" max="41" width="12" customWidth="1"/>
    <col min="42" max="42" width="11.44140625" customWidth="1"/>
    <col min="43" max="43" width="14" bestFit="1" customWidth="1"/>
    <col min="44" max="44" width="12.33203125" customWidth="1"/>
    <col min="45" max="45" width="16.5546875" bestFit="1" customWidth="1"/>
    <col min="46" max="46" width="15.6640625" customWidth="1"/>
  </cols>
  <sheetData>
    <row r="1" spans="1:46" s="96" customFormat="1" ht="43.2" x14ac:dyDescent="0.3">
      <c r="A1" s="89" t="s">
        <v>3</v>
      </c>
      <c r="B1" s="90" t="s">
        <v>13</v>
      </c>
      <c r="C1" s="90" t="s">
        <v>19</v>
      </c>
      <c r="D1" s="90" t="s">
        <v>24</v>
      </c>
      <c r="E1" s="90" t="s">
        <v>27</v>
      </c>
      <c r="F1" s="90" t="s">
        <v>30</v>
      </c>
      <c r="G1" s="91" t="s">
        <v>66</v>
      </c>
      <c r="H1" s="91" t="s">
        <v>36</v>
      </c>
      <c r="I1" s="91" t="s">
        <v>39</v>
      </c>
      <c r="J1" s="92" t="s">
        <v>41</v>
      </c>
      <c r="K1" s="92" t="s">
        <v>43</v>
      </c>
      <c r="L1" s="91" t="s">
        <v>45</v>
      </c>
      <c r="M1" s="90" t="s">
        <v>47</v>
      </c>
      <c r="N1" s="90" t="s">
        <v>49</v>
      </c>
      <c r="O1" s="90" t="s">
        <v>51</v>
      </c>
      <c r="P1" s="90" t="s">
        <v>52</v>
      </c>
      <c r="Q1" s="90" t="s">
        <v>53</v>
      </c>
      <c r="R1" s="90" t="s">
        <v>54</v>
      </c>
      <c r="S1" s="108" t="s">
        <v>67</v>
      </c>
      <c r="T1" s="93" t="s">
        <v>11</v>
      </c>
      <c r="U1" s="93" t="s">
        <v>17</v>
      </c>
      <c r="V1" s="93" t="s">
        <v>22</v>
      </c>
      <c r="W1" s="94" t="s">
        <v>9</v>
      </c>
      <c r="X1" s="95" t="s">
        <v>16</v>
      </c>
      <c r="Y1" s="95" t="s">
        <v>21</v>
      </c>
      <c r="Z1" s="95" t="s">
        <v>26</v>
      </c>
      <c r="AA1" s="95" t="s">
        <v>29</v>
      </c>
      <c r="AB1" s="95" t="s">
        <v>32</v>
      </c>
      <c r="AC1" s="95" t="s">
        <v>35</v>
      </c>
      <c r="AD1" s="95" t="s">
        <v>38</v>
      </c>
      <c r="AE1" s="95" t="s">
        <v>40</v>
      </c>
      <c r="AF1" s="95" t="s">
        <v>42</v>
      </c>
      <c r="AG1" s="95" t="s">
        <v>44</v>
      </c>
      <c r="AH1" s="95" t="s">
        <v>46</v>
      </c>
      <c r="AI1" s="95" t="s">
        <v>48</v>
      </c>
      <c r="AJ1" s="95" t="s">
        <v>50</v>
      </c>
      <c r="AK1" s="123" t="s">
        <v>7</v>
      </c>
      <c r="AL1" s="123" t="s">
        <v>15</v>
      </c>
      <c r="AM1" s="124" t="s">
        <v>5</v>
      </c>
      <c r="AN1" s="125" t="s">
        <v>14</v>
      </c>
      <c r="AO1" s="125" t="s">
        <v>20</v>
      </c>
      <c r="AP1" s="126" t="s">
        <v>25</v>
      </c>
      <c r="AQ1" s="125" t="s">
        <v>28</v>
      </c>
      <c r="AR1" s="125" t="s">
        <v>31</v>
      </c>
      <c r="AS1" s="125" t="s">
        <v>34</v>
      </c>
      <c r="AT1" s="127" t="s">
        <v>37</v>
      </c>
    </row>
    <row r="2" spans="1:46" ht="14.4" x14ac:dyDescent="0.3">
      <c r="A2" s="30" t="s">
        <v>70</v>
      </c>
      <c r="B2" s="31" t="s">
        <v>71</v>
      </c>
      <c r="C2" s="31" t="s">
        <v>637</v>
      </c>
      <c r="D2" s="31" t="s">
        <v>638</v>
      </c>
      <c r="E2" s="42">
        <v>5000</v>
      </c>
      <c r="F2" s="31" t="s">
        <v>538</v>
      </c>
      <c r="G2" s="107">
        <v>13515423</v>
      </c>
      <c r="H2" s="107">
        <v>0</v>
      </c>
      <c r="I2" s="107">
        <v>13515423</v>
      </c>
      <c r="J2" s="107">
        <v>14061432</v>
      </c>
      <c r="K2" s="107">
        <v>0</v>
      </c>
      <c r="L2" s="107">
        <v>14061432</v>
      </c>
      <c r="M2" s="31" t="s">
        <v>639</v>
      </c>
      <c r="N2" s="31" t="s">
        <v>640</v>
      </c>
      <c r="O2" s="31" t="s">
        <v>639</v>
      </c>
      <c r="P2" s="31" t="s">
        <v>641</v>
      </c>
      <c r="Q2" s="31" t="s">
        <v>642</v>
      </c>
      <c r="R2" s="31" t="s">
        <v>643</v>
      </c>
      <c r="S2" s="110">
        <v>20646696</v>
      </c>
      <c r="T2" s="83">
        <f>+DISPONIBLES[[#This Row],[Avalúo Total 2025]]-DISPONIBLES[[#This Row],[Avalúo Total 2024]]</f>
        <v>546009</v>
      </c>
      <c r="U2" s="83">
        <f>+DISPONIBLES[[#This Row],[Avalúo Afecto Dic-2025]]-DISPONIBLES[[#This Row],[Avalúo Afecto Dic-2024]]</f>
        <v>546009</v>
      </c>
      <c r="V2" s="83">
        <f>+DISPONIBLES[[#This Row],[Avalúo Exento Dic-2025]]-DISPONIBLES[[#This Row],[Avalúo Exento Dic-2024]]</f>
        <v>0</v>
      </c>
      <c r="W2" s="31"/>
      <c r="X2" s="31"/>
      <c r="Y2" s="32"/>
      <c r="Z2" s="31" t="s">
        <v>644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106">
        <v>0.65</v>
      </c>
      <c r="AL2" s="103">
        <v>3250</v>
      </c>
      <c r="AM2" s="102">
        <v>0.3339765359742346</v>
      </c>
      <c r="AN2" s="103">
        <v>1669.882679871173</v>
      </c>
      <c r="AO2" s="103"/>
      <c r="AP2" s="32">
        <v>43865</v>
      </c>
      <c r="AQ2" s="31" t="s">
        <v>645</v>
      </c>
      <c r="AR2" s="103">
        <v>3250</v>
      </c>
      <c r="AS2" s="31" t="s">
        <v>645</v>
      </c>
      <c r="AT2" s="31" t="s">
        <v>646</v>
      </c>
    </row>
    <row r="3" spans="1:46" ht="14.4" x14ac:dyDescent="0.3">
      <c r="A3" s="30" t="s">
        <v>648</v>
      </c>
      <c r="B3" s="31" t="s">
        <v>401</v>
      </c>
      <c r="C3" s="31" t="s">
        <v>649</v>
      </c>
      <c r="D3" s="31" t="s">
        <v>650</v>
      </c>
      <c r="E3" s="42">
        <v>40467.620000000003</v>
      </c>
      <c r="F3" s="31" t="s">
        <v>538</v>
      </c>
      <c r="G3" s="107">
        <v>4786763773</v>
      </c>
      <c r="H3" s="107">
        <v>0</v>
      </c>
      <c r="I3" s="107">
        <v>4785763773</v>
      </c>
      <c r="J3" s="107">
        <v>4887284281</v>
      </c>
      <c r="K3" s="107">
        <v>0</v>
      </c>
      <c r="L3" s="107">
        <v>4887284281</v>
      </c>
      <c r="M3" s="31" t="s">
        <v>651</v>
      </c>
      <c r="N3" s="31" t="s">
        <v>652</v>
      </c>
      <c r="O3" s="31" t="s">
        <v>652</v>
      </c>
      <c r="P3" s="31" t="s">
        <v>641</v>
      </c>
      <c r="Q3" s="31" t="s">
        <v>642</v>
      </c>
      <c r="R3" s="31" t="s">
        <v>643</v>
      </c>
      <c r="S3" s="111">
        <v>2819449352</v>
      </c>
      <c r="T3" s="83">
        <f>+DISPONIBLES[[#This Row],[Avalúo Total 2025]]-DISPONIBLES[[#This Row],[Avalúo Total 2024]]</f>
        <v>100520508</v>
      </c>
      <c r="U3" s="83">
        <f>+DISPONIBLES[[#This Row],[Avalúo Afecto Dic-2025]]-DISPONIBLES[[#This Row],[Avalúo Afecto Dic-2024]]</f>
        <v>101520508</v>
      </c>
      <c r="V3" s="83">
        <f>+DISPONIBLES[[#This Row],[Avalúo Exento Dic-2025]]-DISPONIBLES[[#This Row],[Avalúo Exento Dic-2024]]</f>
        <v>0</v>
      </c>
      <c r="W3" s="31"/>
      <c r="X3" s="31"/>
      <c r="Y3" s="32"/>
      <c r="Z3" s="31" t="s">
        <v>653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106">
        <v>3.747866684352362</v>
      </c>
      <c r="AL3" s="103">
        <v>151442.37279197021</v>
      </c>
      <c r="AM3" s="102">
        <v>3.4646930455196321</v>
      </c>
      <c r="AN3" s="103">
        <v>140000</v>
      </c>
      <c r="AO3" s="103"/>
      <c r="AP3" s="32">
        <v>45537</v>
      </c>
      <c r="AQ3" s="31" t="s">
        <v>154</v>
      </c>
      <c r="AR3" s="103">
        <v>140000</v>
      </c>
      <c r="AS3" s="31" t="s">
        <v>154</v>
      </c>
      <c r="AT3" s="31" t="s">
        <v>155</v>
      </c>
    </row>
    <row r="4" spans="1:46" ht="14.4" x14ac:dyDescent="0.3">
      <c r="A4" s="30" t="s">
        <v>493</v>
      </c>
      <c r="B4" s="31" t="s">
        <v>654</v>
      </c>
      <c r="C4" s="31" t="s">
        <v>655</v>
      </c>
      <c r="D4" s="31" t="s">
        <v>656</v>
      </c>
      <c r="E4" s="42">
        <v>5213.2700000000004</v>
      </c>
      <c r="F4" s="31" t="s">
        <v>538</v>
      </c>
      <c r="G4" s="107">
        <v>148699661</v>
      </c>
      <c r="H4" s="107">
        <v>0</v>
      </c>
      <c r="I4" s="107">
        <v>148699661</v>
      </c>
      <c r="J4" s="107">
        <v>154706969</v>
      </c>
      <c r="K4" s="107">
        <v>0</v>
      </c>
      <c r="L4" s="107">
        <v>154706969</v>
      </c>
      <c r="M4" s="31"/>
      <c r="N4" s="31" t="s">
        <v>657</v>
      </c>
      <c r="O4" s="31" t="s">
        <v>657</v>
      </c>
      <c r="P4" s="31" t="s">
        <v>641</v>
      </c>
      <c r="Q4" s="31" t="s">
        <v>642</v>
      </c>
      <c r="R4" s="31" t="s">
        <v>643</v>
      </c>
      <c r="S4" s="112">
        <v>285737367</v>
      </c>
      <c r="T4" s="83">
        <f>+DISPONIBLES[[#This Row],[Avalúo Total 2025]]-DISPONIBLES[[#This Row],[Avalúo Total 2024]]</f>
        <v>6007308</v>
      </c>
      <c r="U4" s="83">
        <f>+DISPONIBLES[[#This Row],[Avalúo Afecto Dic-2025]]-DISPONIBLES[[#This Row],[Avalúo Afecto Dic-2024]]</f>
        <v>6007308</v>
      </c>
      <c r="V4" s="83">
        <f>+DISPONIBLES[[#This Row],[Avalúo Exento Dic-2025]]-DISPONIBLES[[#This Row],[Avalúo Exento Dic-2024]]</f>
        <v>0</v>
      </c>
      <c r="W4" s="31"/>
      <c r="X4" s="31"/>
      <c r="Y4" s="32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118">
        <v>1.4385883088189872</v>
      </c>
      <c r="AL4" s="119">
        <v>7499.7492727167619</v>
      </c>
      <c r="AM4" s="102">
        <v>1.39</v>
      </c>
      <c r="AN4" s="103">
        <v>7246.4453000000003</v>
      </c>
      <c r="AO4" s="103"/>
      <c r="AP4" s="32">
        <v>44320</v>
      </c>
      <c r="AQ4" s="31" t="s">
        <v>645</v>
      </c>
      <c r="AR4" s="103">
        <v>7246.4453000000003</v>
      </c>
      <c r="AS4" s="31" t="s">
        <v>88</v>
      </c>
      <c r="AT4" s="31"/>
    </row>
    <row r="5" spans="1:46" ht="14.4" x14ac:dyDescent="0.3">
      <c r="A5" s="30" t="s">
        <v>382</v>
      </c>
      <c r="B5" s="31" t="s">
        <v>80</v>
      </c>
      <c r="C5" s="31" t="s">
        <v>658</v>
      </c>
      <c r="D5" s="31" t="s">
        <v>659</v>
      </c>
      <c r="E5" s="42">
        <v>145698.66</v>
      </c>
      <c r="F5" s="31" t="s">
        <v>538</v>
      </c>
      <c r="G5" s="107">
        <v>1396293694</v>
      </c>
      <c r="H5" s="107">
        <v>142868641</v>
      </c>
      <c r="I5" s="107">
        <v>1253425053</v>
      </c>
      <c r="J5" s="107">
        <v>1425615415</v>
      </c>
      <c r="K5" s="107">
        <v>145868838</v>
      </c>
      <c r="L5" s="107">
        <v>1279746577</v>
      </c>
      <c r="M5" s="31" t="s">
        <v>660</v>
      </c>
      <c r="N5" s="31" t="s">
        <v>661</v>
      </c>
      <c r="O5" s="31" t="s">
        <v>661</v>
      </c>
      <c r="P5" s="31" t="s">
        <v>641</v>
      </c>
      <c r="Q5" s="31" t="s">
        <v>642</v>
      </c>
      <c r="R5" s="31" t="s">
        <v>643</v>
      </c>
      <c r="S5" s="112">
        <v>2322845325</v>
      </c>
      <c r="T5" s="83">
        <f>+DISPONIBLES[[#This Row],[Avalúo Total 2025]]-DISPONIBLES[[#This Row],[Avalúo Total 2024]]</f>
        <v>29321721</v>
      </c>
      <c r="U5" s="83">
        <f>+DISPONIBLES[[#This Row],[Avalúo Afecto Dic-2025]]-DISPONIBLES[[#This Row],[Avalúo Afecto Dic-2024]]</f>
        <v>26321524</v>
      </c>
      <c r="V5" s="83">
        <f>+DISPONIBLES[[#This Row],[Avalúo Exento Dic-2025]]-DISPONIBLES[[#This Row],[Avalúo Exento Dic-2024]]</f>
        <v>3000197</v>
      </c>
      <c r="W5" s="31"/>
      <c r="X5" s="31"/>
      <c r="Y5" s="32"/>
      <c r="Z5" s="31" t="s">
        <v>662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106">
        <v>1.2</v>
      </c>
      <c r="AL5" s="103">
        <v>174838.39199999999</v>
      </c>
      <c r="AM5" s="102">
        <v>0.94</v>
      </c>
      <c r="AN5" s="103">
        <v>136422</v>
      </c>
      <c r="AO5" s="103"/>
      <c r="AP5" s="32">
        <v>44426</v>
      </c>
      <c r="AQ5" s="31" t="s">
        <v>663</v>
      </c>
      <c r="AR5" s="103">
        <v>156680</v>
      </c>
      <c r="AS5" s="31" t="s">
        <v>664</v>
      </c>
      <c r="AT5" s="31" t="s">
        <v>155</v>
      </c>
    </row>
    <row r="6" spans="1:46" ht="14.4" x14ac:dyDescent="0.3">
      <c r="A6" s="30" t="s">
        <v>382</v>
      </c>
      <c r="B6" s="31" t="s">
        <v>80</v>
      </c>
      <c r="C6" s="31" t="s">
        <v>665</v>
      </c>
      <c r="D6" s="31" t="s">
        <v>666</v>
      </c>
      <c r="E6" s="42">
        <v>114018</v>
      </c>
      <c r="F6" s="31" t="s">
        <v>538</v>
      </c>
      <c r="G6" s="107">
        <v>1387175066</v>
      </c>
      <c r="H6" s="107">
        <v>0</v>
      </c>
      <c r="I6" s="107">
        <v>1387175066</v>
      </c>
      <c r="J6" s="107"/>
      <c r="K6" s="107"/>
      <c r="L6" s="107"/>
      <c r="M6" s="31"/>
      <c r="N6" s="31"/>
      <c r="O6" s="31"/>
      <c r="P6" s="31" t="s">
        <v>641</v>
      </c>
      <c r="Q6" s="31" t="s">
        <v>642</v>
      </c>
      <c r="R6" s="31" t="s">
        <v>643</v>
      </c>
      <c r="S6" s="112">
        <v>1201250239</v>
      </c>
      <c r="T6" s="83">
        <f>+DISPONIBLES[[#This Row],[Avalúo Total 2025]]-DISPONIBLES[[#This Row],[Avalúo Total 2024]]</f>
        <v>-1387175066</v>
      </c>
      <c r="U6" s="83">
        <f>+DISPONIBLES[[#This Row],[Avalúo Afecto Dic-2025]]-DISPONIBLES[[#This Row],[Avalúo Afecto Dic-2024]]</f>
        <v>-1387175066</v>
      </c>
      <c r="V6" s="83">
        <f>+DISPONIBLES[[#This Row],[Avalúo Exento Dic-2025]]-DISPONIBLES[[#This Row],[Avalúo Exento Dic-2024]]</f>
        <v>0</v>
      </c>
      <c r="W6" s="31"/>
      <c r="X6" s="31"/>
      <c r="Y6" s="32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106">
        <v>1.1000000000000001</v>
      </c>
      <c r="AL6" s="103">
        <v>118240.05003932492</v>
      </c>
      <c r="AM6" s="102">
        <v>1.27</v>
      </c>
      <c r="AN6" s="103">
        <v>160395.66992568551</v>
      </c>
      <c r="AO6" s="103"/>
      <c r="AP6" s="32">
        <v>44428</v>
      </c>
      <c r="AQ6" s="31" t="s">
        <v>664</v>
      </c>
      <c r="AR6" s="103">
        <v>160395.66992568551</v>
      </c>
      <c r="AS6" s="31" t="s">
        <v>664</v>
      </c>
      <c r="AT6" s="31" t="s">
        <v>155</v>
      </c>
    </row>
    <row r="7" spans="1:46" ht="14.4" x14ac:dyDescent="0.3">
      <c r="A7" s="30" t="s">
        <v>382</v>
      </c>
      <c r="B7" s="31" t="s">
        <v>80</v>
      </c>
      <c r="C7" s="31" t="s">
        <v>667</v>
      </c>
      <c r="D7" s="31" t="s">
        <v>666</v>
      </c>
      <c r="E7" s="42">
        <v>26389</v>
      </c>
      <c r="F7" s="31" t="s">
        <v>538</v>
      </c>
      <c r="G7" s="107">
        <v>321055998</v>
      </c>
      <c r="H7" s="107">
        <v>0</v>
      </c>
      <c r="I7" s="107">
        <v>321055998</v>
      </c>
      <c r="J7" s="107"/>
      <c r="K7" s="107"/>
      <c r="L7" s="107"/>
      <c r="M7" s="31"/>
      <c r="N7" s="31"/>
      <c r="O7" s="31"/>
      <c r="P7" s="31" t="s">
        <v>641</v>
      </c>
      <c r="Q7" s="31" t="s">
        <v>642</v>
      </c>
      <c r="R7" s="31" t="s">
        <v>643</v>
      </c>
      <c r="S7" s="112">
        <v>1201250239</v>
      </c>
      <c r="T7" s="83">
        <f>+DISPONIBLES[[#This Row],[Avalúo Total 2025]]-DISPONIBLES[[#This Row],[Avalúo Total 2024]]</f>
        <v>-321055998</v>
      </c>
      <c r="U7" s="83">
        <f>+DISPONIBLES[[#This Row],[Avalúo Afecto Dic-2025]]-DISPONIBLES[[#This Row],[Avalúo Afecto Dic-2024]]</f>
        <v>-321055998</v>
      </c>
      <c r="V7" s="83">
        <f>+DISPONIBLES[[#This Row],[Avalúo Exento Dic-2025]]-DISPONIBLES[[#This Row],[Avalúo Exento Dic-2024]]</f>
        <v>0</v>
      </c>
      <c r="W7" s="31"/>
      <c r="X7" s="31"/>
      <c r="Y7" s="32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06">
        <v>1.1000000000000001</v>
      </c>
      <c r="AL7" s="103">
        <v>27366.176222067967</v>
      </c>
      <c r="AM7" s="102">
        <v>1.27</v>
      </c>
      <c r="AN7" s="103">
        <v>37122.922114656591</v>
      </c>
      <c r="AO7" s="103"/>
      <c r="AP7" s="32">
        <v>44428</v>
      </c>
      <c r="AQ7" s="31" t="s">
        <v>664</v>
      </c>
      <c r="AR7" s="103">
        <v>37122.922114656591</v>
      </c>
      <c r="AS7" s="31" t="s">
        <v>664</v>
      </c>
      <c r="AT7" s="31" t="s">
        <v>155</v>
      </c>
    </row>
    <row r="8" spans="1:46" ht="14.4" x14ac:dyDescent="0.3">
      <c r="A8" s="30" t="s">
        <v>79</v>
      </c>
      <c r="B8" s="31" t="s">
        <v>80</v>
      </c>
      <c r="C8" s="31" t="s">
        <v>668</v>
      </c>
      <c r="D8" s="31" t="s">
        <v>669</v>
      </c>
      <c r="E8" s="42">
        <v>109337.65</v>
      </c>
      <c r="F8" s="31" t="s">
        <v>538</v>
      </c>
      <c r="G8" s="107">
        <v>16081312316</v>
      </c>
      <c r="H8" s="107">
        <v>0</v>
      </c>
      <c r="I8" s="107">
        <v>16081312316</v>
      </c>
      <c r="J8" s="107">
        <v>17195983128</v>
      </c>
      <c r="K8" s="107">
        <v>0</v>
      </c>
      <c r="L8" s="107">
        <v>17195983128</v>
      </c>
      <c r="M8" s="31"/>
      <c r="N8" s="31" t="s">
        <v>83</v>
      </c>
      <c r="O8" s="31" t="s">
        <v>83</v>
      </c>
      <c r="P8" s="31" t="s">
        <v>641</v>
      </c>
      <c r="Q8" s="31" t="s">
        <v>642</v>
      </c>
      <c r="R8" s="31" t="s">
        <v>670</v>
      </c>
      <c r="S8" s="110">
        <v>8179395650</v>
      </c>
      <c r="T8" s="83">
        <f>+DISPONIBLES[[#This Row],[Avalúo Total 2025]]-DISPONIBLES[[#This Row],[Avalúo Total 2024]]</f>
        <v>1114670812</v>
      </c>
      <c r="U8" s="83">
        <f>+DISPONIBLES[[#This Row],[Avalúo Afecto Dic-2025]]-DISPONIBLES[[#This Row],[Avalúo Afecto Dic-2024]]</f>
        <v>1114670812</v>
      </c>
      <c r="V8" s="83">
        <f>+DISPONIBLES[[#This Row],[Avalúo Exento Dic-2025]]-DISPONIBLES[[#This Row],[Avalúo Exento Dic-2024]]</f>
        <v>0</v>
      </c>
      <c r="W8" s="31"/>
      <c r="X8" s="31"/>
      <c r="Y8" s="32"/>
      <c r="Z8" s="31" t="s">
        <v>671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06">
        <v>3</v>
      </c>
      <c r="AL8" s="103">
        <v>274015.65000000002</v>
      </c>
      <c r="AM8" s="102">
        <v>2.6999990693962186</v>
      </c>
      <c r="AN8" s="103">
        <v>246614</v>
      </c>
      <c r="AO8" s="105"/>
      <c r="AP8" s="32">
        <v>43893</v>
      </c>
      <c r="AQ8" s="31" t="s">
        <v>87</v>
      </c>
      <c r="AR8" s="103">
        <v>246614</v>
      </c>
      <c r="AS8" s="31" t="s">
        <v>88</v>
      </c>
      <c r="AT8" s="31"/>
    </row>
    <row r="9" spans="1:46" ht="14.4" x14ac:dyDescent="0.3">
      <c r="A9" s="30" t="s">
        <v>89</v>
      </c>
      <c r="B9" s="31" t="s">
        <v>80</v>
      </c>
      <c r="C9" s="31" t="s">
        <v>672</v>
      </c>
      <c r="D9" s="31" t="s">
        <v>673</v>
      </c>
      <c r="E9" s="42">
        <v>3404.89</v>
      </c>
      <c r="F9" s="31" t="s">
        <v>538</v>
      </c>
      <c r="G9" s="107">
        <v>161871113</v>
      </c>
      <c r="H9" s="107">
        <v>0</v>
      </c>
      <c r="I9" s="107">
        <v>161871113</v>
      </c>
      <c r="J9" s="107">
        <v>165270355</v>
      </c>
      <c r="K9" s="107">
        <v>0</v>
      </c>
      <c r="L9" s="107">
        <v>165270355</v>
      </c>
      <c r="M9" s="31"/>
      <c r="N9" s="31" t="s">
        <v>674</v>
      </c>
      <c r="O9" s="31" t="s">
        <v>674</v>
      </c>
      <c r="P9" s="31" t="s">
        <v>641</v>
      </c>
      <c r="Q9" s="31" t="s">
        <v>642</v>
      </c>
      <c r="R9" s="31" t="s">
        <v>643</v>
      </c>
      <c r="S9" s="110">
        <v>73581346</v>
      </c>
      <c r="T9" s="83">
        <f>+DISPONIBLES[[#This Row],[Avalúo Total 2025]]-DISPONIBLES[[#This Row],[Avalúo Total 2024]]</f>
        <v>3399242</v>
      </c>
      <c r="U9" s="83">
        <f>+DISPONIBLES[[#This Row],[Avalúo Afecto Dic-2025]]-DISPONIBLES[[#This Row],[Avalúo Afecto Dic-2024]]</f>
        <v>3399242</v>
      </c>
      <c r="V9" s="83">
        <f>+DISPONIBLES[[#This Row],[Avalúo Exento Dic-2025]]-DISPONIBLES[[#This Row],[Avalúo Exento Dic-2024]]</f>
        <v>0</v>
      </c>
      <c r="W9" s="31"/>
      <c r="X9" s="31"/>
      <c r="Y9" s="32"/>
      <c r="Z9" s="31" t="s">
        <v>675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06">
        <v>1.4</v>
      </c>
      <c r="AL9" s="104">
        <v>4766.8459999999995</v>
      </c>
      <c r="AM9" s="102">
        <v>0.8</v>
      </c>
      <c r="AN9" s="103">
        <v>2723.9120000000003</v>
      </c>
      <c r="AO9" s="103"/>
      <c r="AP9" s="32"/>
      <c r="AQ9" s="31"/>
      <c r="AR9" s="103"/>
      <c r="AS9" s="31" t="s">
        <v>88</v>
      </c>
      <c r="AT9" s="31"/>
    </row>
    <row r="10" spans="1:46" ht="14.4" x14ac:dyDescent="0.3">
      <c r="A10" s="30" t="s">
        <v>89</v>
      </c>
      <c r="B10" s="31" t="s">
        <v>80</v>
      </c>
      <c r="C10" s="31" t="s">
        <v>676</v>
      </c>
      <c r="D10" s="31" t="s">
        <v>677</v>
      </c>
      <c r="E10" s="42">
        <v>9692.9500000000007</v>
      </c>
      <c r="F10" s="31" t="s">
        <v>538</v>
      </c>
      <c r="G10" s="107">
        <v>2225006491</v>
      </c>
      <c r="H10" s="107">
        <v>0</v>
      </c>
      <c r="I10" s="107">
        <v>2225006491</v>
      </c>
      <c r="J10" s="107">
        <v>2314894377</v>
      </c>
      <c r="K10" s="107">
        <v>0</v>
      </c>
      <c r="L10" s="107">
        <v>2314894377</v>
      </c>
      <c r="M10" s="31" t="s">
        <v>678</v>
      </c>
      <c r="N10" s="31" t="s">
        <v>679</v>
      </c>
      <c r="O10" s="31" t="s">
        <v>679</v>
      </c>
      <c r="P10" s="31" t="s">
        <v>641</v>
      </c>
      <c r="Q10" s="31" t="s">
        <v>642</v>
      </c>
      <c r="R10" s="31" t="s">
        <v>680</v>
      </c>
      <c r="S10" s="84" t="s">
        <v>682</v>
      </c>
      <c r="T10" s="101">
        <f>+DISPONIBLES[[#This Row],[Avalúo Total 2025]]-DISPONIBLES[[#This Row],[Avalúo Total 2024]]</f>
        <v>89887886</v>
      </c>
      <c r="U10" s="101">
        <f>+DISPONIBLES[[#This Row],[Avalúo Afecto Dic-2025]]-DISPONIBLES[[#This Row],[Avalúo Afecto Dic-2024]]</f>
        <v>89887886</v>
      </c>
      <c r="V10" s="101">
        <f>+DISPONIBLES[[#This Row],[Avalúo Exento Dic-2025]]-DISPONIBLES[[#This Row],[Avalúo Exento Dic-2024]]</f>
        <v>0</v>
      </c>
      <c r="W10" s="31"/>
      <c r="X10" s="31"/>
      <c r="Y10" s="32"/>
      <c r="Z10" s="31" t="s">
        <v>681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06">
        <f>47377/9689</f>
        <v>4.8897719062854783</v>
      </c>
      <c r="AL10" s="103">
        <v>47377</v>
      </c>
      <c r="AM10" s="106">
        <f>7.35/3</f>
        <v>2.4499999999999997</v>
      </c>
      <c r="AN10" s="103">
        <v>47377</v>
      </c>
      <c r="AO10" s="103"/>
      <c r="AP10" s="32">
        <v>45596</v>
      </c>
      <c r="AQ10" s="31" t="s">
        <v>94</v>
      </c>
      <c r="AR10" s="103">
        <v>47377</v>
      </c>
      <c r="AS10" s="31" t="s">
        <v>94</v>
      </c>
      <c r="AT10" s="31"/>
    </row>
    <row r="11" spans="1:46" ht="14.4" x14ac:dyDescent="0.3">
      <c r="A11" s="30" t="s">
        <v>89</v>
      </c>
      <c r="B11" s="31" t="s">
        <v>80</v>
      </c>
      <c r="C11" s="31" t="s">
        <v>683</v>
      </c>
      <c r="D11" s="31" t="s">
        <v>684</v>
      </c>
      <c r="E11" s="42">
        <v>396.23</v>
      </c>
      <c r="F11" s="31" t="s">
        <v>538</v>
      </c>
      <c r="G11" s="107">
        <v>18825539</v>
      </c>
      <c r="H11" s="107">
        <v>0</v>
      </c>
      <c r="I11" s="107">
        <v>18825539</v>
      </c>
      <c r="J11" s="107">
        <v>19220869</v>
      </c>
      <c r="K11" s="107">
        <v>0</v>
      </c>
      <c r="L11" s="107">
        <v>19220869</v>
      </c>
      <c r="M11" s="31"/>
      <c r="N11" s="31" t="s">
        <v>685</v>
      </c>
      <c r="O11" s="31" t="s">
        <v>685</v>
      </c>
      <c r="P11" s="31" t="s">
        <v>641</v>
      </c>
      <c r="Q11" s="31" t="s">
        <v>642</v>
      </c>
      <c r="R11" s="31" t="s">
        <v>643</v>
      </c>
      <c r="S11" s="110">
        <v>8562679</v>
      </c>
      <c r="T11" s="83">
        <f>+DISPONIBLES[[#This Row],[Avalúo Total 2025]]-DISPONIBLES[[#This Row],[Avalúo Total 2024]]</f>
        <v>395330</v>
      </c>
      <c r="U11" s="83">
        <f>+DISPONIBLES[[#This Row],[Avalúo Afecto Dic-2025]]-DISPONIBLES[[#This Row],[Avalúo Afecto Dic-2024]]</f>
        <v>395330</v>
      </c>
      <c r="V11" s="83">
        <f>+DISPONIBLES[[#This Row],[Avalúo Exento Dic-2025]]-DISPONIBLES[[#This Row],[Avalúo Exento Dic-2024]]</f>
        <v>0</v>
      </c>
      <c r="W11" s="31"/>
      <c r="X11" s="31"/>
      <c r="Y11" s="32"/>
      <c r="Z11" s="31" t="s">
        <v>686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06">
        <v>0.65</v>
      </c>
      <c r="AL11" s="103">
        <v>3250</v>
      </c>
      <c r="AM11" s="102">
        <v>0.8</v>
      </c>
      <c r="AN11" s="103">
        <v>316.98400000000004</v>
      </c>
      <c r="AO11" s="103"/>
      <c r="AP11" s="32"/>
      <c r="AQ11" s="31"/>
      <c r="AR11" s="103"/>
      <c r="AS11" s="31" t="s">
        <v>88</v>
      </c>
      <c r="AT11" s="31"/>
    </row>
    <row r="12" spans="1:46" ht="14.4" x14ac:dyDescent="0.3">
      <c r="A12" s="30" t="s">
        <v>687</v>
      </c>
      <c r="B12" s="31" t="s">
        <v>80</v>
      </c>
      <c r="C12" s="31" t="s">
        <v>688</v>
      </c>
      <c r="D12" s="31" t="s">
        <v>689</v>
      </c>
      <c r="E12" s="42">
        <v>3000</v>
      </c>
      <c r="F12" s="31" t="s">
        <v>538</v>
      </c>
      <c r="G12" s="107">
        <v>100710307</v>
      </c>
      <c r="H12" s="107">
        <v>0</v>
      </c>
      <c r="I12" s="107">
        <v>100710307</v>
      </c>
      <c r="J12" s="107">
        <v>102825191</v>
      </c>
      <c r="K12" s="107">
        <v>0</v>
      </c>
      <c r="L12" s="107">
        <v>102825191</v>
      </c>
      <c r="M12" s="31"/>
      <c r="N12" s="31" t="s">
        <v>690</v>
      </c>
      <c r="O12" s="31" t="s">
        <v>690</v>
      </c>
      <c r="P12" s="31" t="s">
        <v>641</v>
      </c>
      <c r="Q12" s="31" t="s">
        <v>642</v>
      </c>
      <c r="R12" s="31" t="s">
        <v>643</v>
      </c>
      <c r="S12" s="110">
        <v>995178516</v>
      </c>
      <c r="T12" s="83">
        <f>+DISPONIBLES[[#This Row],[Avalúo Total 2025]]-DISPONIBLES[[#This Row],[Avalúo Total 2024]]</f>
        <v>2114884</v>
      </c>
      <c r="U12" s="83">
        <f>+DISPONIBLES[[#This Row],[Avalúo Afecto Dic-2025]]-DISPONIBLES[[#This Row],[Avalúo Afecto Dic-2024]]</f>
        <v>2114884</v>
      </c>
      <c r="V12" s="83">
        <f>+DISPONIBLES[[#This Row],[Avalúo Exento Dic-2025]]-DISPONIBLES[[#This Row],[Avalúo Exento Dic-2024]]</f>
        <v>0</v>
      </c>
      <c r="W12" s="31"/>
      <c r="X12" s="31"/>
      <c r="Y12" s="32"/>
      <c r="Z12" s="31" t="s">
        <v>691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02">
        <v>1.5</v>
      </c>
      <c r="AL12" s="104">
        <v>4500</v>
      </c>
      <c r="AM12" s="102">
        <v>1.5</v>
      </c>
      <c r="AN12" s="103">
        <v>4500</v>
      </c>
      <c r="AO12" s="103"/>
      <c r="AP12" s="32">
        <v>44634</v>
      </c>
      <c r="AQ12" s="31" t="s">
        <v>692</v>
      </c>
      <c r="AR12" s="103">
        <v>4500</v>
      </c>
      <c r="AS12" s="31" t="s">
        <v>88</v>
      </c>
      <c r="AT12" s="31"/>
    </row>
    <row r="13" spans="1:46" ht="14.4" x14ac:dyDescent="0.3">
      <c r="A13" s="30" t="s">
        <v>687</v>
      </c>
      <c r="B13" s="31" t="s">
        <v>80</v>
      </c>
      <c r="C13" s="31" t="s">
        <v>693</v>
      </c>
      <c r="D13" s="31" t="s">
        <v>694</v>
      </c>
      <c r="E13" s="42">
        <v>38370</v>
      </c>
      <c r="F13" s="31" t="s">
        <v>538</v>
      </c>
      <c r="G13" s="107">
        <v>1100595803</v>
      </c>
      <c r="H13" s="107">
        <v>0</v>
      </c>
      <c r="I13" s="107">
        <v>1100595803</v>
      </c>
      <c r="J13" s="107">
        <v>1123707963</v>
      </c>
      <c r="K13" s="107">
        <v>0</v>
      </c>
      <c r="L13" s="107">
        <v>1123707963</v>
      </c>
      <c r="M13" s="31"/>
      <c r="N13" s="31" t="s">
        <v>695</v>
      </c>
      <c r="O13" s="31" t="s">
        <v>695</v>
      </c>
      <c r="P13" s="31" t="s">
        <v>641</v>
      </c>
      <c r="Q13" s="31" t="s">
        <v>642</v>
      </c>
      <c r="R13" s="31" t="s">
        <v>643</v>
      </c>
      <c r="S13" s="110">
        <v>57691508</v>
      </c>
      <c r="T13" s="83">
        <f>+DISPONIBLES[[#This Row],[Avalúo Total 2025]]-DISPONIBLES[[#This Row],[Avalúo Total 2024]]</f>
        <v>23112160</v>
      </c>
      <c r="U13" s="83">
        <f>+DISPONIBLES[[#This Row],[Avalúo Afecto Dic-2025]]-DISPONIBLES[[#This Row],[Avalúo Afecto Dic-2024]]</f>
        <v>23112160</v>
      </c>
      <c r="V13" s="83">
        <f>+DISPONIBLES[[#This Row],[Avalúo Exento Dic-2025]]-DISPONIBLES[[#This Row],[Avalúo Exento Dic-2024]]</f>
        <v>0</v>
      </c>
      <c r="W13" s="31"/>
      <c r="X13" s="31"/>
      <c r="Y13" s="32"/>
      <c r="Z13" s="31" t="s">
        <v>696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02">
        <v>1.51</v>
      </c>
      <c r="AL13" s="104">
        <v>59645</v>
      </c>
      <c r="AM13" s="102">
        <v>1.51</v>
      </c>
      <c r="AN13" s="103">
        <v>57938.7</v>
      </c>
      <c r="AO13" s="103"/>
      <c r="AP13" s="32">
        <v>44634</v>
      </c>
      <c r="AQ13" s="31" t="s">
        <v>692</v>
      </c>
      <c r="AR13" s="103">
        <v>57938.7</v>
      </c>
      <c r="AS13" s="31" t="s">
        <v>88</v>
      </c>
      <c r="AT13" s="31"/>
    </row>
    <row r="14" spans="1:46" ht="14.4" x14ac:dyDescent="0.3">
      <c r="A14" s="30" t="s">
        <v>697</v>
      </c>
      <c r="B14" s="31" t="s">
        <v>80</v>
      </c>
      <c r="C14" s="31" t="s">
        <v>698</v>
      </c>
      <c r="D14" s="31" t="s">
        <v>699</v>
      </c>
      <c r="E14" s="42">
        <v>38540</v>
      </c>
      <c r="F14" s="31" t="s">
        <v>538</v>
      </c>
      <c r="G14" s="107">
        <v>1717527041</v>
      </c>
      <c r="H14" s="107">
        <v>0</v>
      </c>
      <c r="I14" s="107">
        <v>1717527041</v>
      </c>
      <c r="J14" s="107">
        <v>1753594559</v>
      </c>
      <c r="K14" s="107">
        <v>0</v>
      </c>
      <c r="L14" s="107">
        <v>1753594559</v>
      </c>
      <c r="M14" s="31" t="s">
        <v>700</v>
      </c>
      <c r="N14" s="31" t="s">
        <v>701</v>
      </c>
      <c r="O14" s="31" t="s">
        <v>701</v>
      </c>
      <c r="P14" s="31" t="s">
        <v>641</v>
      </c>
      <c r="Q14" s="31" t="s">
        <v>642</v>
      </c>
      <c r="R14" s="31" t="s">
        <v>643</v>
      </c>
      <c r="S14" s="110">
        <v>1945226420</v>
      </c>
      <c r="T14" s="83">
        <f>+DISPONIBLES[[#This Row],[Avalúo Total 2025]]-DISPONIBLES[[#This Row],[Avalúo Total 2024]]</f>
        <v>36067518</v>
      </c>
      <c r="U14" s="83">
        <f>+DISPONIBLES[[#This Row],[Avalúo Afecto Dic-2025]]-DISPONIBLES[[#This Row],[Avalúo Afecto Dic-2024]]</f>
        <v>36067518</v>
      </c>
      <c r="V14" s="83">
        <f>+DISPONIBLES[[#This Row],[Avalúo Exento Dic-2025]]-DISPONIBLES[[#This Row],[Avalúo Exento Dic-2024]]</f>
        <v>0</v>
      </c>
      <c r="W14" s="31"/>
      <c r="X14" s="31"/>
      <c r="Y14" s="32"/>
      <c r="Z14" s="31" t="s">
        <v>702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02">
        <v>4</v>
      </c>
      <c r="AL14" s="103">
        <v>154160</v>
      </c>
      <c r="AM14" s="102">
        <v>2.7452714014746604</v>
      </c>
      <c r="AN14" s="103">
        <v>105802.75981283342</v>
      </c>
      <c r="AO14" s="103"/>
      <c r="AP14" s="32">
        <v>45475</v>
      </c>
      <c r="AQ14" s="31" t="s">
        <v>154</v>
      </c>
      <c r="AR14" s="103">
        <v>156960</v>
      </c>
      <c r="AS14" s="31" t="s">
        <v>154</v>
      </c>
      <c r="AT14" s="31" t="s">
        <v>109</v>
      </c>
    </row>
    <row r="15" spans="1:46" ht="14.4" x14ac:dyDescent="0.3">
      <c r="A15" s="30" t="s">
        <v>703</v>
      </c>
      <c r="B15" s="31" t="s">
        <v>80</v>
      </c>
      <c r="C15" s="31" t="s">
        <v>704</v>
      </c>
      <c r="D15" s="31" t="s">
        <v>705</v>
      </c>
      <c r="E15" s="42">
        <v>13100</v>
      </c>
      <c r="F15" s="31" t="s">
        <v>538</v>
      </c>
      <c r="G15" s="107">
        <v>672047410</v>
      </c>
      <c r="H15" s="107">
        <v>0</v>
      </c>
      <c r="I15" s="107">
        <v>672047410</v>
      </c>
      <c r="J15" s="107">
        <v>686160191</v>
      </c>
      <c r="K15" s="107">
        <v>0</v>
      </c>
      <c r="L15" s="107">
        <v>686160191</v>
      </c>
      <c r="M15" s="31" t="s">
        <v>700</v>
      </c>
      <c r="N15" s="31" t="s">
        <v>706</v>
      </c>
      <c r="O15" s="31" t="s">
        <v>706</v>
      </c>
      <c r="P15" s="31" t="s">
        <v>641</v>
      </c>
      <c r="Q15" s="31" t="s">
        <v>642</v>
      </c>
      <c r="R15" s="31" t="s">
        <v>643</v>
      </c>
      <c r="S15" s="110">
        <v>373713211</v>
      </c>
      <c r="T15" s="83">
        <f>+DISPONIBLES[[#This Row],[Avalúo Total 2025]]-DISPONIBLES[[#This Row],[Avalúo Total 2024]]</f>
        <v>14112781</v>
      </c>
      <c r="U15" s="83">
        <f>+DISPONIBLES[[#This Row],[Avalúo Afecto Dic-2025]]-DISPONIBLES[[#This Row],[Avalúo Afecto Dic-2024]]</f>
        <v>14112781</v>
      </c>
      <c r="V15" s="83">
        <f>+DISPONIBLES[[#This Row],[Avalúo Exento Dic-2025]]-DISPONIBLES[[#This Row],[Avalúo Exento Dic-2024]]</f>
        <v>0</v>
      </c>
      <c r="W15" s="31"/>
      <c r="X15" s="31"/>
      <c r="Y15" s="32"/>
      <c r="Z15" s="31" t="s">
        <v>707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06">
        <v>2.4</v>
      </c>
      <c r="AL15" s="104">
        <v>31440</v>
      </c>
      <c r="AM15" s="102">
        <v>1.6399903869262196</v>
      </c>
      <c r="AN15" s="103">
        <v>21483.874068733476</v>
      </c>
      <c r="AO15" s="103">
        <v>15038.72</v>
      </c>
      <c r="AP15" s="32">
        <v>44235</v>
      </c>
      <c r="AQ15" s="31" t="s">
        <v>108</v>
      </c>
      <c r="AR15" s="103">
        <v>21483.874068733476</v>
      </c>
      <c r="AS15" s="31" t="s">
        <v>88</v>
      </c>
      <c r="AT15" s="31" t="s">
        <v>109</v>
      </c>
    </row>
    <row r="16" spans="1:46" ht="14.4" x14ac:dyDescent="0.3">
      <c r="A16" s="30" t="s">
        <v>703</v>
      </c>
      <c r="B16" s="31" t="s">
        <v>80</v>
      </c>
      <c r="C16" s="31" t="s">
        <v>708</v>
      </c>
      <c r="D16" s="31" t="s">
        <v>709</v>
      </c>
      <c r="E16" s="42">
        <v>13800</v>
      </c>
      <c r="F16" s="31" t="s">
        <v>538</v>
      </c>
      <c r="G16" s="107">
        <v>700807246</v>
      </c>
      <c r="H16" s="107">
        <v>0</v>
      </c>
      <c r="I16" s="107">
        <v>700807246</v>
      </c>
      <c r="J16" s="107">
        <v>715523974</v>
      </c>
      <c r="K16" s="107">
        <v>0</v>
      </c>
      <c r="L16" s="107">
        <v>715523974</v>
      </c>
      <c r="M16" s="31" t="s">
        <v>700</v>
      </c>
      <c r="N16" s="31" t="s">
        <v>710</v>
      </c>
      <c r="O16" s="31" t="s">
        <v>710</v>
      </c>
      <c r="P16" s="31" t="s">
        <v>641</v>
      </c>
      <c r="Q16" s="31" t="s">
        <v>642</v>
      </c>
      <c r="R16" s="31" t="s">
        <v>643</v>
      </c>
      <c r="S16" s="110">
        <v>393682619</v>
      </c>
      <c r="T16" s="83">
        <f>+DISPONIBLES[[#This Row],[Avalúo Total 2025]]-DISPONIBLES[[#This Row],[Avalúo Total 2024]]</f>
        <v>14716728</v>
      </c>
      <c r="U16" s="83">
        <f>+DISPONIBLES[[#This Row],[Avalúo Afecto Dic-2025]]-DISPONIBLES[[#This Row],[Avalúo Afecto Dic-2024]]</f>
        <v>14716728</v>
      </c>
      <c r="V16" s="83">
        <f>+DISPONIBLES[[#This Row],[Avalúo Exento Dic-2025]]-DISPONIBLES[[#This Row],[Avalúo Exento Dic-2024]]</f>
        <v>0</v>
      </c>
      <c r="W16" s="31"/>
      <c r="X16" s="31"/>
      <c r="Y16" s="32"/>
      <c r="Z16" s="31" t="s">
        <v>711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06">
        <v>2.4</v>
      </c>
      <c r="AL16" s="104">
        <v>33120</v>
      </c>
      <c r="AM16" s="102">
        <v>1.6399903869262196</v>
      </c>
      <c r="AN16" s="103">
        <v>22631.86733958183</v>
      </c>
      <c r="AO16" s="103">
        <v>15842.3</v>
      </c>
      <c r="AP16" s="32">
        <v>44235</v>
      </c>
      <c r="AQ16" s="31" t="s">
        <v>108</v>
      </c>
      <c r="AR16" s="103">
        <v>22631.86733958183</v>
      </c>
      <c r="AS16" s="31" t="s">
        <v>88</v>
      </c>
      <c r="AT16" s="31" t="s">
        <v>109</v>
      </c>
    </row>
    <row r="17" spans="1:46" ht="14.4" x14ac:dyDescent="0.3">
      <c r="A17" s="30" t="s">
        <v>703</v>
      </c>
      <c r="B17" s="31" t="s">
        <v>80</v>
      </c>
      <c r="C17" s="31" t="s">
        <v>712</v>
      </c>
      <c r="D17" s="31" t="s">
        <v>713</v>
      </c>
      <c r="E17" s="42">
        <v>38609.599999999999</v>
      </c>
      <c r="F17" s="31" t="s">
        <v>538</v>
      </c>
      <c r="G17" s="107">
        <v>1720646576</v>
      </c>
      <c r="H17" s="107">
        <v>93586060</v>
      </c>
      <c r="I17" s="107">
        <v>1627060516</v>
      </c>
      <c r="J17" s="107">
        <v>1756779604</v>
      </c>
      <c r="K17" s="107">
        <v>95551338</v>
      </c>
      <c r="L17" s="107">
        <v>1661228266</v>
      </c>
      <c r="M17" s="31" t="s">
        <v>700</v>
      </c>
      <c r="N17" s="31" t="s">
        <v>714</v>
      </c>
      <c r="O17" s="31" t="s">
        <v>714</v>
      </c>
      <c r="P17" s="31" t="s">
        <v>641</v>
      </c>
      <c r="Q17" s="31" t="s">
        <v>642</v>
      </c>
      <c r="R17" s="31" t="s">
        <v>643</v>
      </c>
      <c r="S17" s="110">
        <v>1101444089</v>
      </c>
      <c r="T17" s="83">
        <f>+DISPONIBLES[[#This Row],[Avalúo Total 2025]]-DISPONIBLES[[#This Row],[Avalúo Total 2024]]</f>
        <v>36133028</v>
      </c>
      <c r="U17" s="83">
        <f>+DISPONIBLES[[#This Row],[Avalúo Afecto Dic-2025]]-DISPONIBLES[[#This Row],[Avalúo Afecto Dic-2024]]</f>
        <v>34167750</v>
      </c>
      <c r="V17" s="83">
        <f>+DISPONIBLES[[#This Row],[Avalúo Exento Dic-2025]]-DISPONIBLES[[#This Row],[Avalúo Exento Dic-2024]]</f>
        <v>1965278</v>
      </c>
      <c r="W17" s="31"/>
      <c r="X17" s="31"/>
      <c r="Y17" s="32"/>
      <c r="Z17" s="31" t="s">
        <v>715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06">
        <v>2.4</v>
      </c>
      <c r="AL17" s="104">
        <v>92663.039999999994</v>
      </c>
      <c r="AM17" s="102">
        <v>2</v>
      </c>
      <c r="AN17" s="103">
        <v>77219.199999999997</v>
      </c>
      <c r="AO17" s="103"/>
      <c r="AP17" s="32">
        <v>44286</v>
      </c>
      <c r="AQ17" s="31" t="s">
        <v>101</v>
      </c>
      <c r="AR17" s="103">
        <v>77219.199999999997</v>
      </c>
      <c r="AS17" s="31" t="s">
        <v>101</v>
      </c>
      <c r="AT17" s="31"/>
    </row>
    <row r="18" spans="1:46" ht="14.4" x14ac:dyDescent="0.3">
      <c r="A18" s="30" t="s">
        <v>716</v>
      </c>
      <c r="B18" s="31" t="s">
        <v>80</v>
      </c>
      <c r="C18" s="31" t="s">
        <v>717</v>
      </c>
      <c r="D18" s="31" t="s">
        <v>718</v>
      </c>
      <c r="E18" s="42">
        <v>14000</v>
      </c>
      <c r="F18" s="31" t="s">
        <v>538</v>
      </c>
      <c r="G18" s="107">
        <v>2800983803</v>
      </c>
      <c r="H18" s="107">
        <v>0</v>
      </c>
      <c r="I18" s="107">
        <v>2800983803</v>
      </c>
      <c r="J18" s="107">
        <v>2859803567</v>
      </c>
      <c r="K18" s="107">
        <v>0</v>
      </c>
      <c r="L18" s="107">
        <v>2859803567</v>
      </c>
      <c r="M18" s="31" t="s">
        <v>719</v>
      </c>
      <c r="N18" s="31" t="s">
        <v>720</v>
      </c>
      <c r="O18" s="31" t="s">
        <v>720</v>
      </c>
      <c r="P18" s="31" t="s">
        <v>641</v>
      </c>
      <c r="Q18" s="31" t="s">
        <v>642</v>
      </c>
      <c r="R18" s="31" t="s">
        <v>643</v>
      </c>
      <c r="S18" s="110">
        <v>623619756</v>
      </c>
      <c r="T18" s="83">
        <f>+DISPONIBLES[[#This Row],[Avalúo Total 2025]]-DISPONIBLES[[#This Row],[Avalúo Total 2024]]</f>
        <v>58819764</v>
      </c>
      <c r="U18" s="83">
        <f>+DISPONIBLES[[#This Row],[Avalúo Afecto Dic-2025]]-DISPONIBLES[[#This Row],[Avalúo Afecto Dic-2024]]</f>
        <v>58819764</v>
      </c>
      <c r="V18" s="83">
        <f>+DISPONIBLES[[#This Row],[Avalúo Exento Dic-2025]]-DISPONIBLES[[#This Row],[Avalúo Exento Dic-2024]]</f>
        <v>0</v>
      </c>
      <c r="W18" s="31"/>
      <c r="X18" s="31"/>
      <c r="Y18" s="32"/>
      <c r="Z18" s="31" t="s">
        <v>721</v>
      </c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06">
        <v>3.3525714285714288</v>
      </c>
      <c r="AL18" s="103">
        <v>46936</v>
      </c>
      <c r="AM18" s="102">
        <v>3.3525714285714288</v>
      </c>
      <c r="AN18" s="103">
        <v>46936</v>
      </c>
      <c r="AO18" s="103"/>
      <c r="AP18" s="32">
        <v>43859</v>
      </c>
      <c r="AQ18" s="31" t="s">
        <v>663</v>
      </c>
      <c r="AR18" s="103">
        <v>46936</v>
      </c>
      <c r="AS18" s="31" t="s">
        <v>664</v>
      </c>
      <c r="AT18" s="31" t="s">
        <v>722</v>
      </c>
    </row>
    <row r="19" spans="1:46" ht="14.4" x14ac:dyDescent="0.3">
      <c r="A19" s="30" t="s">
        <v>89</v>
      </c>
      <c r="B19" s="31" t="s">
        <v>80</v>
      </c>
      <c r="C19" s="31" t="s">
        <v>723</v>
      </c>
      <c r="D19" s="31" t="s">
        <v>724</v>
      </c>
      <c r="E19" s="42">
        <v>31555.06</v>
      </c>
      <c r="F19" s="31" t="s">
        <v>538</v>
      </c>
      <c r="G19" s="107">
        <v>6912627955</v>
      </c>
      <c r="H19" s="107">
        <v>577602874</v>
      </c>
      <c r="I19" s="107">
        <v>6335025081</v>
      </c>
      <c r="J19" s="107">
        <v>7057790931</v>
      </c>
      <c r="K19" s="107">
        <v>589732349</v>
      </c>
      <c r="L19" s="107">
        <v>6468058582</v>
      </c>
      <c r="M19" s="31" t="s">
        <v>725</v>
      </c>
      <c r="N19" s="31" t="s">
        <v>726</v>
      </c>
      <c r="O19" s="31" t="s">
        <v>726</v>
      </c>
      <c r="P19" s="31" t="s">
        <v>641</v>
      </c>
      <c r="Q19" s="31" t="s">
        <v>642</v>
      </c>
      <c r="R19" s="31" t="s">
        <v>643</v>
      </c>
      <c r="S19" s="110">
        <v>796474182</v>
      </c>
      <c r="T19" s="83">
        <f>+DISPONIBLES[[#This Row],[Avalúo Total 2025]]-DISPONIBLES[[#This Row],[Avalúo Total 2024]]</f>
        <v>145162976</v>
      </c>
      <c r="U19" s="83">
        <f>+DISPONIBLES[[#This Row],[Avalúo Afecto Dic-2025]]-DISPONIBLES[[#This Row],[Avalúo Afecto Dic-2024]]</f>
        <v>133033501</v>
      </c>
      <c r="V19" s="83">
        <f>+DISPONIBLES[[#This Row],[Avalúo Exento Dic-2025]]-DISPONIBLES[[#This Row],[Avalúo Exento Dic-2024]]</f>
        <v>12129475</v>
      </c>
      <c r="W19" s="31"/>
      <c r="X19" s="31"/>
      <c r="Y19" s="32"/>
      <c r="Z19" s="31" t="s">
        <v>727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06">
        <v>2.700003433240636</v>
      </c>
      <c r="AL19" s="104">
        <v>85198.770336114263</v>
      </c>
      <c r="AM19" s="102">
        <v>3.8</v>
      </c>
      <c r="AN19" s="103">
        <v>119909</v>
      </c>
      <c r="AO19" s="103">
        <v>59639.15</v>
      </c>
      <c r="AP19" s="32">
        <v>45698</v>
      </c>
      <c r="AQ19" s="31" t="s">
        <v>108</v>
      </c>
      <c r="AR19" s="103">
        <v>119909</v>
      </c>
      <c r="AS19" s="31" t="s">
        <v>88</v>
      </c>
      <c r="AT19" s="31" t="s">
        <v>109</v>
      </c>
    </row>
    <row r="20" spans="1:46" ht="14.4" x14ac:dyDescent="0.3">
      <c r="A20" s="30" t="s">
        <v>89</v>
      </c>
      <c r="B20" s="31" t="s">
        <v>80</v>
      </c>
      <c r="C20" s="31" t="s">
        <v>728</v>
      </c>
      <c r="D20" s="31" t="s">
        <v>729</v>
      </c>
      <c r="E20" s="42">
        <v>14617.1</v>
      </c>
      <c r="F20" s="31" t="s">
        <v>538</v>
      </c>
      <c r="G20" s="107">
        <v>11437257163</v>
      </c>
      <c r="H20" s="107">
        <v>0</v>
      </c>
      <c r="I20" s="107">
        <v>0</v>
      </c>
      <c r="J20" s="107">
        <v>11899310140</v>
      </c>
      <c r="K20" s="107">
        <v>2443128020</v>
      </c>
      <c r="L20" s="107">
        <v>9456182120</v>
      </c>
      <c r="M20" s="31" t="s">
        <v>158</v>
      </c>
      <c r="N20" s="31" t="s">
        <v>730</v>
      </c>
      <c r="O20" s="31" t="s">
        <v>158</v>
      </c>
      <c r="P20" s="31" t="s">
        <v>641</v>
      </c>
      <c r="Q20" s="31" t="s">
        <v>642</v>
      </c>
      <c r="R20" s="31" t="s">
        <v>643</v>
      </c>
      <c r="S20" s="110">
        <v>337524260</v>
      </c>
      <c r="T20" s="83">
        <f>+DISPONIBLES[[#This Row],[Avalúo Total 2025]]-DISPONIBLES[[#This Row],[Avalúo Total 2024]]</f>
        <v>462052977</v>
      </c>
      <c r="U20" s="83">
        <f>+DISPONIBLES[[#This Row],[Avalúo Afecto Dic-2025]]-DISPONIBLES[[#This Row],[Avalúo Afecto Dic-2024]]</f>
        <v>9456182120</v>
      </c>
      <c r="V20" s="83">
        <f>+DISPONIBLES[[#This Row],[Avalúo Exento Dic-2025]]-DISPONIBLES[[#This Row],[Avalúo Exento Dic-2024]]</f>
        <v>2443128020</v>
      </c>
      <c r="W20" s="31"/>
      <c r="X20" s="31"/>
      <c r="Y20" s="32"/>
      <c r="Z20" s="31" t="s">
        <v>731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06">
        <v>2.7</v>
      </c>
      <c r="AL20" s="103">
        <v>34131.456000000006</v>
      </c>
      <c r="AM20" s="102">
        <v>2.7</v>
      </c>
      <c r="AN20" s="103">
        <v>34131.456000000006</v>
      </c>
      <c r="AO20" s="103"/>
      <c r="AP20" s="32">
        <v>44286</v>
      </c>
      <c r="AQ20" s="31" t="s">
        <v>101</v>
      </c>
      <c r="AR20" s="103">
        <v>34131.456000000006</v>
      </c>
      <c r="AS20" s="31" t="s">
        <v>101</v>
      </c>
      <c r="AT20" s="31"/>
    </row>
    <row r="21" spans="1:46" ht="14.4" x14ac:dyDescent="0.3">
      <c r="A21" s="30" t="s">
        <v>89</v>
      </c>
      <c r="B21" s="31" t="s">
        <v>80</v>
      </c>
      <c r="C21" s="31" t="s">
        <v>732</v>
      </c>
      <c r="D21" s="31" t="s">
        <v>729</v>
      </c>
      <c r="E21" s="42">
        <v>12984.42</v>
      </c>
      <c r="F21" s="31" t="s">
        <v>538</v>
      </c>
      <c r="G21" s="107">
        <v>11437257163</v>
      </c>
      <c r="H21" s="107">
        <v>0</v>
      </c>
      <c r="I21" s="107">
        <v>0</v>
      </c>
      <c r="J21" s="107">
        <v>11899310140</v>
      </c>
      <c r="K21" s="107">
        <v>2443128020</v>
      </c>
      <c r="L21" s="107">
        <v>9456182120</v>
      </c>
      <c r="M21" s="31" t="s">
        <v>158</v>
      </c>
      <c r="N21" s="31" t="s">
        <v>733</v>
      </c>
      <c r="O21" s="31" t="s">
        <v>158</v>
      </c>
      <c r="P21" s="31" t="s">
        <v>641</v>
      </c>
      <c r="Q21" s="31" t="s">
        <v>642</v>
      </c>
      <c r="R21" s="31" t="s">
        <v>643</v>
      </c>
      <c r="S21" s="110">
        <v>346686156</v>
      </c>
      <c r="T21" s="83">
        <f>+DISPONIBLES[[#This Row],[Avalúo Total 2025]]-DISPONIBLES[[#This Row],[Avalúo Total 2024]]</f>
        <v>462052977</v>
      </c>
      <c r="U21" s="83">
        <f>+DISPONIBLES[[#This Row],[Avalúo Afecto Dic-2025]]-DISPONIBLES[[#This Row],[Avalúo Afecto Dic-2024]]</f>
        <v>9456182120</v>
      </c>
      <c r="V21" s="83">
        <f>+DISPONIBLES[[#This Row],[Avalúo Exento Dic-2025]]-DISPONIBLES[[#This Row],[Avalúo Exento Dic-2024]]</f>
        <v>2443128020</v>
      </c>
      <c r="W21" s="31"/>
      <c r="X21" s="31"/>
      <c r="Y21" s="32"/>
      <c r="Z21" s="31" t="s">
        <v>734</v>
      </c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06">
        <v>2.85</v>
      </c>
      <c r="AL21" s="104">
        <v>37005.597000000002</v>
      </c>
      <c r="AM21" s="102">
        <v>2.85</v>
      </c>
      <c r="AN21" s="103">
        <v>37005.597000000002</v>
      </c>
      <c r="AO21" s="103"/>
      <c r="AP21" s="32">
        <v>44286</v>
      </c>
      <c r="AQ21" s="31" t="s">
        <v>101</v>
      </c>
      <c r="AR21" s="103">
        <v>37005.597000000002</v>
      </c>
      <c r="AS21" s="31" t="s">
        <v>101</v>
      </c>
      <c r="AT21" s="31"/>
    </row>
    <row r="22" spans="1:46" ht="14.4" x14ac:dyDescent="0.3">
      <c r="A22" s="30" t="s">
        <v>89</v>
      </c>
      <c r="B22" s="31" t="s">
        <v>80</v>
      </c>
      <c r="C22" s="31" t="s">
        <v>735</v>
      </c>
      <c r="D22" s="31" t="s">
        <v>729</v>
      </c>
      <c r="E22" s="42">
        <v>9832.43</v>
      </c>
      <c r="F22" s="31" t="s">
        <v>538</v>
      </c>
      <c r="G22" s="107">
        <v>11437257163</v>
      </c>
      <c r="H22" s="107">
        <v>0</v>
      </c>
      <c r="I22" s="107">
        <v>0</v>
      </c>
      <c r="J22" s="107">
        <v>11899310140</v>
      </c>
      <c r="K22" s="107">
        <v>2443128020</v>
      </c>
      <c r="L22" s="107">
        <v>9456182120</v>
      </c>
      <c r="M22" s="31" t="s">
        <v>158</v>
      </c>
      <c r="N22" s="31" t="s">
        <v>736</v>
      </c>
      <c r="O22" s="31" t="s">
        <v>158</v>
      </c>
      <c r="P22" s="31" t="s">
        <v>641</v>
      </c>
      <c r="Q22" s="31" t="s">
        <v>642</v>
      </c>
      <c r="R22" s="31" t="s">
        <v>643</v>
      </c>
      <c r="S22" s="110">
        <v>262527503</v>
      </c>
      <c r="T22" s="83">
        <f>+DISPONIBLES[[#This Row],[Avalúo Total 2025]]-DISPONIBLES[[#This Row],[Avalúo Total 2024]]</f>
        <v>462052977</v>
      </c>
      <c r="U22" s="83">
        <f>+DISPONIBLES[[#This Row],[Avalúo Afecto Dic-2025]]-DISPONIBLES[[#This Row],[Avalúo Afecto Dic-2024]]</f>
        <v>9456182120</v>
      </c>
      <c r="V22" s="83">
        <f>+DISPONIBLES[[#This Row],[Avalúo Exento Dic-2025]]-DISPONIBLES[[#This Row],[Avalúo Exento Dic-2024]]</f>
        <v>2443128020</v>
      </c>
      <c r="W22" s="31"/>
      <c r="X22" s="31"/>
      <c r="Y22" s="32"/>
      <c r="Z22" s="31" t="s">
        <v>737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06">
        <v>2.8</v>
      </c>
      <c r="AL22" s="104">
        <v>27530.795599999998</v>
      </c>
      <c r="AM22" s="102">
        <v>2.8</v>
      </c>
      <c r="AN22" s="103">
        <v>27530.795599999998</v>
      </c>
      <c r="AO22" s="103">
        <v>17206.490000000002</v>
      </c>
      <c r="AP22" s="32">
        <v>44286</v>
      </c>
      <c r="AQ22" s="31" t="s">
        <v>101</v>
      </c>
      <c r="AR22" s="103">
        <v>27530.795599999998</v>
      </c>
      <c r="AS22" s="31" t="s">
        <v>88</v>
      </c>
      <c r="AT22" s="31"/>
    </row>
    <row r="23" spans="1:46" ht="14.4" x14ac:dyDescent="0.3">
      <c r="A23" s="30" t="s">
        <v>89</v>
      </c>
      <c r="B23" s="31" t="s">
        <v>80</v>
      </c>
      <c r="C23" s="31" t="s">
        <v>738</v>
      </c>
      <c r="D23" s="31" t="s">
        <v>729</v>
      </c>
      <c r="E23" s="42">
        <v>14464.17</v>
      </c>
      <c r="F23" s="31" t="s">
        <v>538</v>
      </c>
      <c r="G23" s="107">
        <v>11437257163</v>
      </c>
      <c r="H23" s="107">
        <v>0</v>
      </c>
      <c r="I23" s="107">
        <v>0</v>
      </c>
      <c r="J23" s="107">
        <v>11899310140</v>
      </c>
      <c r="K23" s="107">
        <v>2443128020</v>
      </c>
      <c r="L23" s="107">
        <v>9456182120</v>
      </c>
      <c r="M23" s="31" t="s">
        <v>158</v>
      </c>
      <c r="N23" s="31" t="s">
        <v>739</v>
      </c>
      <c r="O23" s="31" t="s">
        <v>158</v>
      </c>
      <c r="P23" s="31" t="s">
        <v>641</v>
      </c>
      <c r="Q23" s="31" t="s">
        <v>642</v>
      </c>
      <c r="R23" s="31" t="s">
        <v>643</v>
      </c>
      <c r="S23" s="110">
        <v>386195724</v>
      </c>
      <c r="T23" s="83">
        <f>+DISPONIBLES[[#This Row],[Avalúo Total 2025]]-DISPONIBLES[[#This Row],[Avalúo Total 2024]]</f>
        <v>462052977</v>
      </c>
      <c r="U23" s="83">
        <f>+DISPONIBLES[[#This Row],[Avalúo Afecto Dic-2025]]-DISPONIBLES[[#This Row],[Avalúo Afecto Dic-2024]]</f>
        <v>9456182120</v>
      </c>
      <c r="V23" s="83">
        <f>+DISPONIBLES[[#This Row],[Avalúo Exento Dic-2025]]-DISPONIBLES[[#This Row],[Avalúo Exento Dic-2024]]</f>
        <v>2443128020</v>
      </c>
      <c r="W23" s="31"/>
      <c r="X23" s="31"/>
      <c r="Y23" s="32"/>
      <c r="Z23" s="31" t="s">
        <v>740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06">
        <v>2.8</v>
      </c>
      <c r="AL23" s="104">
        <v>40499.675999999999</v>
      </c>
      <c r="AM23" s="102">
        <v>2.2499399182888729</v>
      </c>
      <c r="AN23" s="103">
        <v>32543.513467916368</v>
      </c>
      <c r="AO23" s="103">
        <v>22780.46</v>
      </c>
      <c r="AP23" s="32">
        <v>44235</v>
      </c>
      <c r="AQ23" s="31" t="s">
        <v>108</v>
      </c>
      <c r="AR23" s="103">
        <v>32543.513467916368</v>
      </c>
      <c r="AS23" s="31" t="s">
        <v>88</v>
      </c>
      <c r="AT23" s="31" t="s">
        <v>109</v>
      </c>
    </row>
    <row r="24" spans="1:46" ht="14.4" x14ac:dyDescent="0.3">
      <c r="A24" s="30" t="s">
        <v>89</v>
      </c>
      <c r="B24" s="31" t="s">
        <v>80</v>
      </c>
      <c r="C24" s="31" t="s">
        <v>741</v>
      </c>
      <c r="D24" s="31" t="s">
        <v>742</v>
      </c>
      <c r="E24" s="42">
        <v>14951.66</v>
      </c>
      <c r="F24" s="31" t="s">
        <v>538</v>
      </c>
      <c r="G24" s="107">
        <v>2991450701</v>
      </c>
      <c r="H24" s="107">
        <v>0</v>
      </c>
      <c r="I24" s="107">
        <v>0</v>
      </c>
      <c r="J24" s="107">
        <v>3054270209</v>
      </c>
      <c r="K24" s="107">
        <v>371978735</v>
      </c>
      <c r="L24" s="107">
        <v>2682291474</v>
      </c>
      <c r="M24" s="31"/>
      <c r="N24" s="31" t="s">
        <v>743</v>
      </c>
      <c r="O24" s="31" t="s">
        <v>743</v>
      </c>
      <c r="P24" s="31" t="s">
        <v>641</v>
      </c>
      <c r="Q24" s="31" t="s">
        <v>642</v>
      </c>
      <c r="R24" s="31" t="s">
        <v>643</v>
      </c>
      <c r="S24" s="110">
        <v>456569743</v>
      </c>
      <c r="T24" s="83">
        <f>+DISPONIBLES[[#This Row],[Avalúo Total 2025]]-DISPONIBLES[[#This Row],[Avalúo Total 2024]]</f>
        <v>62819508</v>
      </c>
      <c r="U24" s="83">
        <f>+DISPONIBLES[[#This Row],[Avalúo Afecto Dic-2025]]-DISPONIBLES[[#This Row],[Avalúo Afecto Dic-2024]]</f>
        <v>2682291474</v>
      </c>
      <c r="V24" s="83">
        <f>+DISPONIBLES[[#This Row],[Avalúo Exento Dic-2025]]-DISPONIBLES[[#This Row],[Avalúo Exento Dic-2024]]</f>
        <v>371978735</v>
      </c>
      <c r="W24" s="31"/>
      <c r="X24" s="31"/>
      <c r="Y24" s="32"/>
      <c r="Z24" s="31" t="s">
        <v>744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06">
        <v>3.470584537101566</v>
      </c>
      <c r="AL24" s="104">
        <v>51891</v>
      </c>
      <c r="AM24" s="102">
        <v>2.8017941256606238</v>
      </c>
      <c r="AN24" s="103">
        <v>41891.473156874919</v>
      </c>
      <c r="AO24" s="103"/>
      <c r="AP24" s="32">
        <v>45489</v>
      </c>
      <c r="AQ24" s="31" t="s">
        <v>154</v>
      </c>
      <c r="AR24" s="103">
        <v>49296.45</v>
      </c>
      <c r="AS24" s="31" t="s">
        <v>88</v>
      </c>
      <c r="AT24" s="31"/>
    </row>
    <row r="25" spans="1:46" ht="14.4" x14ac:dyDescent="0.3">
      <c r="A25" s="30" t="s">
        <v>89</v>
      </c>
      <c r="B25" s="31" t="s">
        <v>80</v>
      </c>
      <c r="C25" s="31" t="s">
        <v>745</v>
      </c>
      <c r="D25" s="31" t="s">
        <v>746</v>
      </c>
      <c r="E25" s="42">
        <v>8870.74</v>
      </c>
      <c r="F25" s="31" t="s">
        <v>538</v>
      </c>
      <c r="G25" s="107">
        <v>420562323</v>
      </c>
      <c r="H25" s="107">
        <v>0</v>
      </c>
      <c r="I25" s="107">
        <v>420562323</v>
      </c>
      <c r="J25" s="107">
        <v>1652797663</v>
      </c>
      <c r="K25" s="107">
        <v>1652797663</v>
      </c>
      <c r="L25" s="107">
        <v>0</v>
      </c>
      <c r="M25" s="31" t="s">
        <v>167</v>
      </c>
      <c r="N25" s="31" t="s">
        <v>747</v>
      </c>
      <c r="O25" s="31" t="s">
        <v>747</v>
      </c>
      <c r="P25" s="31" t="s">
        <v>641</v>
      </c>
      <c r="Q25" s="31" t="s">
        <v>642</v>
      </c>
      <c r="R25" s="31" t="s">
        <v>680</v>
      </c>
      <c r="S25" s="110">
        <v>264201423</v>
      </c>
      <c r="T25" s="83">
        <f>+DISPONIBLES[[#This Row],[Avalúo Total 2025]]-DISPONIBLES[[#This Row],[Avalúo Total 2024]]</f>
        <v>1232235340</v>
      </c>
      <c r="U25" s="83">
        <f>+DISPONIBLES[[#This Row],[Avalúo Afecto Dic-2025]]-DISPONIBLES[[#This Row],[Avalúo Afecto Dic-2024]]</f>
        <v>-420562323</v>
      </c>
      <c r="V25" s="83">
        <f>+DISPONIBLES[[#This Row],[Avalúo Exento Dic-2025]]-DISPONIBLES[[#This Row],[Avalúo Exento Dic-2024]]</f>
        <v>1652797663</v>
      </c>
      <c r="W25" s="31"/>
      <c r="X25" s="31"/>
      <c r="Y25" s="32"/>
      <c r="Z25" s="31" t="s">
        <v>748</v>
      </c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06">
        <v>3.3</v>
      </c>
      <c r="AL25" s="103">
        <v>29274.3</v>
      </c>
      <c r="AM25" s="102">
        <v>3.2236011519851204</v>
      </c>
      <c r="AN25" s="103">
        <v>61534.532365487983</v>
      </c>
      <c r="AO25" s="103"/>
      <c r="AP25" s="32">
        <v>45496</v>
      </c>
      <c r="AQ25" s="31" t="s">
        <v>154</v>
      </c>
      <c r="AR25" s="103">
        <v>61534.532365487983</v>
      </c>
      <c r="AS25" s="31" t="s">
        <v>154</v>
      </c>
      <c r="AT25" s="31" t="s">
        <v>109</v>
      </c>
    </row>
    <row r="26" spans="1:46" ht="14.4" x14ac:dyDescent="0.3">
      <c r="A26" s="30" t="s">
        <v>89</v>
      </c>
      <c r="B26" s="31" t="s">
        <v>80</v>
      </c>
      <c r="C26" s="31" t="s">
        <v>749</v>
      </c>
      <c r="D26" s="31" t="s">
        <v>750</v>
      </c>
      <c r="E26" s="42">
        <v>1643.51</v>
      </c>
      <c r="F26" s="31" t="s">
        <v>538</v>
      </c>
      <c r="G26" s="107">
        <v>101445527</v>
      </c>
      <c r="H26" s="107">
        <v>0</v>
      </c>
      <c r="I26" s="107">
        <v>101445527</v>
      </c>
      <c r="J26" s="107">
        <v>105543818</v>
      </c>
      <c r="K26" s="107">
        <v>105543818</v>
      </c>
      <c r="L26" s="107">
        <v>0</v>
      </c>
      <c r="M26" s="31" t="s">
        <v>167</v>
      </c>
      <c r="N26" s="31" t="s">
        <v>751</v>
      </c>
      <c r="O26" s="31" t="s">
        <v>751</v>
      </c>
      <c r="P26" s="31" t="s">
        <v>641</v>
      </c>
      <c r="Q26" s="31" t="s">
        <v>642</v>
      </c>
      <c r="R26" s="31" t="s">
        <v>680</v>
      </c>
      <c r="S26" s="110">
        <v>48962590</v>
      </c>
      <c r="T26" s="83">
        <f>+DISPONIBLES[[#This Row],[Avalúo Total 2025]]-DISPONIBLES[[#This Row],[Avalúo Total 2024]]</f>
        <v>4098291</v>
      </c>
      <c r="U26" s="83">
        <f>+DISPONIBLES[[#This Row],[Avalúo Afecto Dic-2025]]-DISPONIBLES[[#This Row],[Avalúo Afecto Dic-2024]]</f>
        <v>-101445527</v>
      </c>
      <c r="V26" s="83">
        <f>+DISPONIBLES[[#This Row],[Avalúo Exento Dic-2025]]-DISPONIBLES[[#This Row],[Avalúo Exento Dic-2024]]</f>
        <v>105543818</v>
      </c>
      <c r="W26" s="31"/>
      <c r="X26" s="31"/>
      <c r="Y26" s="32"/>
      <c r="Z26" s="31" t="s">
        <v>752</v>
      </c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06">
        <v>3.3</v>
      </c>
      <c r="AL26" s="103">
        <v>5425.2</v>
      </c>
      <c r="AM26" s="102">
        <v>3.2236011519851204</v>
      </c>
      <c r="AN26" s="103">
        <v>3272.2643670363259</v>
      </c>
      <c r="AO26" s="103"/>
      <c r="AP26" s="32">
        <v>45496</v>
      </c>
      <c r="AQ26" s="31" t="s">
        <v>154</v>
      </c>
      <c r="AR26" s="103">
        <v>5379.0549454757411</v>
      </c>
      <c r="AS26" s="31" t="s">
        <v>154</v>
      </c>
      <c r="AT26" s="31" t="s">
        <v>109</v>
      </c>
    </row>
    <row r="27" spans="1:46" ht="14.4" x14ac:dyDescent="0.3">
      <c r="A27" s="30" t="s">
        <v>89</v>
      </c>
      <c r="B27" s="31" t="s">
        <v>80</v>
      </c>
      <c r="C27" s="31" t="s">
        <v>753</v>
      </c>
      <c r="D27" s="31" t="s">
        <v>754</v>
      </c>
      <c r="E27" s="42">
        <v>5011.87</v>
      </c>
      <c r="F27" s="31" t="s">
        <v>538</v>
      </c>
      <c r="G27" s="107">
        <v>275328491</v>
      </c>
      <c r="H27" s="107">
        <v>0</v>
      </c>
      <c r="I27" s="107">
        <v>275328491</v>
      </c>
      <c r="J27" s="107">
        <v>593400621</v>
      </c>
      <c r="K27" s="107">
        <v>593400621</v>
      </c>
      <c r="L27" s="107">
        <v>0</v>
      </c>
      <c r="M27" s="31" t="s">
        <v>167</v>
      </c>
      <c r="N27" s="31" t="s">
        <v>755</v>
      </c>
      <c r="O27" s="31" t="s">
        <v>755</v>
      </c>
      <c r="P27" s="31" t="s">
        <v>641</v>
      </c>
      <c r="Q27" s="31" t="s">
        <v>642</v>
      </c>
      <c r="R27" s="31" t="s">
        <v>680</v>
      </c>
      <c r="S27" s="110">
        <v>149270379</v>
      </c>
      <c r="T27" s="83">
        <f>+DISPONIBLES[[#This Row],[Avalúo Total 2025]]-DISPONIBLES[[#This Row],[Avalúo Total 2024]]</f>
        <v>318072130</v>
      </c>
      <c r="U27" s="83">
        <f>+DISPONIBLES[[#This Row],[Avalúo Afecto Dic-2025]]-DISPONIBLES[[#This Row],[Avalúo Afecto Dic-2024]]</f>
        <v>-275328491</v>
      </c>
      <c r="V27" s="83">
        <f>+DISPONIBLES[[#This Row],[Avalúo Exento Dic-2025]]-DISPONIBLES[[#This Row],[Avalúo Exento Dic-2024]]</f>
        <v>593400621</v>
      </c>
      <c r="W27" s="31"/>
      <c r="X27" s="31"/>
      <c r="Y27" s="32"/>
      <c r="Z27" s="31" t="s">
        <v>756</v>
      </c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06">
        <v>3.3</v>
      </c>
      <c r="AL27" s="103">
        <v>16539.599999999999</v>
      </c>
      <c r="AM27" s="102">
        <v>3.2236011519851204</v>
      </c>
      <c r="AN27" s="103">
        <v>28758.681144441205</v>
      </c>
      <c r="AO27" s="103"/>
      <c r="AP27" s="32">
        <v>45496</v>
      </c>
      <c r="AQ27" s="31" t="s">
        <v>154</v>
      </c>
      <c r="AR27" s="103">
        <v>28758.681144441205</v>
      </c>
      <c r="AS27" s="31" t="s">
        <v>154</v>
      </c>
      <c r="AT27" s="31" t="s">
        <v>109</v>
      </c>
    </row>
    <row r="28" spans="1:46" ht="14.4" x14ac:dyDescent="0.3">
      <c r="A28" s="30" t="s">
        <v>89</v>
      </c>
      <c r="B28" s="31" t="s">
        <v>80</v>
      </c>
      <c r="C28" s="31" t="s">
        <v>757</v>
      </c>
      <c r="D28" s="31" t="s">
        <v>758</v>
      </c>
      <c r="E28" s="42">
        <v>4739.49</v>
      </c>
      <c r="F28" s="31" t="s">
        <v>538</v>
      </c>
      <c r="G28" s="107">
        <v>263897734</v>
      </c>
      <c r="H28" s="107">
        <v>0</v>
      </c>
      <c r="I28" s="107">
        <v>263897734</v>
      </c>
      <c r="J28" s="107">
        <v>274558921</v>
      </c>
      <c r="K28" s="107">
        <v>274558921</v>
      </c>
      <c r="L28" s="107">
        <v>0</v>
      </c>
      <c r="M28" s="31" t="s">
        <v>167</v>
      </c>
      <c r="N28" s="31" t="s">
        <v>759</v>
      </c>
      <c r="O28" s="31" t="s">
        <v>759</v>
      </c>
      <c r="P28" s="31" t="s">
        <v>641</v>
      </c>
      <c r="Q28" s="31" t="s">
        <v>642</v>
      </c>
      <c r="R28" s="31" t="s">
        <v>680</v>
      </c>
      <c r="S28" s="110">
        <v>141139730</v>
      </c>
      <c r="T28" s="83">
        <f>+DISPONIBLES[[#This Row],[Avalúo Total 2025]]-DISPONIBLES[[#This Row],[Avalúo Total 2024]]</f>
        <v>10661187</v>
      </c>
      <c r="U28" s="83">
        <f>+DISPONIBLES[[#This Row],[Avalúo Afecto Dic-2025]]-DISPONIBLES[[#This Row],[Avalúo Afecto Dic-2024]]</f>
        <v>-263897734</v>
      </c>
      <c r="V28" s="83">
        <f>+DISPONIBLES[[#This Row],[Avalúo Exento Dic-2025]]-DISPONIBLES[[#This Row],[Avalúo Exento Dic-2024]]</f>
        <v>274558921</v>
      </c>
      <c r="W28" s="31"/>
      <c r="X28" s="31"/>
      <c r="Y28" s="32"/>
      <c r="Z28" s="31" t="s">
        <v>760</v>
      </c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06">
        <v>2.1994964368352545</v>
      </c>
      <c r="AL28" s="103">
        <v>10422.758164224095</v>
      </c>
      <c r="AM28" s="102">
        <v>3.2236011519851204</v>
      </c>
      <c r="AN28" s="103">
        <v>14312.831133866206</v>
      </c>
      <c r="AO28" s="103"/>
      <c r="AP28" s="32">
        <v>45496</v>
      </c>
      <c r="AQ28" s="31" t="s">
        <v>154</v>
      </c>
      <c r="AR28" s="103">
        <v>15505.68210864327</v>
      </c>
      <c r="AS28" s="31" t="s">
        <v>154</v>
      </c>
      <c r="AT28" s="31" t="s">
        <v>109</v>
      </c>
    </row>
    <row r="29" spans="1:46" ht="14.4" x14ac:dyDescent="0.3">
      <c r="A29" s="30" t="s">
        <v>89</v>
      </c>
      <c r="B29" s="31" t="s">
        <v>80</v>
      </c>
      <c r="C29" s="31" t="s">
        <v>761</v>
      </c>
      <c r="D29" s="31" t="s">
        <v>762</v>
      </c>
      <c r="E29" s="42">
        <v>4425.59</v>
      </c>
      <c r="F29" s="31" t="s">
        <v>538</v>
      </c>
      <c r="G29" s="107">
        <v>247971431</v>
      </c>
      <c r="H29" s="107">
        <v>0</v>
      </c>
      <c r="I29" s="107">
        <v>247971431</v>
      </c>
      <c r="J29" s="107">
        <v>257989212</v>
      </c>
      <c r="K29" s="107">
        <v>257989212</v>
      </c>
      <c r="L29" s="107">
        <v>0</v>
      </c>
      <c r="M29" s="31" t="s">
        <v>167</v>
      </c>
      <c r="N29" s="31" t="s">
        <v>763</v>
      </c>
      <c r="O29" s="31" t="s">
        <v>763</v>
      </c>
      <c r="P29" s="31" t="s">
        <v>641</v>
      </c>
      <c r="Q29" s="31" t="s">
        <v>642</v>
      </c>
      <c r="R29" s="31" t="s">
        <v>680</v>
      </c>
      <c r="S29" s="110">
        <v>132621907</v>
      </c>
      <c r="T29" s="83">
        <f>+DISPONIBLES[[#This Row],[Avalúo Total 2025]]-DISPONIBLES[[#This Row],[Avalúo Total 2024]]</f>
        <v>10017781</v>
      </c>
      <c r="U29" s="83">
        <f>+DISPONIBLES[[#This Row],[Avalúo Afecto Dic-2025]]-DISPONIBLES[[#This Row],[Avalúo Afecto Dic-2024]]</f>
        <v>-247971431</v>
      </c>
      <c r="V29" s="83">
        <f>+DISPONIBLES[[#This Row],[Avalúo Exento Dic-2025]]-DISPONIBLES[[#This Row],[Avalúo Exento Dic-2024]]</f>
        <v>257989212</v>
      </c>
      <c r="W29" s="31"/>
      <c r="X29" s="31"/>
      <c r="Y29" s="32"/>
      <c r="Z29" s="31" t="s">
        <v>764</v>
      </c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06">
        <v>3.3</v>
      </c>
      <c r="AL29" s="103">
        <v>14694.9</v>
      </c>
      <c r="AM29" s="102">
        <v>3.2236011519851204</v>
      </c>
      <c r="AN29" s="103">
        <v>13461.510322929926</v>
      </c>
      <c r="AO29" s="103"/>
      <c r="AP29" s="32">
        <v>45496</v>
      </c>
      <c r="AQ29" s="31" t="s">
        <v>154</v>
      </c>
      <c r="AR29" s="103">
        <v>14569.909776279485</v>
      </c>
      <c r="AS29" s="31" t="s">
        <v>88</v>
      </c>
      <c r="AT29" s="31" t="s">
        <v>109</v>
      </c>
    </row>
    <row r="30" spans="1:46" ht="14.4" x14ac:dyDescent="0.3">
      <c r="A30" s="30" t="s">
        <v>89</v>
      </c>
      <c r="B30" s="31" t="s">
        <v>80</v>
      </c>
      <c r="C30" s="31" t="s">
        <v>765</v>
      </c>
      <c r="D30" s="31" t="s">
        <v>766</v>
      </c>
      <c r="E30" s="42">
        <v>6412.44</v>
      </c>
      <c r="F30" s="31" t="s">
        <v>538</v>
      </c>
      <c r="G30" s="107">
        <v>332935294</v>
      </c>
      <c r="H30" s="107">
        <v>0</v>
      </c>
      <c r="I30" s="107">
        <v>332935294</v>
      </c>
      <c r="J30" s="107">
        <v>346385525</v>
      </c>
      <c r="K30" s="107"/>
      <c r="L30" s="107">
        <v>346385525</v>
      </c>
      <c r="M30" s="31" t="s">
        <v>167</v>
      </c>
      <c r="N30" s="31" t="s">
        <v>767</v>
      </c>
      <c r="O30" s="31" t="s">
        <v>767</v>
      </c>
      <c r="P30" s="31" t="s">
        <v>641</v>
      </c>
      <c r="Q30" s="31" t="s">
        <v>642</v>
      </c>
      <c r="R30" s="31" t="s">
        <v>680</v>
      </c>
      <c r="S30" s="110">
        <v>190966016</v>
      </c>
      <c r="T30" s="83">
        <f>+DISPONIBLES[[#This Row],[Avalúo Total 2025]]-DISPONIBLES[[#This Row],[Avalúo Total 2024]]</f>
        <v>13450231</v>
      </c>
      <c r="U30" s="83">
        <f>+DISPONIBLES[[#This Row],[Avalúo Afecto Dic-2025]]-DISPONIBLES[[#This Row],[Avalúo Afecto Dic-2024]]</f>
        <v>13450231</v>
      </c>
      <c r="V30" s="83">
        <f>+DISPONIBLES[[#This Row],[Avalúo Exento Dic-2025]]-DISPONIBLES[[#This Row],[Avalúo Exento Dic-2024]]</f>
        <v>0</v>
      </c>
      <c r="W30" s="31"/>
      <c r="X30" s="31"/>
      <c r="Y30" s="32"/>
      <c r="Z30" s="31" t="s">
        <v>768</v>
      </c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06">
        <v>3.3</v>
      </c>
      <c r="AL30" s="103">
        <v>21159.599999999999</v>
      </c>
      <c r="AM30" s="102">
        <v>3.2236011519851204</v>
      </c>
      <c r="AN30" s="103">
        <v>12823.019714727716</v>
      </c>
      <c r="AO30" s="103"/>
      <c r="AP30" s="32">
        <v>45496</v>
      </c>
      <c r="AQ30" s="31" t="s">
        <v>154</v>
      </c>
      <c r="AR30" s="103">
        <v>20979.623059848203</v>
      </c>
      <c r="AS30" s="31" t="s">
        <v>88</v>
      </c>
      <c r="AT30" s="31" t="s">
        <v>109</v>
      </c>
    </row>
    <row r="31" spans="1:46" ht="14.4" x14ac:dyDescent="0.3">
      <c r="A31" s="30" t="s">
        <v>89</v>
      </c>
      <c r="B31" s="31" t="s">
        <v>80</v>
      </c>
      <c r="C31" s="31" t="s">
        <v>769</v>
      </c>
      <c r="D31" s="31" t="s">
        <v>770</v>
      </c>
      <c r="E31" s="42">
        <v>3932.62</v>
      </c>
      <c r="F31" s="31" t="s">
        <v>538</v>
      </c>
      <c r="G31" s="107">
        <v>224933827</v>
      </c>
      <c r="H31" s="107">
        <v>0</v>
      </c>
      <c r="I31" s="107">
        <v>224933827</v>
      </c>
      <c r="J31" s="107">
        <v>234020914</v>
      </c>
      <c r="K31" s="107">
        <v>234020914</v>
      </c>
      <c r="L31" s="107">
        <v>0</v>
      </c>
      <c r="M31" s="31" t="s">
        <v>167</v>
      </c>
      <c r="N31" s="31" t="s">
        <v>771</v>
      </c>
      <c r="O31" s="31" t="s">
        <v>771</v>
      </c>
      <c r="P31" s="31" t="s">
        <v>641</v>
      </c>
      <c r="Q31" s="31" t="s">
        <v>642</v>
      </c>
      <c r="R31" s="31" t="s">
        <v>680</v>
      </c>
      <c r="S31" s="110">
        <v>117134956</v>
      </c>
      <c r="T31" s="83">
        <f>+DISPONIBLES[[#This Row],[Avalúo Total 2025]]-DISPONIBLES[[#This Row],[Avalúo Total 2024]]</f>
        <v>9087087</v>
      </c>
      <c r="U31" s="83">
        <f>+DISPONIBLES[[#This Row],[Avalúo Afecto Dic-2025]]-DISPONIBLES[[#This Row],[Avalúo Afecto Dic-2024]]</f>
        <v>-224933827</v>
      </c>
      <c r="V31" s="83">
        <f>+DISPONIBLES[[#This Row],[Avalúo Exento Dic-2025]]-DISPONIBLES[[#This Row],[Avalúo Exento Dic-2024]]</f>
        <v>234020914</v>
      </c>
      <c r="W31" s="31"/>
      <c r="X31" s="31"/>
      <c r="Y31" s="32"/>
      <c r="Z31" s="31" t="s">
        <v>772</v>
      </c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06">
        <v>3.3</v>
      </c>
      <c r="AL31" s="103">
        <v>12978.9</v>
      </c>
      <c r="AM31" s="102">
        <v>3.2236011519851204</v>
      </c>
      <c r="AN31" s="103">
        <v>11891.88757776616</v>
      </c>
      <c r="AO31" s="103"/>
      <c r="AP31" s="32">
        <v>45496</v>
      </c>
      <c r="AQ31" s="31" t="s">
        <v>154</v>
      </c>
      <c r="AR31" s="103">
        <v>12868.505535618058</v>
      </c>
      <c r="AS31" s="31" t="s">
        <v>154</v>
      </c>
      <c r="AT31" s="31" t="s">
        <v>109</v>
      </c>
    </row>
    <row r="32" spans="1:46" ht="14.4" x14ac:dyDescent="0.3">
      <c r="A32" s="30" t="s">
        <v>89</v>
      </c>
      <c r="B32" s="31" t="s">
        <v>80</v>
      </c>
      <c r="C32" s="31" t="s">
        <v>773</v>
      </c>
      <c r="D32" s="31" t="s">
        <v>774</v>
      </c>
      <c r="E32" s="42">
        <v>4207.04</v>
      </c>
      <c r="F32" s="31" t="s">
        <v>538</v>
      </c>
      <c r="G32" s="107">
        <v>237438429</v>
      </c>
      <c r="H32" s="107">
        <v>0</v>
      </c>
      <c r="I32" s="107">
        <v>237438429</v>
      </c>
      <c r="J32" s="107">
        <v>247030688</v>
      </c>
      <c r="K32" s="107">
        <v>247030688</v>
      </c>
      <c r="L32" s="107">
        <v>0</v>
      </c>
      <c r="M32" s="31" t="s">
        <v>167</v>
      </c>
      <c r="N32" s="31" t="s">
        <v>775</v>
      </c>
      <c r="O32" s="31" t="s">
        <v>775</v>
      </c>
      <c r="P32" s="31" t="s">
        <v>641</v>
      </c>
      <c r="Q32" s="31" t="s">
        <v>642</v>
      </c>
      <c r="R32" s="31" t="s">
        <v>680</v>
      </c>
      <c r="S32" s="110">
        <v>125295388</v>
      </c>
      <c r="T32" s="83">
        <f>+DISPONIBLES[[#This Row],[Avalúo Total 2025]]-DISPONIBLES[[#This Row],[Avalúo Total 2024]]</f>
        <v>9592259</v>
      </c>
      <c r="U32" s="83">
        <f>+DISPONIBLES[[#This Row],[Avalúo Afecto Dic-2025]]-DISPONIBLES[[#This Row],[Avalúo Afecto Dic-2024]]</f>
        <v>-237438429</v>
      </c>
      <c r="V32" s="83">
        <f>+DISPONIBLES[[#This Row],[Avalúo Exento Dic-2025]]-DISPONIBLES[[#This Row],[Avalúo Exento Dic-2024]]</f>
        <v>247030688</v>
      </c>
      <c r="W32" s="31"/>
      <c r="X32" s="31"/>
      <c r="Y32" s="32"/>
      <c r="Z32" s="31" t="s">
        <v>776</v>
      </c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06">
        <v>3.3</v>
      </c>
      <c r="AL32" s="103">
        <v>13883.099999999999</v>
      </c>
      <c r="AM32" s="102">
        <v>3.2236011519851204</v>
      </c>
      <c r="AN32" s="103">
        <v>11891.88757776616</v>
      </c>
      <c r="AO32" s="103"/>
      <c r="AP32" s="32">
        <v>45496</v>
      </c>
      <c r="AQ32" s="31" t="s">
        <v>154</v>
      </c>
      <c r="AR32" s="103">
        <v>13765.014693197347</v>
      </c>
      <c r="AS32" s="31" t="s">
        <v>88</v>
      </c>
      <c r="AT32" s="31" t="s">
        <v>109</v>
      </c>
    </row>
    <row r="33" spans="1:46" ht="14.4" x14ac:dyDescent="0.3">
      <c r="A33" s="30" t="s">
        <v>777</v>
      </c>
      <c r="B33" s="31" t="s">
        <v>401</v>
      </c>
      <c r="C33" s="31" t="s">
        <v>778</v>
      </c>
      <c r="D33" s="31" t="s">
        <v>779</v>
      </c>
      <c r="E33" s="42">
        <v>172913.66</v>
      </c>
      <c r="F33" s="31" t="s">
        <v>538</v>
      </c>
      <c r="G33" s="107">
        <v>244593145</v>
      </c>
      <c r="H33" s="107">
        <v>46221791</v>
      </c>
      <c r="I33" s="107">
        <v>198371354</v>
      </c>
      <c r="J33" s="107">
        <v>249729601</v>
      </c>
      <c r="K33" s="107">
        <v>47192449</v>
      </c>
      <c r="L33" s="107">
        <v>202537152</v>
      </c>
      <c r="M33" s="31" t="s">
        <v>780</v>
      </c>
      <c r="N33" s="31" t="s">
        <v>781</v>
      </c>
      <c r="O33" s="31" t="s">
        <v>780</v>
      </c>
      <c r="P33" s="31" t="s">
        <v>641</v>
      </c>
      <c r="Q33" s="31" t="s">
        <v>642</v>
      </c>
      <c r="R33" s="31" t="s">
        <v>782</v>
      </c>
      <c r="S33" s="113">
        <v>166236338</v>
      </c>
      <c r="T33" s="101">
        <f>+DISPONIBLES[[#This Row],[Avalúo Total 2025]]-DISPONIBLES[[#This Row],[Avalúo Total 2024]]</f>
        <v>5136456</v>
      </c>
      <c r="U33" s="101">
        <f>+DISPONIBLES[[#This Row],[Avalúo Afecto Dic-2025]]-DISPONIBLES[[#This Row],[Avalúo Afecto Dic-2024]]</f>
        <v>4165798</v>
      </c>
      <c r="V33" s="101">
        <f>+DISPONIBLES[[#This Row],[Avalúo Exento Dic-2025]]-DISPONIBLES[[#This Row],[Avalúo Exento Dic-2024]]</f>
        <v>970658</v>
      </c>
      <c r="W33" s="31"/>
      <c r="X33" s="31"/>
      <c r="Y33" s="32"/>
      <c r="Z33" s="31" t="s">
        <v>783</v>
      </c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06">
        <v>0.83475025351685495</v>
      </c>
      <c r="AL33" s="103">
        <v>137418.89899214689</v>
      </c>
      <c r="AM33" s="102">
        <v>0.85</v>
      </c>
      <c r="AN33" s="103">
        <v>140597</v>
      </c>
      <c r="AO33" s="103"/>
      <c r="AP33" s="32">
        <v>44364</v>
      </c>
      <c r="AQ33" s="31" t="s">
        <v>663</v>
      </c>
      <c r="AR33" s="103">
        <v>140597</v>
      </c>
      <c r="AS33" s="31" t="s">
        <v>664</v>
      </c>
      <c r="AT33" s="31" t="s">
        <v>155</v>
      </c>
    </row>
    <row r="34" spans="1:46" ht="14.4" x14ac:dyDescent="0.3">
      <c r="A34" s="30" t="s">
        <v>777</v>
      </c>
      <c r="B34" s="31" t="s">
        <v>401</v>
      </c>
      <c r="C34" s="31" t="s">
        <v>784</v>
      </c>
      <c r="D34" s="31" t="s">
        <v>779</v>
      </c>
      <c r="E34" s="42">
        <v>114818.47</v>
      </c>
      <c r="F34" s="31" t="s">
        <v>538</v>
      </c>
      <c r="G34" s="107">
        <v>244593145</v>
      </c>
      <c r="H34" s="107">
        <v>46221791</v>
      </c>
      <c r="I34" s="107">
        <v>198371354</v>
      </c>
      <c r="J34" s="107">
        <v>249729601</v>
      </c>
      <c r="K34" s="107">
        <v>47192449</v>
      </c>
      <c r="L34" s="107">
        <v>202537152</v>
      </c>
      <c r="M34" s="31" t="s">
        <v>780</v>
      </c>
      <c r="N34" s="31" t="s">
        <v>785</v>
      </c>
      <c r="O34" s="31" t="s">
        <v>780</v>
      </c>
      <c r="P34" s="31" t="s">
        <v>641</v>
      </c>
      <c r="Q34" s="31" t="s">
        <v>642</v>
      </c>
      <c r="R34" s="31" t="s">
        <v>782</v>
      </c>
      <c r="S34" s="113">
        <v>106820035</v>
      </c>
      <c r="T34" s="101">
        <f>+DISPONIBLES[[#This Row],[Avalúo Total 2025]]-DISPONIBLES[[#This Row],[Avalúo Total 2024]]</f>
        <v>5136456</v>
      </c>
      <c r="U34" s="101">
        <f>+DISPONIBLES[[#This Row],[Avalúo Afecto Dic-2025]]-DISPONIBLES[[#This Row],[Avalúo Afecto Dic-2024]]</f>
        <v>4165798</v>
      </c>
      <c r="V34" s="101">
        <f>+DISPONIBLES[[#This Row],[Avalúo Exento Dic-2025]]-DISPONIBLES[[#This Row],[Avalúo Exento Dic-2024]]</f>
        <v>970658</v>
      </c>
      <c r="W34" s="31"/>
      <c r="X34" s="31"/>
      <c r="Y34" s="32"/>
      <c r="Z34" s="31" t="s">
        <v>786</v>
      </c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06">
        <v>0.83475025351685495</v>
      </c>
      <c r="AL34" s="103">
        <v>88302.544670321644</v>
      </c>
      <c r="AM34" s="102">
        <v>0.75</v>
      </c>
      <c r="AN34" s="103">
        <v>79124</v>
      </c>
      <c r="AO34" s="103"/>
      <c r="AP34" s="32">
        <v>44410</v>
      </c>
      <c r="AQ34" s="31" t="s">
        <v>663</v>
      </c>
      <c r="AR34" s="103">
        <v>79124</v>
      </c>
      <c r="AS34" s="31" t="s">
        <v>664</v>
      </c>
      <c r="AT34" s="31" t="s">
        <v>155</v>
      </c>
    </row>
    <row r="35" spans="1:46" ht="14.4" x14ac:dyDescent="0.3">
      <c r="A35" s="30" t="s">
        <v>777</v>
      </c>
      <c r="B35" s="31" t="s">
        <v>401</v>
      </c>
      <c r="C35" s="31" t="s">
        <v>787</v>
      </c>
      <c r="D35" s="31" t="s">
        <v>779</v>
      </c>
      <c r="E35" s="42">
        <v>446509.23</v>
      </c>
      <c r="F35" s="31" t="s">
        <v>538</v>
      </c>
      <c r="G35" s="107">
        <v>244593145</v>
      </c>
      <c r="H35" s="107">
        <v>46221791</v>
      </c>
      <c r="I35" s="107">
        <v>198371354</v>
      </c>
      <c r="J35" s="107">
        <v>249729601</v>
      </c>
      <c r="K35" s="107">
        <v>47192449</v>
      </c>
      <c r="L35" s="107">
        <v>202537152</v>
      </c>
      <c r="M35" s="31" t="s">
        <v>780</v>
      </c>
      <c r="N35" s="31" t="s">
        <v>788</v>
      </c>
      <c r="O35" s="31" t="s">
        <v>780</v>
      </c>
      <c r="P35" s="31" t="s">
        <v>641</v>
      </c>
      <c r="Q35" s="31" t="s">
        <v>642</v>
      </c>
      <c r="R35" s="31" t="s">
        <v>782</v>
      </c>
      <c r="S35" s="113">
        <v>420568010</v>
      </c>
      <c r="T35" s="83">
        <f>+DISPONIBLES[[#This Row],[Avalúo Total 2025]]-DISPONIBLES[[#This Row],[Avalúo Total 2024]]</f>
        <v>5136456</v>
      </c>
      <c r="U35" s="83">
        <f>+DISPONIBLES[[#This Row],[Avalúo Afecto Dic-2025]]-DISPONIBLES[[#This Row],[Avalúo Afecto Dic-2024]]</f>
        <v>4165798</v>
      </c>
      <c r="V35" s="83">
        <f>+DISPONIBLES[[#This Row],[Avalúo Exento Dic-2025]]-DISPONIBLES[[#This Row],[Avalúo Exento Dic-2024]]</f>
        <v>970658</v>
      </c>
      <c r="W35" s="31"/>
      <c r="X35" s="31"/>
      <c r="Y35" s="32"/>
      <c r="Z35" s="31" t="s">
        <v>789</v>
      </c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06">
        <v>0.83475025351685495</v>
      </c>
      <c r="AL35" s="103">
        <v>347661.6104411651</v>
      </c>
      <c r="AM35" s="102">
        <v>0.60287292401675752</v>
      </c>
      <c r="AN35" s="103">
        <v>251088</v>
      </c>
      <c r="AO35" s="103"/>
      <c r="AP35" s="32">
        <v>43696</v>
      </c>
      <c r="AQ35" s="31" t="s">
        <v>663</v>
      </c>
      <c r="AR35" s="103">
        <v>251088</v>
      </c>
      <c r="AS35" s="31" t="s">
        <v>664</v>
      </c>
      <c r="AT35" s="31" t="s">
        <v>722</v>
      </c>
    </row>
    <row r="36" spans="1:46" ht="14.4" x14ac:dyDescent="0.3">
      <c r="A36" s="30" t="s">
        <v>777</v>
      </c>
      <c r="B36" s="31" t="s">
        <v>401</v>
      </c>
      <c r="C36" s="31" t="s">
        <v>790</v>
      </c>
      <c r="D36" s="31" t="s">
        <v>779</v>
      </c>
      <c r="E36" s="42">
        <v>9072.6299999999992</v>
      </c>
      <c r="F36" s="31" t="s">
        <v>538</v>
      </c>
      <c r="G36" s="107">
        <v>244593145</v>
      </c>
      <c r="H36" s="107">
        <v>46221791</v>
      </c>
      <c r="I36" s="107">
        <v>198371354</v>
      </c>
      <c r="J36" s="107">
        <v>249729601</v>
      </c>
      <c r="K36" s="107">
        <v>47192449</v>
      </c>
      <c r="L36" s="107">
        <v>202537152</v>
      </c>
      <c r="M36" s="31" t="s">
        <v>780</v>
      </c>
      <c r="N36" s="31" t="s">
        <v>791</v>
      </c>
      <c r="O36" s="31" t="s">
        <v>780</v>
      </c>
      <c r="P36" s="31" t="s">
        <v>641</v>
      </c>
      <c r="Q36" s="31" t="s">
        <v>642</v>
      </c>
      <c r="R36" s="31" t="s">
        <v>782</v>
      </c>
      <c r="S36" s="113">
        <v>7236137</v>
      </c>
      <c r="T36" s="83">
        <f>+DISPONIBLES[[#This Row],[Avalúo Total 2025]]-DISPONIBLES[[#This Row],[Avalúo Total 2024]]</f>
        <v>5136456</v>
      </c>
      <c r="U36" s="83">
        <f>+DISPONIBLES[[#This Row],[Avalúo Afecto Dic-2025]]-DISPONIBLES[[#This Row],[Avalúo Afecto Dic-2024]]</f>
        <v>4165798</v>
      </c>
      <c r="V36" s="83">
        <f>+DISPONIBLES[[#This Row],[Avalúo Exento Dic-2025]]-DISPONIBLES[[#This Row],[Avalúo Exento Dic-2024]]</f>
        <v>970658</v>
      </c>
      <c r="W36" s="31"/>
      <c r="X36" s="31"/>
      <c r="Y36" s="32"/>
      <c r="Z36" s="31" t="s">
        <v>792</v>
      </c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06">
        <v>0.83475025351685495</v>
      </c>
      <c r="AL36" s="103">
        <v>5981.7368416764302</v>
      </c>
      <c r="AM36" s="102">
        <v>0.65</v>
      </c>
      <c r="AN36" s="103">
        <v>4657.835</v>
      </c>
      <c r="AO36" s="103"/>
      <c r="AP36" s="32">
        <v>43375</v>
      </c>
      <c r="AQ36" s="31" t="s">
        <v>94</v>
      </c>
      <c r="AR36" s="103">
        <v>4657.835</v>
      </c>
      <c r="AS36" s="31" t="s">
        <v>88</v>
      </c>
      <c r="AT36" s="31"/>
    </row>
    <row r="37" spans="1:46" ht="14.4" x14ac:dyDescent="0.3">
      <c r="A37" s="30" t="s">
        <v>793</v>
      </c>
      <c r="B37" s="31" t="s">
        <v>794</v>
      </c>
      <c r="C37" s="31" t="s">
        <v>795</v>
      </c>
      <c r="D37" s="31" t="s">
        <v>638</v>
      </c>
      <c r="E37" s="42">
        <v>256200</v>
      </c>
      <c r="F37" s="31" t="s">
        <v>538</v>
      </c>
      <c r="G37" s="107">
        <v>13515423</v>
      </c>
      <c r="H37" s="107">
        <v>0</v>
      </c>
      <c r="I37" s="107">
        <v>13515423</v>
      </c>
      <c r="J37" s="107">
        <v>14061432</v>
      </c>
      <c r="K37" s="107">
        <v>0</v>
      </c>
      <c r="L37" s="107">
        <v>14061432</v>
      </c>
      <c r="M37" s="31" t="s">
        <v>639</v>
      </c>
      <c r="N37" s="31" t="s">
        <v>796</v>
      </c>
      <c r="O37" s="31" t="s">
        <v>796</v>
      </c>
      <c r="P37" s="31" t="s">
        <v>641</v>
      </c>
      <c r="Q37" s="31" t="s">
        <v>642</v>
      </c>
      <c r="R37" s="31" t="s">
        <v>782</v>
      </c>
      <c r="S37" s="110">
        <v>103060493</v>
      </c>
      <c r="T37" s="83">
        <f>+DISPONIBLES[[#This Row],[Avalúo Total 2025]]-DISPONIBLES[[#This Row],[Avalúo Total 2024]]</f>
        <v>546009</v>
      </c>
      <c r="U37" s="83">
        <f>+DISPONIBLES[[#This Row],[Avalúo Afecto Dic-2025]]-DISPONIBLES[[#This Row],[Avalúo Afecto Dic-2024]]</f>
        <v>546009</v>
      </c>
      <c r="V37" s="83">
        <f>+DISPONIBLES[[#This Row],[Avalúo Exento Dic-2025]]-DISPONIBLES[[#This Row],[Avalúo Exento Dic-2024]]</f>
        <v>0</v>
      </c>
      <c r="W37" s="31"/>
      <c r="X37" s="31"/>
      <c r="Y37" s="32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18">
        <v>0.13770101483216235</v>
      </c>
      <c r="AL37" s="120">
        <v>35278.999999999993</v>
      </c>
      <c r="AM37" s="102">
        <v>0.13770101483216235</v>
      </c>
      <c r="AN37" s="103">
        <v>35278.999999999993</v>
      </c>
      <c r="AO37" s="103"/>
      <c r="AP37" s="32">
        <v>43869</v>
      </c>
      <c r="AQ37" s="31" t="s">
        <v>797</v>
      </c>
      <c r="AR37" s="103">
        <v>35278.999999999993</v>
      </c>
      <c r="AS37" s="31" t="s">
        <v>88</v>
      </c>
      <c r="AT37" s="31"/>
    </row>
    <row r="38" spans="1:46" ht="14.4" x14ac:dyDescent="0.3">
      <c r="A38" s="30" t="s">
        <v>89</v>
      </c>
      <c r="B38" s="31" t="s">
        <v>80</v>
      </c>
      <c r="C38" s="31" t="s">
        <v>798</v>
      </c>
      <c r="D38" s="31" t="s">
        <v>677</v>
      </c>
      <c r="E38" s="42">
        <v>4738.7</v>
      </c>
      <c r="F38" s="31" t="s">
        <v>538</v>
      </c>
      <c r="G38" s="107">
        <v>3512458689</v>
      </c>
      <c r="H38" s="107">
        <v>339519250</v>
      </c>
      <c r="I38" s="107">
        <v>3172939439</v>
      </c>
      <c r="J38" s="107">
        <v>1339463892</v>
      </c>
      <c r="K38" s="107">
        <v>353235466</v>
      </c>
      <c r="L38" s="107">
        <v>986228426</v>
      </c>
      <c r="M38" s="31" t="s">
        <v>678</v>
      </c>
      <c r="N38" s="31" t="s">
        <v>799</v>
      </c>
      <c r="O38" s="31" t="s">
        <v>678</v>
      </c>
      <c r="P38" s="31" t="s">
        <v>641</v>
      </c>
      <c r="Q38" s="31" t="s">
        <v>642</v>
      </c>
      <c r="R38" s="31" t="s">
        <v>800</v>
      </c>
      <c r="S38" s="110">
        <v>126176394</v>
      </c>
      <c r="T38" s="83">
        <f>+DISPONIBLES[[#This Row],[Avalúo Total 2025]]-DISPONIBLES[[#This Row],[Avalúo Total 2024]]</f>
        <v>-2172994797</v>
      </c>
      <c r="U38" s="83">
        <f>+DISPONIBLES[[#This Row],[Avalúo Afecto Dic-2025]]-DISPONIBLES[[#This Row],[Avalúo Afecto Dic-2024]]</f>
        <v>-2186711013</v>
      </c>
      <c r="V38" s="83">
        <f>+DISPONIBLES[[#This Row],[Avalúo Exento Dic-2025]]-DISPONIBLES[[#This Row],[Avalúo Exento Dic-2024]]</f>
        <v>13716216</v>
      </c>
      <c r="W38" s="31"/>
      <c r="X38" s="31"/>
      <c r="Y38" s="32"/>
      <c r="Z38" s="31" t="s">
        <v>801</v>
      </c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06">
        <f>11270/4739</f>
        <v>2.3781388478581977</v>
      </c>
      <c r="AL38" s="103">
        <v>11270</v>
      </c>
      <c r="AM38" s="102">
        <v>2.1994964368352545</v>
      </c>
      <c r="AN38" s="103">
        <v>11270</v>
      </c>
      <c r="AO38" s="103"/>
      <c r="AP38" s="32">
        <v>45596</v>
      </c>
      <c r="AQ38" s="31" t="s">
        <v>94</v>
      </c>
      <c r="AR38" s="103">
        <v>11270</v>
      </c>
      <c r="AS38" s="31" t="s">
        <v>94</v>
      </c>
      <c r="AT38" s="31"/>
    </row>
    <row r="39" spans="1:46" ht="14.4" x14ac:dyDescent="0.3">
      <c r="A39" s="30" t="s">
        <v>382</v>
      </c>
      <c r="B39" s="31" t="s">
        <v>80</v>
      </c>
      <c r="C39" s="31" t="s">
        <v>802</v>
      </c>
      <c r="D39" s="31" t="s">
        <v>803</v>
      </c>
      <c r="E39" s="42">
        <v>31165</v>
      </c>
      <c r="F39" s="31" t="s">
        <v>538</v>
      </c>
      <c r="G39" s="107">
        <v>379162158</v>
      </c>
      <c r="H39" s="107"/>
      <c r="I39" s="107">
        <v>379162158</v>
      </c>
      <c r="J39" s="107">
        <v>387124442</v>
      </c>
      <c r="K39" s="107"/>
      <c r="L39" s="107">
        <v>387124442</v>
      </c>
      <c r="M39" s="31"/>
      <c r="N39" s="31"/>
      <c r="O39" s="31" t="s">
        <v>804</v>
      </c>
      <c r="P39" s="31" t="s">
        <v>641</v>
      </c>
      <c r="Q39" s="31" t="s">
        <v>642</v>
      </c>
      <c r="R39" s="31" t="s">
        <v>643</v>
      </c>
      <c r="S39" s="112">
        <v>640111892</v>
      </c>
      <c r="T39" s="83">
        <f>+DISPONIBLES[[#This Row],[Avalúo Total 2025]]-DISPONIBLES[[#This Row],[Avalúo Total 2024]]</f>
        <v>7962284</v>
      </c>
      <c r="U39" s="83">
        <f>+DISPONIBLES[[#This Row],[Avalúo Afecto Dic-2025]]-DISPONIBLES[[#This Row],[Avalúo Afecto Dic-2024]]</f>
        <v>7962284</v>
      </c>
      <c r="V39" s="83">
        <f>+DISPONIBLES[[#This Row],[Avalúo Exento Dic-2025]]-DISPONIBLES[[#This Row],[Avalúo Exento Dic-2024]]</f>
        <v>0</v>
      </c>
      <c r="W39" s="31"/>
      <c r="X39" s="31"/>
      <c r="Y39" s="32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06">
        <v>2.2000000000000002</v>
      </c>
      <c r="AL39" s="103">
        <v>68562.494000000006</v>
      </c>
      <c r="AM39" s="102">
        <v>0.95</v>
      </c>
      <c r="AN39" s="103">
        <v>29606.531499999997</v>
      </c>
      <c r="AO39" s="103"/>
      <c r="AP39" s="32">
        <v>42642</v>
      </c>
      <c r="AQ39" s="31" t="s">
        <v>805</v>
      </c>
      <c r="AR39" s="103">
        <v>29606.531499999997</v>
      </c>
      <c r="AS39" s="31" t="s">
        <v>88</v>
      </c>
      <c r="AT39" s="31"/>
    </row>
    <row r="40" spans="1:46" ht="14.4" x14ac:dyDescent="0.3">
      <c r="A40" s="30" t="s">
        <v>382</v>
      </c>
      <c r="B40" s="31" t="s">
        <v>80</v>
      </c>
      <c r="C40" s="31" t="s">
        <v>806</v>
      </c>
      <c r="D40" s="31" t="s">
        <v>807</v>
      </c>
      <c r="E40" s="42">
        <v>26090</v>
      </c>
      <c r="F40" s="31" t="s">
        <v>538</v>
      </c>
      <c r="G40" s="107">
        <v>317418280</v>
      </c>
      <c r="H40" s="107">
        <v>59176792</v>
      </c>
      <c r="I40" s="107">
        <v>258241488</v>
      </c>
      <c r="J40" s="107">
        <v>324083963</v>
      </c>
      <c r="K40" s="107">
        <v>60419486</v>
      </c>
      <c r="L40" s="107">
        <v>263664477</v>
      </c>
      <c r="M40" s="31"/>
      <c r="N40" s="31"/>
      <c r="O40" s="31" t="s">
        <v>808</v>
      </c>
      <c r="P40" s="31" t="s">
        <v>641</v>
      </c>
      <c r="Q40" s="31" t="s">
        <v>642</v>
      </c>
      <c r="R40" s="31" t="s">
        <v>643</v>
      </c>
      <c r="S40" s="112">
        <v>535876364</v>
      </c>
      <c r="T40" s="83">
        <f>+DISPONIBLES[[#This Row],[Avalúo Total 2025]]-DISPONIBLES[[#This Row],[Avalúo Total 2024]]</f>
        <v>6665683</v>
      </c>
      <c r="U40" s="83">
        <f>+DISPONIBLES[[#This Row],[Avalúo Afecto Dic-2025]]-DISPONIBLES[[#This Row],[Avalúo Afecto Dic-2024]]</f>
        <v>5422989</v>
      </c>
      <c r="V40" s="83">
        <f>+DISPONIBLES[[#This Row],[Avalúo Exento Dic-2025]]-DISPONIBLES[[#This Row],[Avalúo Exento Dic-2024]]</f>
        <v>1242694</v>
      </c>
      <c r="W40" s="31"/>
      <c r="X40" s="31"/>
      <c r="Y40" s="32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06">
        <v>1.2</v>
      </c>
      <c r="AL40" s="103">
        <v>31307.892</v>
      </c>
      <c r="AM40" s="102">
        <v>0.43</v>
      </c>
      <c r="AN40" s="103">
        <v>11218.6613</v>
      </c>
      <c r="AO40" s="103"/>
      <c r="AP40" s="32">
        <v>42642</v>
      </c>
      <c r="AQ40" s="31" t="s">
        <v>805</v>
      </c>
      <c r="AR40" s="103">
        <v>11218.6613</v>
      </c>
      <c r="AS40" s="31" t="s">
        <v>88</v>
      </c>
      <c r="AT40" s="31"/>
    </row>
    <row r="41" spans="1:46" ht="14.4" x14ac:dyDescent="0.3">
      <c r="A41" s="30" t="s">
        <v>89</v>
      </c>
      <c r="B41" s="31" t="s">
        <v>80</v>
      </c>
      <c r="C41" s="31" t="s">
        <v>809</v>
      </c>
      <c r="D41" s="31" t="s">
        <v>810</v>
      </c>
      <c r="E41" s="42">
        <v>182588.36</v>
      </c>
      <c r="F41" s="31" t="s">
        <v>538</v>
      </c>
      <c r="G41" s="107">
        <v>7638105957</v>
      </c>
      <c r="H41" s="107">
        <v>0</v>
      </c>
      <c r="I41" s="107">
        <v>7638105957</v>
      </c>
      <c r="J41" s="107">
        <v>7798503739</v>
      </c>
      <c r="K41" s="107">
        <v>0</v>
      </c>
      <c r="L41" s="107">
        <v>7798503739</v>
      </c>
      <c r="M41" s="31"/>
      <c r="N41" s="31" t="s">
        <v>811</v>
      </c>
      <c r="O41" s="31" t="s">
        <v>811</v>
      </c>
      <c r="P41" s="31" t="s">
        <v>641</v>
      </c>
      <c r="Q41" s="31" t="s">
        <v>642</v>
      </c>
      <c r="R41" s="31" t="s">
        <v>643</v>
      </c>
      <c r="S41" s="110">
        <v>3636060213</v>
      </c>
      <c r="T41" s="83">
        <f>+DISPONIBLES[[#This Row],[Avalúo Total 2025]]-DISPONIBLES[[#This Row],[Avalúo Total 2024]]</f>
        <v>160397782</v>
      </c>
      <c r="U41" s="83">
        <f>+DISPONIBLES[[#This Row],[Avalúo Afecto Dic-2025]]-DISPONIBLES[[#This Row],[Avalúo Afecto Dic-2024]]</f>
        <v>160397782</v>
      </c>
      <c r="V41" s="83">
        <f>+DISPONIBLES[[#This Row],[Avalúo Exento Dic-2025]]-DISPONIBLES[[#This Row],[Avalúo Exento Dic-2024]]</f>
        <v>0</v>
      </c>
      <c r="W41" s="31"/>
      <c r="X41" s="31"/>
      <c r="Y41" s="32"/>
      <c r="Z41" s="31" t="s">
        <v>812</v>
      </c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06">
        <v>1.4</v>
      </c>
      <c r="AL41" s="103">
        <v>255623.70399999997</v>
      </c>
      <c r="AM41" s="102">
        <v>0.97689519706618821</v>
      </c>
      <c r="AN41" s="103">
        <v>178369.6919241921</v>
      </c>
      <c r="AO41" s="103"/>
      <c r="AP41" s="32">
        <v>41383</v>
      </c>
      <c r="AQ41" s="31" t="s">
        <v>94</v>
      </c>
      <c r="AR41" s="103">
        <v>178369.6919241921</v>
      </c>
      <c r="AS41" s="31" t="s">
        <v>154</v>
      </c>
      <c r="AT41" s="31"/>
    </row>
    <row r="42" spans="1:46" ht="14.4" x14ac:dyDescent="0.3">
      <c r="A42" s="30" t="s">
        <v>89</v>
      </c>
      <c r="B42" s="31" t="s">
        <v>80</v>
      </c>
      <c r="C42" s="31" t="s">
        <v>813</v>
      </c>
      <c r="D42" s="31" t="s">
        <v>814</v>
      </c>
      <c r="E42" s="42">
        <v>79749.95</v>
      </c>
      <c r="F42" s="31" t="s">
        <v>538</v>
      </c>
      <c r="G42" s="107">
        <v>3163296700</v>
      </c>
      <c r="H42" s="107">
        <v>0</v>
      </c>
      <c r="I42" s="107">
        <v>3163296700</v>
      </c>
      <c r="J42" s="107">
        <v>3229724918</v>
      </c>
      <c r="K42" s="107">
        <v>179977232</v>
      </c>
      <c r="L42" s="107">
        <v>3049747686</v>
      </c>
      <c r="M42" s="31"/>
      <c r="N42" s="31" t="s">
        <v>815</v>
      </c>
      <c r="O42" s="31" t="s">
        <v>815</v>
      </c>
      <c r="P42" s="31" t="s">
        <v>641</v>
      </c>
      <c r="Q42" s="31" t="s">
        <v>642</v>
      </c>
      <c r="R42" s="31" t="s">
        <v>643</v>
      </c>
      <c r="S42" s="110">
        <v>1588138587</v>
      </c>
      <c r="T42" s="83">
        <f>+DISPONIBLES[[#This Row],[Avalúo Total 2025]]-DISPONIBLES[[#This Row],[Avalúo Total 2024]]</f>
        <v>66428218</v>
      </c>
      <c r="U42" s="83">
        <f>+DISPONIBLES[[#This Row],[Avalúo Afecto Dic-2025]]-DISPONIBLES[[#This Row],[Avalúo Afecto Dic-2024]]</f>
        <v>-113549014</v>
      </c>
      <c r="V42" s="83">
        <f>+DISPONIBLES[[#This Row],[Avalúo Exento Dic-2025]]-DISPONIBLES[[#This Row],[Avalúo Exento Dic-2024]]</f>
        <v>179977232</v>
      </c>
      <c r="W42" s="31"/>
      <c r="X42" s="31"/>
      <c r="Y42" s="32"/>
      <c r="Z42" s="31" t="s">
        <v>816</v>
      </c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06">
        <f>97272/79750</f>
        <v>1.2197115987460816</v>
      </c>
      <c r="AL42" s="103">
        <v>97272</v>
      </c>
      <c r="AM42" s="102">
        <v>1.2852684639498431</v>
      </c>
      <c r="AN42" s="103">
        <v>97272</v>
      </c>
      <c r="AO42" s="103"/>
      <c r="AP42" s="32">
        <v>45596</v>
      </c>
      <c r="AQ42" s="31" t="s">
        <v>94</v>
      </c>
      <c r="AR42" s="103">
        <v>102500.09573657678</v>
      </c>
      <c r="AS42" s="31" t="s">
        <v>94</v>
      </c>
      <c r="AT42" s="31"/>
    </row>
    <row r="43" spans="1:46" ht="14.4" x14ac:dyDescent="0.3">
      <c r="A43" s="30" t="s">
        <v>89</v>
      </c>
      <c r="B43" s="31" t="s">
        <v>80</v>
      </c>
      <c r="C43" s="31" t="s">
        <v>817</v>
      </c>
      <c r="D43" s="31" t="s">
        <v>818</v>
      </c>
      <c r="E43" s="42">
        <v>51905.31</v>
      </c>
      <c r="F43" s="31" t="s">
        <v>538</v>
      </c>
      <c r="G43" s="107">
        <v>2467524264</v>
      </c>
      <c r="H43" s="107">
        <v>365434138</v>
      </c>
      <c r="I43" s="107">
        <v>2102090126</v>
      </c>
      <c r="J43" s="107">
        <v>608939454</v>
      </c>
      <c r="K43" s="107">
        <v>0</v>
      </c>
      <c r="L43" s="107">
        <v>608939454</v>
      </c>
      <c r="M43" s="31" t="s">
        <v>819</v>
      </c>
      <c r="N43" s="31" t="s">
        <v>820</v>
      </c>
      <c r="O43" s="31" t="s">
        <v>820</v>
      </c>
      <c r="P43" s="31" t="s">
        <v>641</v>
      </c>
      <c r="Q43" s="31" t="s">
        <v>642</v>
      </c>
      <c r="R43" s="31" t="s">
        <v>643</v>
      </c>
      <c r="S43" s="110">
        <v>1503543249</v>
      </c>
      <c r="T43" s="83">
        <f>+DISPONIBLES[[#This Row],[Avalúo Total 2025]]-DISPONIBLES[[#This Row],[Avalúo Total 2024]]</f>
        <v>-1858584810</v>
      </c>
      <c r="U43" s="83">
        <f>+DISPONIBLES[[#This Row],[Avalúo Afecto Dic-2025]]-DISPONIBLES[[#This Row],[Avalúo Afecto Dic-2024]]</f>
        <v>-1493150672</v>
      </c>
      <c r="V43" s="83">
        <f>+DISPONIBLES[[#This Row],[Avalúo Exento Dic-2025]]-DISPONIBLES[[#This Row],[Avalúo Exento Dic-2024]]</f>
        <v>-365434138</v>
      </c>
      <c r="W43" s="31"/>
      <c r="X43" s="31"/>
      <c r="Y43" s="32"/>
      <c r="Z43" s="31" t="s">
        <v>821</v>
      </c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06">
        <v>1.4</v>
      </c>
      <c r="AL43" s="103">
        <v>72667.433999999994</v>
      </c>
      <c r="AM43" s="102">
        <v>1.0706740701595381</v>
      </c>
      <c r="AN43" s="103">
        <v>55573.669520592572</v>
      </c>
      <c r="AO43" s="103"/>
      <c r="AP43" s="32">
        <v>43479</v>
      </c>
      <c r="AQ43" s="31" t="s">
        <v>645</v>
      </c>
      <c r="AR43" s="103">
        <v>55573.669520592572</v>
      </c>
      <c r="AS43" s="31" t="s">
        <v>645</v>
      </c>
      <c r="AT43" s="31" t="s">
        <v>109</v>
      </c>
    </row>
    <row r="44" spans="1:46" ht="14.4" x14ac:dyDescent="0.3">
      <c r="A44" s="30" t="s">
        <v>89</v>
      </c>
      <c r="B44" s="31" t="s">
        <v>80</v>
      </c>
      <c r="C44" s="31" t="s">
        <v>822</v>
      </c>
      <c r="D44" s="31" t="s">
        <v>823</v>
      </c>
      <c r="E44" s="42">
        <v>69139.570000000007</v>
      </c>
      <c r="F44" s="31" t="s">
        <v>538</v>
      </c>
      <c r="G44" s="107">
        <v>1588907749</v>
      </c>
      <c r="H44" s="107">
        <v>0</v>
      </c>
      <c r="I44" s="107">
        <v>1588907749</v>
      </c>
      <c r="J44" s="107">
        <v>1622274304</v>
      </c>
      <c r="K44" s="107">
        <v>0</v>
      </c>
      <c r="L44" s="107">
        <v>1622274304</v>
      </c>
      <c r="M44" s="31" t="s">
        <v>819</v>
      </c>
      <c r="N44" s="31" t="s">
        <v>824</v>
      </c>
      <c r="O44" s="31" t="s">
        <v>824</v>
      </c>
      <c r="P44" s="31" t="s">
        <v>641</v>
      </c>
      <c r="Q44" s="31" t="s">
        <v>642</v>
      </c>
      <c r="R44" s="31" t="s">
        <v>643</v>
      </c>
      <c r="S44" s="110">
        <v>1128744754</v>
      </c>
      <c r="T44" s="83">
        <f>+DISPONIBLES[[#This Row],[Avalúo Total 2025]]-DISPONIBLES[[#This Row],[Avalúo Total 2024]]</f>
        <v>33366555</v>
      </c>
      <c r="U44" s="83">
        <f>+DISPONIBLES[[#This Row],[Avalúo Afecto Dic-2025]]-DISPONIBLES[[#This Row],[Avalúo Afecto Dic-2024]]</f>
        <v>33366555</v>
      </c>
      <c r="V44" s="83">
        <f>+DISPONIBLES[[#This Row],[Avalúo Exento Dic-2025]]-DISPONIBLES[[#This Row],[Avalúo Exento Dic-2024]]</f>
        <v>0</v>
      </c>
      <c r="W44" s="31"/>
      <c r="X44" s="31"/>
      <c r="Y44" s="32"/>
      <c r="Z44" s="31" t="s">
        <v>825</v>
      </c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06">
        <v>1.4</v>
      </c>
      <c r="AL44" s="103">
        <v>96795.398000000001</v>
      </c>
      <c r="AM44" s="102">
        <v>1.0706740701595381</v>
      </c>
      <c r="AN44" s="103">
        <v>74025.944820980309</v>
      </c>
      <c r="AO44" s="103"/>
      <c r="AP44" s="32">
        <v>43479</v>
      </c>
      <c r="AQ44" s="31" t="s">
        <v>645</v>
      </c>
      <c r="AR44" s="103">
        <v>74025.944820980309</v>
      </c>
      <c r="AS44" s="31" t="s">
        <v>645</v>
      </c>
      <c r="AT44" s="31" t="s">
        <v>109</v>
      </c>
    </row>
    <row r="45" spans="1:46" ht="14.4" x14ac:dyDescent="0.3">
      <c r="A45" s="30" t="s">
        <v>89</v>
      </c>
      <c r="B45" s="31" t="s">
        <v>80</v>
      </c>
      <c r="C45" s="31" t="s">
        <v>826</v>
      </c>
      <c r="D45" s="31" t="s">
        <v>827</v>
      </c>
      <c r="E45" s="42">
        <v>6760.77</v>
      </c>
      <c r="F45" s="31" t="s">
        <v>538</v>
      </c>
      <c r="G45" s="107">
        <v>350351804</v>
      </c>
      <c r="H45" s="107">
        <v>0</v>
      </c>
      <c r="I45" s="107">
        <v>350351804</v>
      </c>
      <c r="J45" s="107">
        <v>357709080</v>
      </c>
      <c r="K45" s="107">
        <v>0</v>
      </c>
      <c r="L45" s="107">
        <v>357709080</v>
      </c>
      <c r="M45" s="31" t="s">
        <v>828</v>
      </c>
      <c r="N45" s="31" t="s">
        <v>829</v>
      </c>
      <c r="O45" s="31" t="s">
        <v>829</v>
      </c>
      <c r="P45" s="31" t="s">
        <v>641</v>
      </c>
      <c r="Q45" s="31" t="s">
        <v>642</v>
      </c>
      <c r="R45" s="31" t="s">
        <v>643</v>
      </c>
      <c r="S45" s="110">
        <v>158072402</v>
      </c>
      <c r="T45" s="83">
        <f>+DISPONIBLES[[#This Row],[Avalúo Total 2025]]-DISPONIBLES[[#This Row],[Avalúo Total 2024]]</f>
        <v>7357276</v>
      </c>
      <c r="U45" s="83">
        <f>+DISPONIBLES[[#This Row],[Avalúo Afecto Dic-2025]]-DISPONIBLES[[#This Row],[Avalúo Afecto Dic-2024]]</f>
        <v>7357276</v>
      </c>
      <c r="V45" s="83">
        <f>+DISPONIBLES[[#This Row],[Avalúo Exento Dic-2025]]-DISPONIBLES[[#This Row],[Avalúo Exento Dic-2024]]</f>
        <v>0</v>
      </c>
      <c r="W45" s="31"/>
      <c r="X45" s="31"/>
      <c r="Y45" s="32"/>
      <c r="Z45" s="31" t="s">
        <v>830</v>
      </c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06">
        <f>20513/6761</f>
        <v>3.0340186362964059</v>
      </c>
      <c r="AL45" s="103">
        <v>20513</v>
      </c>
      <c r="AM45" s="102">
        <v>1.6</v>
      </c>
      <c r="AN45" s="103">
        <v>20513</v>
      </c>
      <c r="AO45" s="103"/>
      <c r="AP45" s="32">
        <v>45596</v>
      </c>
      <c r="AQ45" s="31" t="s">
        <v>94</v>
      </c>
      <c r="AR45" s="103">
        <v>10817.232000000002</v>
      </c>
      <c r="AS45" s="31" t="s">
        <v>94</v>
      </c>
      <c r="AT45" s="31"/>
    </row>
    <row r="46" spans="1:46" ht="14.4" x14ac:dyDescent="0.3">
      <c r="A46" s="30" t="s">
        <v>89</v>
      </c>
      <c r="B46" s="31" t="s">
        <v>80</v>
      </c>
      <c r="C46" s="31" t="s">
        <v>831</v>
      </c>
      <c r="D46" s="31" t="s">
        <v>832</v>
      </c>
      <c r="E46" s="42">
        <v>10021.299999999999</v>
      </c>
      <c r="F46" s="31" t="s">
        <v>538</v>
      </c>
      <c r="G46" s="107">
        <v>121918305</v>
      </c>
      <c r="H46" s="107">
        <v>10061513</v>
      </c>
      <c r="I46" s="107">
        <v>111856792</v>
      </c>
      <c r="J46" s="107">
        <v>124478551</v>
      </c>
      <c r="K46" s="107">
        <v>10272803</v>
      </c>
      <c r="L46" s="107">
        <v>114205748</v>
      </c>
      <c r="M46" s="31" t="s">
        <v>833</v>
      </c>
      <c r="N46" s="31" t="s">
        <v>834</v>
      </c>
      <c r="O46" s="31" t="s">
        <v>834</v>
      </c>
      <c r="P46" s="31" t="s">
        <v>641</v>
      </c>
      <c r="Q46" s="31" t="s">
        <v>642</v>
      </c>
      <c r="R46" s="31" t="s">
        <v>643</v>
      </c>
      <c r="S46" s="110">
        <v>560230818</v>
      </c>
      <c r="T46" s="83">
        <f>+DISPONIBLES[[#This Row],[Avalúo Total 2025]]-DISPONIBLES[[#This Row],[Avalúo Total 2024]]</f>
        <v>2560246</v>
      </c>
      <c r="U46" s="83">
        <f>+DISPONIBLES[[#This Row],[Avalúo Afecto Dic-2025]]-DISPONIBLES[[#This Row],[Avalúo Afecto Dic-2024]]</f>
        <v>2348956</v>
      </c>
      <c r="V46" s="83">
        <f>+DISPONIBLES[[#This Row],[Avalúo Exento Dic-2025]]-DISPONIBLES[[#This Row],[Avalúo Exento Dic-2024]]</f>
        <v>211290</v>
      </c>
      <c r="W46" s="31"/>
      <c r="X46" s="31"/>
      <c r="Y46" s="32"/>
      <c r="Z46" s="31" t="s">
        <v>835</v>
      </c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06">
        <v>1.6</v>
      </c>
      <c r="AL46" s="103">
        <v>16034.08</v>
      </c>
      <c r="AM46" s="102">
        <v>0.4</v>
      </c>
      <c r="AN46" s="103">
        <v>4008.52</v>
      </c>
      <c r="AO46" s="103"/>
      <c r="AP46" s="32"/>
      <c r="AQ46" s="31"/>
      <c r="AR46" s="103"/>
      <c r="AS46" s="31" t="s">
        <v>88</v>
      </c>
      <c r="AT46" s="31"/>
    </row>
    <row r="47" spans="1:46" ht="14.4" x14ac:dyDescent="0.3">
      <c r="A47" s="30" t="s">
        <v>89</v>
      </c>
      <c r="B47" s="31" t="s">
        <v>80</v>
      </c>
      <c r="C47" s="31" t="s">
        <v>836</v>
      </c>
      <c r="D47" s="31" t="s">
        <v>837</v>
      </c>
      <c r="E47" s="42">
        <v>13383.08</v>
      </c>
      <c r="F47" s="31" t="s">
        <v>538</v>
      </c>
      <c r="G47" s="107">
        <v>125765892</v>
      </c>
      <c r="H47" s="107">
        <v>14599536</v>
      </c>
      <c r="I47" s="107">
        <v>111166356</v>
      </c>
      <c r="J47" s="107">
        <v>128406935</v>
      </c>
      <c r="K47" s="107">
        <v>14906123</v>
      </c>
      <c r="L47" s="107">
        <v>113500812</v>
      </c>
      <c r="M47" s="31" t="s">
        <v>833</v>
      </c>
      <c r="N47" s="31" t="s">
        <v>838</v>
      </c>
      <c r="O47" s="31" t="s">
        <v>838</v>
      </c>
      <c r="P47" s="31" t="s">
        <v>641</v>
      </c>
      <c r="Q47" s="31" t="s">
        <v>642</v>
      </c>
      <c r="R47" s="31" t="s">
        <v>643</v>
      </c>
      <c r="S47" s="110">
        <v>748167787</v>
      </c>
      <c r="T47" s="83">
        <f>+DISPONIBLES[[#This Row],[Avalúo Total 2025]]-DISPONIBLES[[#This Row],[Avalúo Total 2024]]</f>
        <v>2641043</v>
      </c>
      <c r="U47" s="83">
        <f>+DISPONIBLES[[#This Row],[Avalúo Afecto Dic-2025]]-DISPONIBLES[[#This Row],[Avalúo Afecto Dic-2024]]</f>
        <v>2334456</v>
      </c>
      <c r="V47" s="83">
        <f>+DISPONIBLES[[#This Row],[Avalúo Exento Dic-2025]]-DISPONIBLES[[#This Row],[Avalúo Exento Dic-2024]]</f>
        <v>306587</v>
      </c>
      <c r="W47" s="31"/>
      <c r="X47" s="31"/>
      <c r="Y47" s="32"/>
      <c r="Z47" s="31" t="s">
        <v>839</v>
      </c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06">
        <v>1.6</v>
      </c>
      <c r="AL47" s="103">
        <v>21412.928</v>
      </c>
      <c r="AM47" s="102">
        <v>0.4</v>
      </c>
      <c r="AN47" s="103">
        <v>5353.232</v>
      </c>
      <c r="AO47" s="103"/>
      <c r="AP47" s="32"/>
      <c r="AQ47" s="31"/>
      <c r="AR47" s="103"/>
      <c r="AS47" s="31" t="s">
        <v>88</v>
      </c>
      <c r="AT47" s="31"/>
    </row>
    <row r="48" spans="1:46" ht="14.4" x14ac:dyDescent="0.3">
      <c r="A48" s="30" t="s">
        <v>89</v>
      </c>
      <c r="B48" s="31" t="s">
        <v>80</v>
      </c>
      <c r="C48" s="31" t="s">
        <v>840</v>
      </c>
      <c r="D48" s="31" t="s">
        <v>841</v>
      </c>
      <c r="E48" s="42">
        <v>15600</v>
      </c>
      <c r="F48" s="31" t="s">
        <v>538</v>
      </c>
      <c r="G48" s="107">
        <v>178818283</v>
      </c>
      <c r="H48" s="107"/>
      <c r="I48" s="107">
        <v>178818283</v>
      </c>
      <c r="J48" s="107">
        <v>186042351</v>
      </c>
      <c r="K48" s="107"/>
      <c r="L48" s="107">
        <v>186042351</v>
      </c>
      <c r="M48" s="31"/>
      <c r="N48" s="31"/>
      <c r="O48" s="31" t="s">
        <v>141</v>
      </c>
      <c r="P48" s="31" t="s">
        <v>641</v>
      </c>
      <c r="Q48" s="31" t="s">
        <v>642</v>
      </c>
      <c r="R48" s="31" t="s">
        <v>842</v>
      </c>
      <c r="S48" s="110">
        <v>71221122</v>
      </c>
      <c r="T48" s="83">
        <f>+DISPONIBLES[[#This Row],[Avalúo Total 2025]]-DISPONIBLES[[#This Row],[Avalúo Total 2024]]</f>
        <v>7224068</v>
      </c>
      <c r="U48" s="83">
        <f>+DISPONIBLES[[#This Row],[Avalúo Afecto Dic-2025]]-DISPONIBLES[[#This Row],[Avalúo Afecto Dic-2024]]</f>
        <v>7224068</v>
      </c>
      <c r="V48" s="83">
        <f>+DISPONIBLES[[#This Row],[Avalúo Exento Dic-2025]]-DISPONIBLES[[#This Row],[Avalúo Exento Dic-2024]]</f>
        <v>0</v>
      </c>
      <c r="W48" s="31"/>
      <c r="X48" s="31"/>
      <c r="Y48" s="32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06">
        <v>1.6</v>
      </c>
      <c r="AL48" s="103">
        <v>2038.384</v>
      </c>
      <c r="AM48" s="102">
        <v>0.4</v>
      </c>
      <c r="AN48" s="103">
        <v>509.596</v>
      </c>
      <c r="AO48" s="103"/>
      <c r="AP48" s="32"/>
      <c r="AQ48" s="31"/>
      <c r="AR48" s="103"/>
      <c r="AS48" s="31" t="s">
        <v>88</v>
      </c>
      <c r="AT48" s="31"/>
    </row>
    <row r="49" spans="1:46" ht="14.4" x14ac:dyDescent="0.3">
      <c r="A49" s="30" t="s">
        <v>687</v>
      </c>
      <c r="B49" s="31" t="s">
        <v>80</v>
      </c>
      <c r="C49" s="31" t="s">
        <v>843</v>
      </c>
      <c r="D49" s="31" t="s">
        <v>844</v>
      </c>
      <c r="E49" s="42">
        <v>46800</v>
      </c>
      <c r="F49" s="31" t="s">
        <v>538</v>
      </c>
      <c r="G49" s="107">
        <v>1288286245</v>
      </c>
      <c r="H49" s="107"/>
      <c r="I49" s="107">
        <v>1288286245</v>
      </c>
      <c r="J49" s="107">
        <v>1315339844</v>
      </c>
      <c r="K49" s="107"/>
      <c r="L49" s="107">
        <v>1315339844</v>
      </c>
      <c r="M49" s="31"/>
      <c r="N49" s="31"/>
      <c r="O49" s="31" t="s">
        <v>845</v>
      </c>
      <c r="P49" s="31" t="s">
        <v>641</v>
      </c>
      <c r="Q49" s="31" t="s">
        <v>642</v>
      </c>
      <c r="R49" s="31" t="s">
        <v>643</v>
      </c>
      <c r="S49" s="110">
        <v>57691508</v>
      </c>
      <c r="T49" s="83">
        <f>+DISPONIBLES[[#This Row],[Avalúo Total 2025]]-DISPONIBLES[[#This Row],[Avalúo Total 2024]]</f>
        <v>27053599</v>
      </c>
      <c r="U49" s="83">
        <f>+DISPONIBLES[[#This Row],[Avalúo Afecto Dic-2025]]-DISPONIBLES[[#This Row],[Avalúo Afecto Dic-2024]]</f>
        <v>27053599</v>
      </c>
      <c r="V49" s="83">
        <f>+DISPONIBLES[[#This Row],[Avalúo Exento Dic-2025]]-DISPONIBLES[[#This Row],[Avalúo Exento Dic-2024]]</f>
        <v>0</v>
      </c>
      <c r="W49" s="31"/>
      <c r="X49" s="31"/>
      <c r="Y49" s="32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06">
        <v>0.69</v>
      </c>
      <c r="AL49" s="103">
        <v>54509.999999999993</v>
      </c>
      <c r="AM49" s="102">
        <v>0.68200000000000005</v>
      </c>
      <c r="AN49" s="103">
        <v>53495.999999999985</v>
      </c>
      <c r="AO49" s="103"/>
      <c r="AP49" s="32">
        <v>44634</v>
      </c>
      <c r="AQ49" s="31" t="s">
        <v>692</v>
      </c>
      <c r="AR49" s="103">
        <v>53495.999999999985</v>
      </c>
      <c r="AS49" s="31" t="s">
        <v>88</v>
      </c>
      <c r="AT49" s="31"/>
    </row>
    <row r="50" spans="1:46" ht="14.4" x14ac:dyDescent="0.3">
      <c r="A50" s="30" t="s">
        <v>496</v>
      </c>
      <c r="B50" s="31" t="s">
        <v>80</v>
      </c>
      <c r="C50" s="31" t="s">
        <v>846</v>
      </c>
      <c r="D50" s="31" t="s">
        <v>847</v>
      </c>
      <c r="E50" s="42">
        <v>10583.06</v>
      </c>
      <c r="F50" s="31" t="s">
        <v>538</v>
      </c>
      <c r="G50" s="107">
        <v>548406026</v>
      </c>
      <c r="H50" s="107">
        <v>0</v>
      </c>
      <c r="I50" s="107">
        <v>548406026</v>
      </c>
      <c r="J50" s="107">
        <v>559922377</v>
      </c>
      <c r="K50" s="107">
        <v>0</v>
      </c>
      <c r="L50" s="107">
        <v>559922377</v>
      </c>
      <c r="M50" s="31" t="s">
        <v>848</v>
      </c>
      <c r="N50" s="31" t="s">
        <v>849</v>
      </c>
      <c r="O50" s="31" t="s">
        <v>849</v>
      </c>
      <c r="P50" s="31" t="s">
        <v>641</v>
      </c>
      <c r="Q50" s="31" t="s">
        <v>642</v>
      </c>
      <c r="R50" s="31" t="s">
        <v>643</v>
      </c>
      <c r="S50" s="84" t="s">
        <v>682</v>
      </c>
      <c r="T50" s="83">
        <f>+DISPONIBLES[[#This Row],[Avalúo Total 2025]]-DISPONIBLES[[#This Row],[Avalúo Total 2024]]</f>
        <v>11516351</v>
      </c>
      <c r="U50" s="83">
        <f>+DISPONIBLES[[#This Row],[Avalúo Afecto Dic-2025]]-DISPONIBLES[[#This Row],[Avalúo Afecto Dic-2024]]</f>
        <v>11516351</v>
      </c>
      <c r="V50" s="83">
        <f>+DISPONIBLES[[#This Row],[Avalúo Exento Dic-2025]]-DISPONIBLES[[#This Row],[Avalúo Exento Dic-2024]]</f>
        <v>0</v>
      </c>
      <c r="W50" s="31"/>
      <c r="X50" s="31"/>
      <c r="Y50" s="32"/>
      <c r="Z50" s="31" t="s">
        <v>850</v>
      </c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06">
        <v>1.6999691008342774</v>
      </c>
      <c r="AL50" s="103">
        <v>17990.874992275207</v>
      </c>
      <c r="AM50" s="102">
        <v>3.4</v>
      </c>
      <c r="AN50" s="103">
        <v>35982</v>
      </c>
      <c r="AO50" s="103">
        <v>12593.61</v>
      </c>
      <c r="AP50" s="32">
        <v>45403</v>
      </c>
      <c r="AQ50" s="31" t="s">
        <v>108</v>
      </c>
      <c r="AR50" s="103">
        <v>35982</v>
      </c>
      <c r="AS50" s="31" t="s">
        <v>108</v>
      </c>
      <c r="AT50" s="31" t="s">
        <v>109</v>
      </c>
    </row>
    <row r="51" spans="1:46" ht="14.4" x14ac:dyDescent="0.3">
      <c r="A51" s="30" t="s">
        <v>79</v>
      </c>
      <c r="B51" s="31" t="s">
        <v>80</v>
      </c>
      <c r="C51" s="31" t="s">
        <v>851</v>
      </c>
      <c r="D51" s="31" t="s">
        <v>852</v>
      </c>
      <c r="E51" s="42">
        <v>40072.92</v>
      </c>
      <c r="F51" s="31" t="s">
        <v>538</v>
      </c>
      <c r="G51" s="107">
        <v>0</v>
      </c>
      <c r="H51" s="107">
        <v>0</v>
      </c>
      <c r="I51" s="107">
        <v>0</v>
      </c>
      <c r="J51" s="107">
        <v>0</v>
      </c>
      <c r="K51" s="107">
        <v>0</v>
      </c>
      <c r="L51" s="107">
        <v>0</v>
      </c>
      <c r="M51" s="31" t="s">
        <v>848</v>
      </c>
      <c r="N51" s="31" t="s">
        <v>853</v>
      </c>
      <c r="O51" s="31" t="s">
        <v>853</v>
      </c>
      <c r="P51" s="31" t="s">
        <v>854</v>
      </c>
      <c r="Q51" s="31"/>
      <c r="R51" s="31"/>
      <c r="S51" s="84" t="s">
        <v>682</v>
      </c>
      <c r="T51" s="83">
        <f>+DISPONIBLES[[#This Row],[Avalúo Total 2025]]-DISPONIBLES[[#This Row],[Avalúo Total 2024]]</f>
        <v>0</v>
      </c>
      <c r="U51" s="83">
        <f>+DISPONIBLES[[#This Row],[Avalúo Afecto Dic-2025]]-DISPONIBLES[[#This Row],[Avalúo Afecto Dic-2024]]</f>
        <v>0</v>
      </c>
      <c r="V51" s="83">
        <f>+DISPONIBLES[[#This Row],[Avalúo Exento Dic-2025]]-DISPONIBLES[[#This Row],[Avalúo Exento Dic-2024]]</f>
        <v>0</v>
      </c>
      <c r="W51" s="31"/>
      <c r="X51" s="31"/>
      <c r="Y51" s="32"/>
      <c r="Z51" s="31" t="s">
        <v>855</v>
      </c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06">
        <v>1.6999691008342774</v>
      </c>
      <c r="AL51" s="103">
        <v>68122.725780203924</v>
      </c>
      <c r="AM51" s="102">
        <v>2.4700000000000002</v>
      </c>
      <c r="AN51" s="103">
        <v>98978</v>
      </c>
      <c r="AO51" s="103">
        <v>47685.919999999998</v>
      </c>
      <c r="AP51" s="32">
        <v>45617</v>
      </c>
      <c r="AQ51" s="31" t="s">
        <v>108</v>
      </c>
      <c r="AR51" s="103">
        <v>94189</v>
      </c>
      <c r="AS51" s="31" t="s">
        <v>108</v>
      </c>
      <c r="AT51" s="31" t="s">
        <v>109</v>
      </c>
    </row>
    <row r="52" spans="1:46" ht="14.4" x14ac:dyDescent="0.3">
      <c r="A52" s="30" t="s">
        <v>687</v>
      </c>
      <c r="B52" s="31" t="s">
        <v>80</v>
      </c>
      <c r="C52" s="31" t="s">
        <v>856</v>
      </c>
      <c r="D52" s="31" t="s">
        <v>857</v>
      </c>
      <c r="E52" s="42">
        <v>3430</v>
      </c>
      <c r="F52" s="31" t="s">
        <v>538</v>
      </c>
      <c r="G52" s="107">
        <v>148703262</v>
      </c>
      <c r="H52" s="107">
        <v>0</v>
      </c>
      <c r="I52" s="107">
        <v>148703262</v>
      </c>
      <c r="J52" s="107">
        <v>151825983</v>
      </c>
      <c r="K52" s="107">
        <v>0</v>
      </c>
      <c r="L52" s="107">
        <v>151825983</v>
      </c>
      <c r="M52" s="31"/>
      <c r="N52" s="31" t="s">
        <v>858</v>
      </c>
      <c r="O52" s="31" t="s">
        <v>858</v>
      </c>
      <c r="P52" s="31" t="s">
        <v>641</v>
      </c>
      <c r="Q52" s="31" t="s">
        <v>642</v>
      </c>
      <c r="R52" s="31" t="s">
        <v>643</v>
      </c>
      <c r="S52" s="110">
        <v>569703643</v>
      </c>
      <c r="T52" s="83">
        <f>+DISPONIBLES[[#This Row],[Avalúo Total 2025]]-DISPONIBLES[[#This Row],[Avalúo Total 2024]]</f>
        <v>3122721</v>
      </c>
      <c r="U52" s="83">
        <f>+DISPONIBLES[[#This Row],[Avalúo Afecto Dic-2025]]-DISPONIBLES[[#This Row],[Avalúo Afecto Dic-2024]]</f>
        <v>3122721</v>
      </c>
      <c r="V52" s="83">
        <f>+DISPONIBLES[[#This Row],[Avalúo Exento Dic-2025]]-DISPONIBLES[[#This Row],[Avalúo Exento Dic-2024]]</f>
        <v>0</v>
      </c>
      <c r="W52" s="31"/>
      <c r="X52" s="31"/>
      <c r="Y52" s="32"/>
      <c r="Z52" s="31" t="s">
        <v>859</v>
      </c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06">
        <v>5</v>
      </c>
      <c r="AL52" s="103">
        <v>20000</v>
      </c>
      <c r="AM52" s="102">
        <v>5</v>
      </c>
      <c r="AN52" s="103">
        <v>17150</v>
      </c>
      <c r="AO52" s="103"/>
      <c r="AP52" s="32">
        <v>44634</v>
      </c>
      <c r="AQ52" s="31" t="s">
        <v>692</v>
      </c>
      <c r="AR52" s="103">
        <v>17150</v>
      </c>
      <c r="AS52" s="31" t="s">
        <v>88</v>
      </c>
      <c r="AT52" s="31"/>
    </row>
    <row r="53" spans="1:46" ht="14.4" x14ac:dyDescent="0.3">
      <c r="A53" s="30" t="s">
        <v>493</v>
      </c>
      <c r="B53" s="31" t="s">
        <v>80</v>
      </c>
      <c r="C53" s="31" t="s">
        <v>860</v>
      </c>
      <c r="D53" s="31" t="s">
        <v>861</v>
      </c>
      <c r="E53" s="42">
        <v>35002.76</v>
      </c>
      <c r="F53" s="31" t="s">
        <v>862</v>
      </c>
      <c r="G53" s="107">
        <v>21628470572</v>
      </c>
      <c r="H53" s="107">
        <v>0</v>
      </c>
      <c r="I53" s="107">
        <v>21628470572</v>
      </c>
      <c r="J53" s="107">
        <v>22502237690</v>
      </c>
      <c r="K53" s="107">
        <v>0</v>
      </c>
      <c r="L53" s="107">
        <v>22502237690</v>
      </c>
      <c r="M53" s="83"/>
      <c r="N53" s="31" t="s">
        <v>863</v>
      </c>
      <c r="O53" s="31" t="s">
        <v>863</v>
      </c>
      <c r="P53" s="31" t="s">
        <v>641</v>
      </c>
      <c r="Q53" s="31" t="s">
        <v>642</v>
      </c>
      <c r="R53" s="31" t="s">
        <v>800</v>
      </c>
      <c r="S53" s="112">
        <v>1217592002</v>
      </c>
      <c r="T53" s="83">
        <f>+DISPONIBLES[[#This Row],[Avalúo Total 2025]]-DISPONIBLES[[#This Row],[Avalúo Total 2024]]</f>
        <v>873767118</v>
      </c>
      <c r="U53" s="83">
        <f>+DISPONIBLES[[#This Row],[Avalúo Afecto Dic-2025]]-DISPONIBLES[[#This Row],[Avalúo Afecto Dic-2024]]</f>
        <v>873767118</v>
      </c>
      <c r="V53" s="83">
        <f>+DISPONIBLES[[#This Row],[Avalúo Exento Dic-2025]]-DISPONIBLES[[#This Row],[Avalúo Exento Dic-2024]]</f>
        <v>0</v>
      </c>
      <c r="W53" s="31"/>
      <c r="X53" s="31"/>
      <c r="Y53" s="32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06">
        <v>3.5</v>
      </c>
      <c r="AL53" s="103">
        <v>122509.66</v>
      </c>
      <c r="AM53" s="102">
        <f>DISPONIBLES[[#This Row],[UF (Tasación Total)]]/DISPONIBLES[[#This Row],[Superficie (m2)]]</f>
        <v>12.88589814060377</v>
      </c>
      <c r="AN53" s="103">
        <v>451042</v>
      </c>
      <c r="AO53" s="103"/>
      <c r="AP53" s="32">
        <v>45967</v>
      </c>
      <c r="AQ53" s="31" t="s">
        <v>154</v>
      </c>
      <c r="AR53" s="103">
        <v>463532.41032945062</v>
      </c>
      <c r="AS53" s="31" t="s">
        <v>154</v>
      </c>
      <c r="AT53" s="31" t="s">
        <v>155</v>
      </c>
    </row>
    <row r="54" spans="1:46" ht="14.4" x14ac:dyDescent="0.3">
      <c r="A54" s="30" t="s">
        <v>79</v>
      </c>
      <c r="B54" s="31" t="s">
        <v>80</v>
      </c>
      <c r="C54" s="31" t="s">
        <v>147</v>
      </c>
      <c r="D54" s="31" t="s">
        <v>864</v>
      </c>
      <c r="E54" s="42">
        <v>17999</v>
      </c>
      <c r="F54" s="31" t="s">
        <v>538</v>
      </c>
      <c r="G54" s="107">
        <v>3167167862</v>
      </c>
      <c r="H54" s="107"/>
      <c r="I54" s="107">
        <v>3167167862</v>
      </c>
      <c r="J54" s="107">
        <v>2997235195</v>
      </c>
      <c r="K54" s="107"/>
      <c r="L54" s="107">
        <v>2997235195</v>
      </c>
      <c r="M54" s="31"/>
      <c r="N54" s="31"/>
      <c r="O54" s="31" t="s">
        <v>865</v>
      </c>
      <c r="P54" s="31" t="s">
        <v>641</v>
      </c>
      <c r="Q54" s="31" t="s">
        <v>642</v>
      </c>
      <c r="R54" s="31" t="s">
        <v>800</v>
      </c>
      <c r="S54" s="110">
        <v>1611825221</v>
      </c>
      <c r="T54" s="83">
        <f>+DISPONIBLES[[#This Row],[Avalúo Total 2025]]-DISPONIBLES[[#This Row],[Avalúo Total 2024]]</f>
        <v>-169932667</v>
      </c>
      <c r="U54" s="83">
        <f>+DISPONIBLES[[#This Row],[Avalúo Afecto Dic-2025]]-DISPONIBLES[[#This Row],[Avalúo Afecto Dic-2024]]</f>
        <v>-169932667</v>
      </c>
      <c r="V54" s="83">
        <f>+DISPONIBLES[[#This Row],[Avalúo Exento Dic-2025]]-DISPONIBLES[[#This Row],[Avalúo Exento Dic-2024]]</f>
        <v>0</v>
      </c>
      <c r="W54" s="31"/>
      <c r="X54" s="31"/>
      <c r="Y54" s="32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06">
        <v>3.5</v>
      </c>
      <c r="AL54" s="103">
        <v>62996.849999999991</v>
      </c>
      <c r="AM54" s="102">
        <v>3.4500000136028515</v>
      </c>
      <c r="AN54" s="103">
        <v>62096.895244839077</v>
      </c>
      <c r="AO54" s="103"/>
      <c r="AP54" s="32">
        <v>45251</v>
      </c>
      <c r="AQ54" s="31" t="s">
        <v>154</v>
      </c>
      <c r="AR54" s="103">
        <v>62996.849999999991</v>
      </c>
      <c r="AS54" s="31" t="s">
        <v>154</v>
      </c>
      <c r="AT54" s="31" t="s">
        <v>155</v>
      </c>
    </row>
    <row r="55" spans="1:46" ht="14.4" x14ac:dyDescent="0.3">
      <c r="A55" s="30" t="s">
        <v>382</v>
      </c>
      <c r="B55" s="31" t="s">
        <v>303</v>
      </c>
      <c r="C55" s="31" t="s">
        <v>866</v>
      </c>
      <c r="D55" s="31" t="s">
        <v>852</v>
      </c>
      <c r="E55" s="42">
        <v>45924.24</v>
      </c>
      <c r="F55" s="31" t="s">
        <v>538</v>
      </c>
      <c r="G55" s="107">
        <v>1107140653</v>
      </c>
      <c r="H55" s="107">
        <v>1107140653</v>
      </c>
      <c r="I55" s="107">
        <v>0</v>
      </c>
      <c r="J55" s="107">
        <v>1151867953</v>
      </c>
      <c r="K55" s="107">
        <v>1151867953</v>
      </c>
      <c r="L55" s="107">
        <v>0</v>
      </c>
      <c r="M55" s="31"/>
      <c r="N55" s="31" t="s">
        <v>867</v>
      </c>
      <c r="O55" s="31"/>
      <c r="P55" s="87"/>
      <c r="Q55" s="31"/>
      <c r="R55" s="31"/>
      <c r="S55" s="112">
        <v>289251206</v>
      </c>
      <c r="T55" s="83">
        <f>+DISPONIBLES[[#This Row],[Avalúo Total 2025]]-DISPONIBLES[[#This Row],[Avalúo Total 2024]]</f>
        <v>44727300</v>
      </c>
      <c r="U55" s="83">
        <f>+DISPONIBLES[[#This Row],[Avalúo Afecto Dic-2025]]-DISPONIBLES[[#This Row],[Avalúo Afecto Dic-2024]]</f>
        <v>0</v>
      </c>
      <c r="V55" s="83">
        <f>+DISPONIBLES[[#This Row],[Avalúo Exento Dic-2025]]-DISPONIBLES[[#This Row],[Avalúo Exento Dic-2024]]</f>
        <v>44727300</v>
      </c>
      <c r="W55" s="31"/>
      <c r="X55" s="31"/>
      <c r="Y55" s="32"/>
      <c r="Z55" s="31" t="s">
        <v>868</v>
      </c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06">
        <v>3</v>
      </c>
      <c r="AL55" s="103">
        <v>137772.72</v>
      </c>
      <c r="AM55" s="102">
        <v>3</v>
      </c>
      <c r="AN55" s="103">
        <v>137772.72</v>
      </c>
      <c r="AO55" s="103"/>
      <c r="AP55" s="32"/>
      <c r="AQ55" s="31"/>
      <c r="AR55" s="103"/>
      <c r="AS55" s="31" t="s">
        <v>88</v>
      </c>
      <c r="AT55" s="31"/>
    </row>
    <row r="56" spans="1:46" ht="14.4" x14ac:dyDescent="0.3">
      <c r="A56" s="30" t="s">
        <v>869</v>
      </c>
      <c r="B56" s="31" t="s">
        <v>169</v>
      </c>
      <c r="C56" s="31" t="s">
        <v>870</v>
      </c>
      <c r="D56" s="31" t="s">
        <v>871</v>
      </c>
      <c r="E56" s="42">
        <v>983</v>
      </c>
      <c r="F56" s="31" t="s">
        <v>538</v>
      </c>
      <c r="G56" s="107">
        <v>25848878</v>
      </c>
      <c r="H56" s="107"/>
      <c r="I56" s="107">
        <v>25848878</v>
      </c>
      <c r="J56" s="107">
        <v>26893145</v>
      </c>
      <c r="K56" s="107"/>
      <c r="L56" s="107">
        <v>26893145</v>
      </c>
      <c r="M56" s="31"/>
      <c r="N56" s="31"/>
      <c r="O56" s="31" t="s">
        <v>872</v>
      </c>
      <c r="P56" s="31" t="s">
        <v>641</v>
      </c>
      <c r="Q56" s="31" t="s">
        <v>642</v>
      </c>
      <c r="R56" s="31" t="s">
        <v>643</v>
      </c>
      <c r="S56" s="110">
        <v>63308500</v>
      </c>
      <c r="T56" s="83">
        <f>+DISPONIBLES[[#This Row],[Avalúo Total 2025]]-DISPONIBLES[[#This Row],[Avalúo Total 2024]]</f>
        <v>1044267</v>
      </c>
      <c r="U56" s="83">
        <f>+DISPONIBLES[[#This Row],[Avalúo Afecto Dic-2025]]-DISPONIBLES[[#This Row],[Avalúo Afecto Dic-2024]]</f>
        <v>1044267</v>
      </c>
      <c r="V56" s="83">
        <f>+DISPONIBLES[[#This Row],[Avalúo Exento Dic-2025]]-DISPONIBLES[[#This Row],[Avalúo Exento Dic-2024]]</f>
        <v>0</v>
      </c>
      <c r="W56" s="31"/>
      <c r="X56" s="31"/>
      <c r="Y56" s="32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06">
        <v>0.35</v>
      </c>
      <c r="AL56" s="103">
        <v>10525.199999999999</v>
      </c>
      <c r="AM56" s="102">
        <v>1.0882258586811455</v>
      </c>
      <c r="AN56" s="103">
        <f t="shared" ref="AN56:AN70" si="0">32725.1280222594/15</f>
        <v>2181.6752014839599</v>
      </c>
      <c r="AO56" s="103"/>
      <c r="AP56" s="32"/>
      <c r="AQ56" s="31"/>
      <c r="AR56" s="103"/>
      <c r="AS56" s="31" t="s">
        <v>88</v>
      </c>
      <c r="AT56" s="31"/>
    </row>
    <row r="57" spans="1:46" ht="14.4" x14ac:dyDescent="0.3">
      <c r="A57" s="30" t="s">
        <v>869</v>
      </c>
      <c r="B57" s="31" t="s">
        <v>169</v>
      </c>
      <c r="C57" s="31" t="s">
        <v>870</v>
      </c>
      <c r="D57" s="31" t="s">
        <v>873</v>
      </c>
      <c r="E57" s="42">
        <v>987</v>
      </c>
      <c r="F57" s="31" t="s">
        <v>538</v>
      </c>
      <c r="G57" s="107">
        <v>25948201</v>
      </c>
      <c r="H57" s="107"/>
      <c r="I57" s="107">
        <v>25948201</v>
      </c>
      <c r="J57" s="107">
        <v>26996480</v>
      </c>
      <c r="K57" s="107"/>
      <c r="L57" s="107">
        <v>26996480</v>
      </c>
      <c r="M57" s="31"/>
      <c r="N57" s="31"/>
      <c r="O57" s="31" t="s">
        <v>874</v>
      </c>
      <c r="P57" s="31" t="s">
        <v>641</v>
      </c>
      <c r="Q57" s="31" t="s">
        <v>642</v>
      </c>
      <c r="R57" s="31" t="s">
        <v>643</v>
      </c>
      <c r="S57" s="110">
        <v>63537453</v>
      </c>
      <c r="T57" s="83">
        <f>+DISPONIBLES[[#This Row],[Avalúo Total 2025]]-DISPONIBLES[[#This Row],[Avalúo Total 2024]]</f>
        <v>1048279</v>
      </c>
      <c r="U57" s="83">
        <f>+DISPONIBLES[[#This Row],[Avalúo Afecto Dic-2025]]-DISPONIBLES[[#This Row],[Avalúo Afecto Dic-2024]]</f>
        <v>1048279</v>
      </c>
      <c r="V57" s="83">
        <f>+DISPONIBLES[[#This Row],[Avalúo Exento Dic-2025]]-DISPONIBLES[[#This Row],[Avalúo Exento Dic-2024]]</f>
        <v>0</v>
      </c>
      <c r="W57" s="31"/>
      <c r="X57" s="31"/>
      <c r="Y57" s="32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06">
        <v>0.35</v>
      </c>
      <c r="AL57" s="103">
        <v>10525.199999999999</v>
      </c>
      <c r="AM57" s="102">
        <v>1.0882258586811455</v>
      </c>
      <c r="AN57" s="103">
        <f t="shared" si="0"/>
        <v>2181.6752014839599</v>
      </c>
      <c r="AO57" s="103"/>
      <c r="AP57" s="32"/>
      <c r="AQ57" s="31"/>
      <c r="AR57" s="103"/>
      <c r="AS57" s="31" t="s">
        <v>88</v>
      </c>
      <c r="AT57" s="31"/>
    </row>
    <row r="58" spans="1:46" ht="14.4" x14ac:dyDescent="0.3">
      <c r="A58" s="30" t="s">
        <v>869</v>
      </c>
      <c r="B58" s="31" t="s">
        <v>169</v>
      </c>
      <c r="C58" s="31" t="s">
        <v>870</v>
      </c>
      <c r="D58" s="31" t="s">
        <v>875</v>
      </c>
      <c r="E58" s="42">
        <v>991</v>
      </c>
      <c r="F58" s="31" t="s">
        <v>538</v>
      </c>
      <c r="G58" s="107">
        <v>26065641</v>
      </c>
      <c r="H58" s="107"/>
      <c r="I58" s="107">
        <v>26065641</v>
      </c>
      <c r="J58" s="107">
        <v>27118665</v>
      </c>
      <c r="K58" s="107"/>
      <c r="L58" s="107">
        <v>27118665</v>
      </c>
      <c r="M58" s="31"/>
      <c r="N58" s="31"/>
      <c r="O58" s="31" t="s">
        <v>876</v>
      </c>
      <c r="P58" s="31" t="s">
        <v>641</v>
      </c>
      <c r="Q58" s="31" t="s">
        <v>642</v>
      </c>
      <c r="R58" s="31" t="s">
        <v>643</v>
      </c>
      <c r="S58" s="110">
        <v>63790660</v>
      </c>
      <c r="T58" s="83">
        <f>+DISPONIBLES[[#This Row],[Avalúo Total 2025]]-DISPONIBLES[[#This Row],[Avalúo Total 2024]]</f>
        <v>1053024</v>
      </c>
      <c r="U58" s="83">
        <f>+DISPONIBLES[[#This Row],[Avalúo Afecto Dic-2025]]-DISPONIBLES[[#This Row],[Avalúo Afecto Dic-2024]]</f>
        <v>1053024</v>
      </c>
      <c r="V58" s="83">
        <f>+DISPONIBLES[[#This Row],[Avalúo Exento Dic-2025]]-DISPONIBLES[[#This Row],[Avalúo Exento Dic-2024]]</f>
        <v>0</v>
      </c>
      <c r="W58" s="31"/>
      <c r="X58" s="31"/>
      <c r="Y58" s="32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06">
        <v>0.35</v>
      </c>
      <c r="AL58" s="103">
        <v>10525.2</v>
      </c>
      <c r="AM58" s="102">
        <v>1.08822585868115</v>
      </c>
      <c r="AN58" s="103">
        <f t="shared" si="0"/>
        <v>2181.6752014839599</v>
      </c>
      <c r="AO58" s="103"/>
      <c r="AP58" s="32"/>
      <c r="AQ58" s="31"/>
      <c r="AR58" s="103"/>
      <c r="AS58" s="31" t="s">
        <v>88</v>
      </c>
      <c r="AT58" s="31"/>
    </row>
    <row r="59" spans="1:46" ht="14.4" x14ac:dyDescent="0.3">
      <c r="A59" s="30" t="s">
        <v>869</v>
      </c>
      <c r="B59" s="31" t="s">
        <v>169</v>
      </c>
      <c r="C59" s="31" t="s">
        <v>870</v>
      </c>
      <c r="D59" s="31" t="s">
        <v>877</v>
      </c>
      <c r="E59" s="42">
        <v>993</v>
      </c>
      <c r="F59" s="31" t="s">
        <v>538</v>
      </c>
      <c r="G59" s="107">
        <v>26133420</v>
      </c>
      <c r="H59" s="107"/>
      <c r="I59" s="107">
        <v>26133420</v>
      </c>
      <c r="J59" s="107">
        <v>27189182</v>
      </c>
      <c r="K59" s="107"/>
      <c r="L59" s="107">
        <v>27189182</v>
      </c>
      <c r="M59" s="31"/>
      <c r="N59" s="31"/>
      <c r="O59" s="31" t="s">
        <v>878</v>
      </c>
      <c r="P59" s="31" t="s">
        <v>641</v>
      </c>
      <c r="Q59" s="31" t="s">
        <v>642</v>
      </c>
      <c r="R59" s="31" t="s">
        <v>643</v>
      </c>
      <c r="S59" s="110">
        <v>63993520</v>
      </c>
      <c r="T59" s="83">
        <f>+DISPONIBLES[[#This Row],[Avalúo Total 2025]]-DISPONIBLES[[#This Row],[Avalúo Total 2024]]</f>
        <v>1055762</v>
      </c>
      <c r="U59" s="83">
        <f>+DISPONIBLES[[#This Row],[Avalúo Afecto Dic-2025]]-DISPONIBLES[[#This Row],[Avalúo Afecto Dic-2024]]</f>
        <v>1055762</v>
      </c>
      <c r="V59" s="83">
        <f>+DISPONIBLES[[#This Row],[Avalúo Exento Dic-2025]]-DISPONIBLES[[#This Row],[Avalúo Exento Dic-2024]]</f>
        <v>0</v>
      </c>
      <c r="W59" s="31"/>
      <c r="X59" s="31"/>
      <c r="Y59" s="32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06">
        <v>0.35</v>
      </c>
      <c r="AL59" s="103">
        <v>10525.2</v>
      </c>
      <c r="AM59" s="102">
        <v>1.08822585868115</v>
      </c>
      <c r="AN59" s="103">
        <f t="shared" si="0"/>
        <v>2181.6752014839599</v>
      </c>
      <c r="AO59" s="103"/>
      <c r="AP59" s="32"/>
      <c r="AQ59" s="31"/>
      <c r="AR59" s="103"/>
      <c r="AS59" s="31" t="s">
        <v>88</v>
      </c>
      <c r="AT59" s="31"/>
    </row>
    <row r="60" spans="1:46" ht="14.4" x14ac:dyDescent="0.3">
      <c r="A60" s="30" t="s">
        <v>869</v>
      </c>
      <c r="B60" s="31" t="s">
        <v>169</v>
      </c>
      <c r="C60" s="31" t="s">
        <v>870</v>
      </c>
      <c r="D60" s="31" t="s">
        <v>879</v>
      </c>
      <c r="E60" s="42">
        <v>993</v>
      </c>
      <c r="F60" s="31" t="s">
        <v>538</v>
      </c>
      <c r="G60" s="107">
        <v>26115302</v>
      </c>
      <c r="H60" s="107"/>
      <c r="I60" s="107">
        <v>26115302</v>
      </c>
      <c r="J60" s="107">
        <v>27170333</v>
      </c>
      <c r="K60" s="107"/>
      <c r="L60" s="107">
        <v>27170333</v>
      </c>
      <c r="M60" s="31"/>
      <c r="N60" s="31"/>
      <c r="O60" s="31" t="s">
        <v>880</v>
      </c>
      <c r="P60" s="31" t="s">
        <v>641</v>
      </c>
      <c r="Q60" s="31" t="s">
        <v>642</v>
      </c>
      <c r="R60" s="31" t="s">
        <v>643</v>
      </c>
      <c r="S60" s="110">
        <v>63892090</v>
      </c>
      <c r="T60" s="83">
        <f>+DISPONIBLES[[#This Row],[Avalúo Total 2025]]-DISPONIBLES[[#This Row],[Avalúo Total 2024]]</f>
        <v>1055031</v>
      </c>
      <c r="U60" s="83">
        <f>+DISPONIBLES[[#This Row],[Avalúo Afecto Dic-2025]]-DISPONIBLES[[#This Row],[Avalúo Afecto Dic-2024]]</f>
        <v>1055031</v>
      </c>
      <c r="V60" s="83">
        <f>+DISPONIBLES[[#This Row],[Avalúo Exento Dic-2025]]-DISPONIBLES[[#This Row],[Avalúo Exento Dic-2024]]</f>
        <v>0</v>
      </c>
      <c r="W60" s="31"/>
      <c r="X60" s="31"/>
      <c r="Y60" s="32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06">
        <v>0.35</v>
      </c>
      <c r="AL60" s="103">
        <v>10525.2</v>
      </c>
      <c r="AM60" s="102">
        <v>1.08822585868115</v>
      </c>
      <c r="AN60" s="103">
        <f t="shared" si="0"/>
        <v>2181.6752014839599</v>
      </c>
      <c r="AO60" s="103"/>
      <c r="AP60" s="32"/>
      <c r="AQ60" s="31"/>
      <c r="AR60" s="103"/>
      <c r="AS60" s="31" t="s">
        <v>88</v>
      </c>
      <c r="AT60" s="31"/>
    </row>
    <row r="61" spans="1:46" ht="14.4" x14ac:dyDescent="0.3">
      <c r="A61" s="30" t="s">
        <v>869</v>
      </c>
      <c r="B61" s="31" t="s">
        <v>169</v>
      </c>
      <c r="C61" s="31" t="s">
        <v>870</v>
      </c>
      <c r="D61" s="31" t="s">
        <v>881</v>
      </c>
      <c r="E61" s="42">
        <v>995</v>
      </c>
      <c r="F61" s="31" t="s">
        <v>538</v>
      </c>
      <c r="G61" s="107">
        <v>26164964</v>
      </c>
      <c r="H61" s="107"/>
      <c r="I61" s="107">
        <v>26164964</v>
      </c>
      <c r="J61" s="107">
        <v>27222000</v>
      </c>
      <c r="K61" s="107"/>
      <c r="L61" s="107">
        <v>27222000</v>
      </c>
      <c r="M61" s="31"/>
      <c r="N61" s="31"/>
      <c r="O61" s="31" t="s">
        <v>882</v>
      </c>
      <c r="P61" s="31" t="s">
        <v>641</v>
      </c>
      <c r="Q61" s="31" t="s">
        <v>642</v>
      </c>
      <c r="R61" s="31" t="s">
        <v>643</v>
      </c>
      <c r="S61" s="110">
        <v>63993520</v>
      </c>
      <c r="T61" s="83">
        <f>+DISPONIBLES[[#This Row],[Avalúo Total 2025]]-DISPONIBLES[[#This Row],[Avalúo Total 2024]]</f>
        <v>1057036</v>
      </c>
      <c r="U61" s="83">
        <f>+DISPONIBLES[[#This Row],[Avalúo Afecto Dic-2025]]-DISPONIBLES[[#This Row],[Avalúo Afecto Dic-2024]]</f>
        <v>1057036</v>
      </c>
      <c r="V61" s="83">
        <f>+DISPONIBLES[[#This Row],[Avalúo Exento Dic-2025]]-DISPONIBLES[[#This Row],[Avalúo Exento Dic-2024]]</f>
        <v>0</v>
      </c>
      <c r="W61" s="31"/>
      <c r="X61" s="31"/>
      <c r="Y61" s="32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06">
        <v>0.35</v>
      </c>
      <c r="AL61" s="103">
        <v>10525.2</v>
      </c>
      <c r="AM61" s="102">
        <v>1.08822585868115</v>
      </c>
      <c r="AN61" s="103">
        <f t="shared" si="0"/>
        <v>2181.6752014839599</v>
      </c>
      <c r="AO61" s="103"/>
      <c r="AP61" s="32"/>
      <c r="AQ61" s="31"/>
      <c r="AR61" s="103"/>
      <c r="AS61" s="31" t="s">
        <v>88</v>
      </c>
      <c r="AT61" s="31"/>
    </row>
    <row r="62" spans="1:46" ht="14.4" x14ac:dyDescent="0.3">
      <c r="A62" s="30" t="s">
        <v>869</v>
      </c>
      <c r="B62" s="31" t="s">
        <v>169</v>
      </c>
      <c r="C62" s="31" t="s">
        <v>870</v>
      </c>
      <c r="D62" s="31" t="s">
        <v>883</v>
      </c>
      <c r="E62" s="42">
        <v>996</v>
      </c>
      <c r="F62" s="31" t="s">
        <v>538</v>
      </c>
      <c r="G62" s="107">
        <v>26180736</v>
      </c>
      <c r="H62" s="107"/>
      <c r="I62" s="107">
        <v>26180736</v>
      </c>
      <c r="J62" s="107">
        <v>27238409</v>
      </c>
      <c r="K62" s="107"/>
      <c r="L62" s="107">
        <v>27238409</v>
      </c>
      <c r="M62" s="31"/>
      <c r="N62" s="31"/>
      <c r="O62" s="31" t="s">
        <v>884</v>
      </c>
      <c r="P62" s="31" t="s">
        <v>641</v>
      </c>
      <c r="Q62" s="31" t="s">
        <v>642</v>
      </c>
      <c r="R62" s="31" t="s">
        <v>643</v>
      </c>
      <c r="S62" s="110">
        <v>64036150</v>
      </c>
      <c r="T62" s="83">
        <f>+DISPONIBLES[[#This Row],[Avalúo Total 2025]]-DISPONIBLES[[#This Row],[Avalúo Total 2024]]</f>
        <v>1057673</v>
      </c>
      <c r="U62" s="83">
        <f>+DISPONIBLES[[#This Row],[Avalúo Afecto Dic-2025]]-DISPONIBLES[[#This Row],[Avalúo Afecto Dic-2024]]</f>
        <v>1057673</v>
      </c>
      <c r="V62" s="83">
        <f>+DISPONIBLES[[#This Row],[Avalúo Exento Dic-2025]]-DISPONIBLES[[#This Row],[Avalúo Exento Dic-2024]]</f>
        <v>0</v>
      </c>
      <c r="W62" s="31"/>
      <c r="X62" s="31"/>
      <c r="Y62" s="32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06">
        <v>0.35</v>
      </c>
      <c r="AL62" s="103">
        <v>10525.2</v>
      </c>
      <c r="AM62" s="102">
        <v>1.08822585868115</v>
      </c>
      <c r="AN62" s="103">
        <f t="shared" si="0"/>
        <v>2181.6752014839599</v>
      </c>
      <c r="AO62" s="103"/>
      <c r="AP62" s="32"/>
      <c r="AQ62" s="31"/>
      <c r="AR62" s="103"/>
      <c r="AS62" s="31" t="s">
        <v>88</v>
      </c>
      <c r="AT62" s="31"/>
    </row>
    <row r="63" spans="1:46" ht="14.4" x14ac:dyDescent="0.3">
      <c r="A63" s="30" t="s">
        <v>869</v>
      </c>
      <c r="B63" s="31" t="s">
        <v>169</v>
      </c>
      <c r="C63" s="31" t="s">
        <v>870</v>
      </c>
      <c r="D63" s="31" t="s">
        <v>885</v>
      </c>
      <c r="E63" s="42">
        <v>997</v>
      </c>
      <c r="F63" s="31" t="s">
        <v>538</v>
      </c>
      <c r="G63" s="107">
        <v>26214625</v>
      </c>
      <c r="H63" s="107"/>
      <c r="I63" s="107">
        <v>26214625</v>
      </c>
      <c r="J63" s="107">
        <v>27273668</v>
      </c>
      <c r="K63" s="107"/>
      <c r="L63" s="107">
        <v>27273668</v>
      </c>
      <c r="M63" s="31"/>
      <c r="N63" s="31"/>
      <c r="O63" s="31" t="s">
        <v>886</v>
      </c>
      <c r="P63" s="31" t="s">
        <v>641</v>
      </c>
      <c r="Q63" s="31" t="s">
        <v>642</v>
      </c>
      <c r="R63" s="31" t="s">
        <v>643</v>
      </c>
      <c r="S63" s="110">
        <v>64080985</v>
      </c>
      <c r="T63" s="83">
        <f>+DISPONIBLES[[#This Row],[Avalúo Total 2025]]-DISPONIBLES[[#This Row],[Avalúo Total 2024]]</f>
        <v>1059043</v>
      </c>
      <c r="U63" s="83">
        <f>+DISPONIBLES[[#This Row],[Avalúo Afecto Dic-2025]]-DISPONIBLES[[#This Row],[Avalúo Afecto Dic-2024]]</f>
        <v>1059043</v>
      </c>
      <c r="V63" s="83">
        <f>+DISPONIBLES[[#This Row],[Avalúo Exento Dic-2025]]-DISPONIBLES[[#This Row],[Avalúo Exento Dic-2024]]</f>
        <v>0</v>
      </c>
      <c r="W63" s="31"/>
      <c r="X63" s="31"/>
      <c r="Y63" s="32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6">
        <v>0.35</v>
      </c>
      <c r="AL63" s="103">
        <v>10525.2</v>
      </c>
      <c r="AM63" s="102">
        <v>1.08822585868115</v>
      </c>
      <c r="AN63" s="103">
        <f t="shared" si="0"/>
        <v>2181.6752014839599</v>
      </c>
      <c r="AO63" s="103"/>
      <c r="AP63" s="32"/>
      <c r="AQ63" s="31"/>
      <c r="AR63" s="103"/>
      <c r="AS63" s="31" t="s">
        <v>88</v>
      </c>
      <c r="AT63" s="31"/>
    </row>
    <row r="64" spans="1:46" ht="14.4" x14ac:dyDescent="0.3">
      <c r="A64" s="30" t="s">
        <v>869</v>
      </c>
      <c r="B64" s="31" t="s">
        <v>169</v>
      </c>
      <c r="C64" s="31" t="s">
        <v>870</v>
      </c>
      <c r="D64" s="31" t="s">
        <v>887</v>
      </c>
      <c r="E64" s="42">
        <v>998</v>
      </c>
      <c r="F64" s="31" t="s">
        <v>538</v>
      </c>
      <c r="G64" s="107">
        <v>26230397</v>
      </c>
      <c r="H64" s="107"/>
      <c r="I64" s="107">
        <v>26230397</v>
      </c>
      <c r="J64" s="107">
        <v>27290077</v>
      </c>
      <c r="K64" s="107"/>
      <c r="L64" s="107">
        <v>27290077</v>
      </c>
      <c r="M64" s="31"/>
      <c r="N64" s="31"/>
      <c r="O64" s="31" t="s">
        <v>888</v>
      </c>
      <c r="P64" s="31" t="s">
        <v>641</v>
      </c>
      <c r="Q64" s="31" t="s">
        <v>642</v>
      </c>
      <c r="R64" s="31" t="s">
        <v>643</v>
      </c>
      <c r="S64" s="110">
        <v>64116265</v>
      </c>
      <c r="T64" s="83">
        <f>+DISPONIBLES[[#This Row],[Avalúo Total 2025]]-DISPONIBLES[[#This Row],[Avalúo Total 2024]]</f>
        <v>1059680</v>
      </c>
      <c r="U64" s="83">
        <f>+DISPONIBLES[[#This Row],[Avalúo Afecto Dic-2025]]-DISPONIBLES[[#This Row],[Avalúo Afecto Dic-2024]]</f>
        <v>1059680</v>
      </c>
      <c r="V64" s="83">
        <f>+DISPONIBLES[[#This Row],[Avalúo Exento Dic-2025]]-DISPONIBLES[[#This Row],[Avalúo Exento Dic-2024]]</f>
        <v>0</v>
      </c>
      <c r="W64" s="31"/>
      <c r="X64" s="31"/>
      <c r="Y64" s="32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6">
        <v>0.35</v>
      </c>
      <c r="AL64" s="103">
        <v>10525.2</v>
      </c>
      <c r="AM64" s="102">
        <v>1.08822585868115</v>
      </c>
      <c r="AN64" s="103">
        <f t="shared" si="0"/>
        <v>2181.6752014839599</v>
      </c>
      <c r="AO64" s="103"/>
      <c r="AP64" s="32"/>
      <c r="AQ64" s="31"/>
      <c r="AR64" s="103"/>
      <c r="AS64" s="31" t="s">
        <v>88</v>
      </c>
      <c r="AT64" s="31"/>
    </row>
    <row r="65" spans="1:46" ht="14.4" x14ac:dyDescent="0.3">
      <c r="A65" s="30" t="s">
        <v>869</v>
      </c>
      <c r="B65" s="31" t="s">
        <v>169</v>
      </c>
      <c r="C65" s="31" t="s">
        <v>870</v>
      </c>
      <c r="D65" s="31" t="s">
        <v>889</v>
      </c>
      <c r="E65" s="42">
        <v>1000</v>
      </c>
      <c r="F65" s="31" t="s">
        <v>538</v>
      </c>
      <c r="G65" s="107">
        <v>26298176</v>
      </c>
      <c r="H65" s="107"/>
      <c r="I65" s="107">
        <v>26298176</v>
      </c>
      <c r="J65" s="107">
        <v>27360594</v>
      </c>
      <c r="K65" s="107"/>
      <c r="L65" s="107">
        <v>27360594</v>
      </c>
      <c r="M65" s="31"/>
      <c r="N65" s="31"/>
      <c r="O65" s="31" t="s">
        <v>890</v>
      </c>
      <c r="P65" s="31" t="s">
        <v>641</v>
      </c>
      <c r="Q65" s="31" t="s">
        <v>642</v>
      </c>
      <c r="R65" s="31" t="s">
        <v>643</v>
      </c>
      <c r="S65" s="110">
        <v>64283478</v>
      </c>
      <c r="T65" s="83">
        <f>+DISPONIBLES[[#This Row],[Avalúo Total 2025]]-DISPONIBLES[[#This Row],[Avalúo Total 2024]]</f>
        <v>1062418</v>
      </c>
      <c r="U65" s="83">
        <f>+DISPONIBLES[[#This Row],[Avalúo Afecto Dic-2025]]-DISPONIBLES[[#This Row],[Avalúo Afecto Dic-2024]]</f>
        <v>1062418</v>
      </c>
      <c r="V65" s="83">
        <f>+DISPONIBLES[[#This Row],[Avalúo Exento Dic-2025]]-DISPONIBLES[[#This Row],[Avalúo Exento Dic-2024]]</f>
        <v>0</v>
      </c>
      <c r="W65" s="31"/>
      <c r="X65" s="31"/>
      <c r="Y65" s="32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6">
        <v>0.35</v>
      </c>
      <c r="AL65" s="103">
        <v>10525.2</v>
      </c>
      <c r="AM65" s="102">
        <v>1.08822585868115</v>
      </c>
      <c r="AN65" s="103">
        <f t="shared" si="0"/>
        <v>2181.6752014839599</v>
      </c>
      <c r="AO65" s="103"/>
      <c r="AP65" s="32"/>
      <c r="AQ65" s="31"/>
      <c r="AR65" s="103"/>
      <c r="AS65" s="31" t="s">
        <v>88</v>
      </c>
      <c r="AT65" s="31"/>
    </row>
    <row r="66" spans="1:46" ht="14.4" x14ac:dyDescent="0.3">
      <c r="A66" s="30" t="s">
        <v>869</v>
      </c>
      <c r="B66" s="31" t="s">
        <v>169</v>
      </c>
      <c r="C66" s="31" t="s">
        <v>870</v>
      </c>
      <c r="D66" s="31" t="s">
        <v>891</v>
      </c>
      <c r="E66" s="42">
        <v>1002</v>
      </c>
      <c r="F66" s="31" t="s">
        <v>538</v>
      </c>
      <c r="G66" s="107">
        <v>26347837</v>
      </c>
      <c r="H66" s="107"/>
      <c r="I66" s="107">
        <v>26347837</v>
      </c>
      <c r="J66" s="107">
        <v>27412262</v>
      </c>
      <c r="K66" s="107"/>
      <c r="L66" s="107">
        <v>27412262</v>
      </c>
      <c r="M66" s="31"/>
      <c r="N66" s="31"/>
      <c r="O66" s="31" t="s">
        <v>892</v>
      </c>
      <c r="P66" s="31" t="s">
        <v>641</v>
      </c>
      <c r="Q66" s="31" t="s">
        <v>642</v>
      </c>
      <c r="R66" s="31" t="s">
        <v>643</v>
      </c>
      <c r="S66" s="110">
        <v>64396668</v>
      </c>
      <c r="T66" s="83">
        <f>+DISPONIBLES[[#This Row],[Avalúo Total 2025]]-DISPONIBLES[[#This Row],[Avalúo Total 2024]]</f>
        <v>1064425</v>
      </c>
      <c r="U66" s="83">
        <f>+DISPONIBLES[[#This Row],[Avalúo Afecto Dic-2025]]-DISPONIBLES[[#This Row],[Avalúo Afecto Dic-2024]]</f>
        <v>1064425</v>
      </c>
      <c r="V66" s="83">
        <f>+DISPONIBLES[[#This Row],[Avalúo Exento Dic-2025]]-DISPONIBLES[[#This Row],[Avalúo Exento Dic-2024]]</f>
        <v>0</v>
      </c>
      <c r="W66" s="31"/>
      <c r="X66" s="31"/>
      <c r="Y66" s="32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6">
        <v>0.35</v>
      </c>
      <c r="AL66" s="103">
        <v>10525.2</v>
      </c>
      <c r="AM66" s="102">
        <v>1.08822585868115</v>
      </c>
      <c r="AN66" s="103">
        <f t="shared" si="0"/>
        <v>2181.6752014839599</v>
      </c>
      <c r="AO66" s="103"/>
      <c r="AP66" s="32"/>
      <c r="AQ66" s="31"/>
      <c r="AR66" s="103"/>
      <c r="AS66" s="31" t="s">
        <v>88</v>
      </c>
      <c r="AT66" s="31"/>
    </row>
    <row r="67" spans="1:46" ht="14.4" x14ac:dyDescent="0.3">
      <c r="A67" s="30" t="s">
        <v>869</v>
      </c>
      <c r="B67" s="31" t="s">
        <v>169</v>
      </c>
      <c r="C67" s="31" t="s">
        <v>870</v>
      </c>
      <c r="D67" s="31" t="s">
        <v>893</v>
      </c>
      <c r="E67" s="42">
        <v>1003</v>
      </c>
      <c r="F67" s="31" t="s">
        <v>538</v>
      </c>
      <c r="G67" s="107">
        <v>26363609</v>
      </c>
      <c r="H67" s="107"/>
      <c r="I67" s="107">
        <v>26363609</v>
      </c>
      <c r="J67" s="107">
        <v>27428671</v>
      </c>
      <c r="K67" s="107"/>
      <c r="L67" s="107">
        <v>27428671</v>
      </c>
      <c r="M67" s="31"/>
      <c r="N67" s="31"/>
      <c r="O67" s="31" t="s">
        <v>894</v>
      </c>
      <c r="P67" s="31" t="s">
        <v>641</v>
      </c>
      <c r="Q67" s="31" t="s">
        <v>642</v>
      </c>
      <c r="R67" s="31" t="s">
        <v>643</v>
      </c>
      <c r="S67" s="110">
        <v>64406958</v>
      </c>
      <c r="T67" s="83">
        <f>+DISPONIBLES[[#This Row],[Avalúo Total 2025]]-DISPONIBLES[[#This Row],[Avalúo Total 2024]]</f>
        <v>1065062</v>
      </c>
      <c r="U67" s="83">
        <f>+DISPONIBLES[[#This Row],[Avalúo Afecto Dic-2025]]-DISPONIBLES[[#This Row],[Avalúo Afecto Dic-2024]]</f>
        <v>1065062</v>
      </c>
      <c r="V67" s="83">
        <f>+DISPONIBLES[[#This Row],[Avalúo Exento Dic-2025]]-DISPONIBLES[[#This Row],[Avalúo Exento Dic-2024]]</f>
        <v>0</v>
      </c>
      <c r="W67" s="31"/>
      <c r="X67" s="31"/>
      <c r="Y67" s="32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06">
        <v>0.35</v>
      </c>
      <c r="AL67" s="103">
        <v>10525.2</v>
      </c>
      <c r="AM67" s="102">
        <v>1.08822585868115</v>
      </c>
      <c r="AN67" s="103">
        <f t="shared" si="0"/>
        <v>2181.6752014839599</v>
      </c>
      <c r="AO67" s="103"/>
      <c r="AP67" s="32"/>
      <c r="AQ67" s="31"/>
      <c r="AR67" s="103"/>
      <c r="AS67" s="31" t="s">
        <v>88</v>
      </c>
      <c r="AT67" s="31"/>
    </row>
    <row r="68" spans="1:46" ht="14.4" x14ac:dyDescent="0.3">
      <c r="A68" s="30" t="s">
        <v>869</v>
      </c>
      <c r="B68" s="31" t="s">
        <v>169</v>
      </c>
      <c r="C68" s="31" t="s">
        <v>870</v>
      </c>
      <c r="D68" s="31" t="s">
        <v>895</v>
      </c>
      <c r="E68" s="42">
        <v>1004</v>
      </c>
      <c r="F68" s="31" t="s">
        <v>538</v>
      </c>
      <c r="G68" s="107">
        <v>26397498</v>
      </c>
      <c r="H68" s="107"/>
      <c r="I68" s="107">
        <v>26397498</v>
      </c>
      <c r="J68" s="107">
        <v>27463929</v>
      </c>
      <c r="K68" s="107"/>
      <c r="L68" s="107">
        <v>27463929</v>
      </c>
      <c r="M68" s="31"/>
      <c r="N68" s="31"/>
      <c r="O68" s="31" t="s">
        <v>896</v>
      </c>
      <c r="P68" s="31" t="s">
        <v>641</v>
      </c>
      <c r="Q68" s="31" t="s">
        <v>642</v>
      </c>
      <c r="R68" s="31" t="s">
        <v>643</v>
      </c>
      <c r="S68" s="110">
        <v>64493688</v>
      </c>
      <c r="T68" s="83">
        <f>+DISPONIBLES[[#This Row],[Avalúo Total 2025]]-DISPONIBLES[[#This Row],[Avalúo Total 2024]]</f>
        <v>1066431</v>
      </c>
      <c r="U68" s="83">
        <f>+DISPONIBLES[[#This Row],[Avalúo Afecto Dic-2025]]-DISPONIBLES[[#This Row],[Avalúo Afecto Dic-2024]]</f>
        <v>1066431</v>
      </c>
      <c r="V68" s="83">
        <f>+DISPONIBLES[[#This Row],[Avalúo Exento Dic-2025]]-DISPONIBLES[[#This Row],[Avalúo Exento Dic-2024]]</f>
        <v>0</v>
      </c>
      <c r="W68" s="31"/>
      <c r="X68" s="31"/>
      <c r="Y68" s="32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06">
        <v>0.35</v>
      </c>
      <c r="AL68" s="103">
        <v>10525.2</v>
      </c>
      <c r="AM68" s="102">
        <v>1.08822585868115</v>
      </c>
      <c r="AN68" s="103">
        <f t="shared" si="0"/>
        <v>2181.6752014839599</v>
      </c>
      <c r="AO68" s="103"/>
      <c r="AP68" s="32"/>
      <c r="AQ68" s="31"/>
      <c r="AR68" s="103"/>
      <c r="AS68" s="31" t="s">
        <v>88</v>
      </c>
      <c r="AT68" s="31"/>
    </row>
    <row r="69" spans="1:46" ht="14.4" x14ac:dyDescent="0.3">
      <c r="A69" s="30" t="s">
        <v>869</v>
      </c>
      <c r="B69" s="31" t="s">
        <v>169</v>
      </c>
      <c r="C69" s="31" t="s">
        <v>870</v>
      </c>
      <c r="D69" s="31" t="s">
        <v>897</v>
      </c>
      <c r="E69" s="42">
        <v>1010</v>
      </c>
      <c r="F69" s="31" t="s">
        <v>538</v>
      </c>
      <c r="G69" s="107">
        <v>26564600</v>
      </c>
      <c r="H69" s="107"/>
      <c r="I69" s="107">
        <v>26564600</v>
      </c>
      <c r="J69" s="107">
        <v>27637781</v>
      </c>
      <c r="K69" s="107"/>
      <c r="L69" s="107">
        <v>27637781</v>
      </c>
      <c r="M69" s="31"/>
      <c r="N69" s="31"/>
      <c r="O69" s="31" t="s">
        <v>898</v>
      </c>
      <c r="P69" s="31" t="s">
        <v>641</v>
      </c>
      <c r="Q69" s="31" t="s">
        <v>642</v>
      </c>
      <c r="R69" s="31" t="s">
        <v>643</v>
      </c>
      <c r="S69" s="110">
        <v>64865966</v>
      </c>
      <c r="T69" s="83">
        <f>+DISPONIBLES[[#This Row],[Avalúo Total 2025]]-DISPONIBLES[[#This Row],[Avalúo Total 2024]]</f>
        <v>1073181</v>
      </c>
      <c r="U69" s="83">
        <f>+DISPONIBLES[[#This Row],[Avalúo Afecto Dic-2025]]-DISPONIBLES[[#This Row],[Avalúo Afecto Dic-2024]]</f>
        <v>1073181</v>
      </c>
      <c r="V69" s="83">
        <f>+DISPONIBLES[[#This Row],[Avalúo Exento Dic-2025]]-DISPONIBLES[[#This Row],[Avalúo Exento Dic-2024]]</f>
        <v>0</v>
      </c>
      <c r="W69" s="31"/>
      <c r="X69" s="31"/>
      <c r="Y69" s="32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06">
        <v>0.35</v>
      </c>
      <c r="AL69" s="103">
        <v>10525.2</v>
      </c>
      <c r="AM69" s="102">
        <v>1.08822585868115</v>
      </c>
      <c r="AN69" s="103">
        <f t="shared" si="0"/>
        <v>2181.6752014839599</v>
      </c>
      <c r="AO69" s="103"/>
      <c r="AP69" s="32"/>
      <c r="AQ69" s="31"/>
      <c r="AR69" s="103"/>
      <c r="AS69" s="31" t="s">
        <v>88</v>
      </c>
      <c r="AT69" s="31"/>
    </row>
    <row r="70" spans="1:46" ht="14.4" x14ac:dyDescent="0.3">
      <c r="A70" s="30" t="s">
        <v>869</v>
      </c>
      <c r="B70" s="31" t="s">
        <v>169</v>
      </c>
      <c r="C70" s="31" t="s">
        <v>870</v>
      </c>
      <c r="D70" s="31" t="s">
        <v>899</v>
      </c>
      <c r="E70" s="42">
        <v>1010</v>
      </c>
      <c r="F70" s="31" t="s">
        <v>538</v>
      </c>
      <c r="G70" s="107">
        <v>26546483</v>
      </c>
      <c r="H70" s="107"/>
      <c r="I70" s="107">
        <v>26546483</v>
      </c>
      <c r="J70" s="107">
        <v>27618932</v>
      </c>
      <c r="K70" s="107"/>
      <c r="L70" s="107">
        <v>27618932</v>
      </c>
      <c r="M70" s="31"/>
      <c r="N70" s="31"/>
      <c r="O70" s="31" t="s">
        <v>900</v>
      </c>
      <c r="P70" s="31" t="s">
        <v>641</v>
      </c>
      <c r="Q70" s="31" t="s">
        <v>642</v>
      </c>
      <c r="R70" s="31" t="s">
        <v>643</v>
      </c>
      <c r="S70" s="110">
        <v>64820028</v>
      </c>
      <c r="T70" s="83">
        <f>+DISPONIBLES[[#This Row],[Avalúo Total 2025]]-DISPONIBLES[[#This Row],[Avalúo Total 2024]]</f>
        <v>1072449</v>
      </c>
      <c r="U70" s="83">
        <f>+DISPONIBLES[[#This Row],[Avalúo Afecto Dic-2025]]-DISPONIBLES[[#This Row],[Avalúo Afecto Dic-2024]]</f>
        <v>1072449</v>
      </c>
      <c r="V70" s="83">
        <f>+DISPONIBLES[[#This Row],[Avalúo Exento Dic-2025]]-DISPONIBLES[[#This Row],[Avalúo Exento Dic-2024]]</f>
        <v>0</v>
      </c>
      <c r="W70" s="31"/>
      <c r="X70" s="31"/>
      <c r="Y70" s="32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06">
        <v>0.35</v>
      </c>
      <c r="AL70" s="103">
        <v>10525.2</v>
      </c>
      <c r="AM70" s="102">
        <v>1.08822585868115</v>
      </c>
      <c r="AN70" s="103">
        <f t="shared" si="0"/>
        <v>2181.6752014839599</v>
      </c>
      <c r="AO70" s="103"/>
      <c r="AP70" s="32"/>
      <c r="AQ70" s="31"/>
      <c r="AR70" s="103"/>
      <c r="AS70" s="31" t="s">
        <v>88</v>
      </c>
      <c r="AT70" s="31"/>
    </row>
    <row r="71" spans="1:46" ht="14.4" x14ac:dyDescent="0.3">
      <c r="A71" s="30" t="s">
        <v>70</v>
      </c>
      <c r="B71" s="31" t="s">
        <v>169</v>
      </c>
      <c r="C71" s="31" t="s">
        <v>901</v>
      </c>
      <c r="D71" s="31" t="s">
        <v>902</v>
      </c>
      <c r="E71" s="42">
        <v>1448.73</v>
      </c>
      <c r="F71" s="31" t="s">
        <v>538</v>
      </c>
      <c r="G71" s="107">
        <v>59930463</v>
      </c>
      <c r="H71" s="107">
        <v>46221791</v>
      </c>
      <c r="I71" s="107">
        <v>13708672</v>
      </c>
      <c r="J71" s="107">
        <v>62351619</v>
      </c>
      <c r="K71" s="107">
        <v>48089106</v>
      </c>
      <c r="L71" s="107">
        <v>14262513</v>
      </c>
      <c r="M71" s="31" t="s">
        <v>903</v>
      </c>
      <c r="N71" s="31" t="s">
        <v>904</v>
      </c>
      <c r="O71" s="31" t="s">
        <v>903</v>
      </c>
      <c r="P71" s="31" t="s">
        <v>641</v>
      </c>
      <c r="Q71" s="31" t="s">
        <v>642</v>
      </c>
      <c r="R71" s="31" t="s">
        <v>782</v>
      </c>
      <c r="S71" s="110">
        <v>418876169</v>
      </c>
      <c r="T71" s="83">
        <f>+DISPONIBLES[[#This Row],[Avalúo Total 2025]]-DISPONIBLES[[#This Row],[Avalúo Total 2024]]</f>
        <v>2421156</v>
      </c>
      <c r="U71" s="83">
        <f>+DISPONIBLES[[#This Row],[Avalúo Afecto Dic-2025]]-DISPONIBLES[[#This Row],[Avalúo Afecto Dic-2024]]</f>
        <v>553841</v>
      </c>
      <c r="V71" s="83">
        <f>+DISPONIBLES[[#This Row],[Avalúo Exento Dic-2025]]-DISPONIBLES[[#This Row],[Avalúo Exento Dic-2024]]</f>
        <v>1867315</v>
      </c>
      <c r="W71" s="31"/>
      <c r="X71" s="31"/>
      <c r="Y71" s="32"/>
      <c r="Z71" s="31" t="s">
        <v>905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06">
        <v>0.3</v>
      </c>
      <c r="AL71" s="103">
        <f>74850/4</f>
        <v>18712.5</v>
      </c>
      <c r="AM71" s="102">
        <v>0.17016949659318639</v>
      </c>
      <c r="AN71" s="103">
        <f>42457.2894/4</f>
        <v>10614.32235</v>
      </c>
      <c r="AO71" s="103"/>
      <c r="AP71" s="32">
        <v>45622</v>
      </c>
      <c r="AQ71" s="31" t="s">
        <v>645</v>
      </c>
      <c r="AR71" s="103">
        <f>50014.6518450007/4</f>
        <v>12503.662961250175</v>
      </c>
      <c r="AS71" s="31" t="s">
        <v>645</v>
      </c>
      <c r="AT71" s="31" t="s">
        <v>109</v>
      </c>
    </row>
    <row r="72" spans="1:46" ht="14.4" x14ac:dyDescent="0.3">
      <c r="A72" s="30" t="s">
        <v>906</v>
      </c>
      <c r="B72" s="31" t="s">
        <v>169</v>
      </c>
      <c r="C72" s="31" t="s">
        <v>907</v>
      </c>
      <c r="D72" s="31" t="s">
        <v>852</v>
      </c>
      <c r="E72" s="42">
        <v>20015</v>
      </c>
      <c r="F72" s="31" t="s">
        <v>538</v>
      </c>
      <c r="G72" s="107">
        <v>4418038</v>
      </c>
      <c r="H72" s="107">
        <v>4418038</v>
      </c>
      <c r="I72" s="107">
        <v>0</v>
      </c>
      <c r="J72" s="107">
        <v>4596524</v>
      </c>
      <c r="K72" s="107">
        <v>4596524</v>
      </c>
      <c r="L72" s="107">
        <v>0</v>
      </c>
      <c r="M72" s="31" t="s">
        <v>908</v>
      </c>
      <c r="N72" s="31" t="s">
        <v>909</v>
      </c>
      <c r="O72" s="31"/>
      <c r="P72" s="87"/>
      <c r="Q72" s="31"/>
      <c r="R72" s="31"/>
      <c r="S72" s="110">
        <v>289251206</v>
      </c>
      <c r="T72" s="83">
        <f>+DISPONIBLES[[#This Row],[Avalúo Total 2025]]-DISPONIBLES[[#This Row],[Avalúo Total 2024]]</f>
        <v>178486</v>
      </c>
      <c r="U72" s="83">
        <f>+DISPONIBLES[[#This Row],[Avalúo Afecto Dic-2025]]-DISPONIBLES[[#This Row],[Avalúo Afecto Dic-2024]]</f>
        <v>0</v>
      </c>
      <c r="V72" s="83">
        <f>+DISPONIBLES[[#This Row],[Avalúo Exento Dic-2025]]-DISPONIBLES[[#This Row],[Avalúo Exento Dic-2024]]</f>
        <v>178486</v>
      </c>
      <c r="W72" s="31"/>
      <c r="X72" s="31"/>
      <c r="Y72" s="32"/>
      <c r="Z72" s="31" t="s">
        <v>910</v>
      </c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06">
        <v>0.5</v>
      </c>
      <c r="AL72" s="103">
        <v>10007.5</v>
      </c>
      <c r="AM72" s="102">
        <v>0.1</v>
      </c>
      <c r="AN72" s="103">
        <v>2001.5</v>
      </c>
      <c r="AO72" s="103"/>
      <c r="AP72" s="32"/>
      <c r="AQ72" s="31"/>
      <c r="AR72" s="103"/>
      <c r="AS72" s="31" t="s">
        <v>88</v>
      </c>
      <c r="AT72" s="31"/>
    </row>
    <row r="73" spans="1:46" ht="14.4" x14ac:dyDescent="0.3">
      <c r="A73" s="30" t="s">
        <v>70</v>
      </c>
      <c r="B73" s="31" t="s">
        <v>71</v>
      </c>
      <c r="C73" s="31" t="s">
        <v>911</v>
      </c>
      <c r="D73" s="31" t="s">
        <v>638</v>
      </c>
      <c r="E73" s="42">
        <v>5000</v>
      </c>
      <c r="F73" s="31" t="s">
        <v>538</v>
      </c>
      <c r="G73" s="107">
        <v>13515423</v>
      </c>
      <c r="H73" s="107">
        <v>0</v>
      </c>
      <c r="I73" s="107">
        <v>13515423</v>
      </c>
      <c r="J73" s="107">
        <v>14061432</v>
      </c>
      <c r="K73" s="107">
        <v>0</v>
      </c>
      <c r="L73" s="107">
        <v>14061432</v>
      </c>
      <c r="M73" s="31" t="s">
        <v>639</v>
      </c>
      <c r="N73" s="31" t="s">
        <v>912</v>
      </c>
      <c r="O73" s="31" t="s">
        <v>639</v>
      </c>
      <c r="P73" s="31" t="s">
        <v>641</v>
      </c>
      <c r="Q73" s="31" t="s">
        <v>642</v>
      </c>
      <c r="R73" s="31" t="s">
        <v>643</v>
      </c>
      <c r="S73" s="110">
        <v>20646696</v>
      </c>
      <c r="T73" s="83">
        <f>+DISPONIBLES[[#This Row],[Avalúo Total 2025]]-DISPONIBLES[[#This Row],[Avalúo Total 2024]]</f>
        <v>546009</v>
      </c>
      <c r="U73" s="83">
        <f>+DISPONIBLES[[#This Row],[Avalúo Afecto Dic-2025]]-DISPONIBLES[[#This Row],[Avalúo Afecto Dic-2024]]</f>
        <v>546009</v>
      </c>
      <c r="V73" s="83">
        <f>+DISPONIBLES[[#This Row],[Avalúo Exento Dic-2025]]-DISPONIBLES[[#This Row],[Avalúo Exento Dic-2024]]</f>
        <v>0</v>
      </c>
      <c r="W73" s="31"/>
      <c r="X73" s="31"/>
      <c r="Y73" s="32"/>
      <c r="Z73" s="31" t="s">
        <v>913</v>
      </c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06">
        <v>0.65</v>
      </c>
      <c r="AL73" s="103">
        <v>3250</v>
      </c>
      <c r="AM73" s="102">
        <v>0.3339765359742346</v>
      </c>
      <c r="AN73" s="103">
        <v>1669.882679871173</v>
      </c>
      <c r="AO73" s="103"/>
      <c r="AP73" s="32">
        <v>43865</v>
      </c>
      <c r="AQ73" s="31" t="s">
        <v>645</v>
      </c>
      <c r="AR73" s="103">
        <v>3250</v>
      </c>
      <c r="AS73" s="31" t="s">
        <v>645</v>
      </c>
      <c r="AT73" s="31" t="s">
        <v>646</v>
      </c>
    </row>
    <row r="74" spans="1:46" ht="14.4" x14ac:dyDescent="0.3">
      <c r="A74" s="30" t="s">
        <v>70</v>
      </c>
      <c r="B74" s="31" t="s">
        <v>71</v>
      </c>
      <c r="C74" s="31" t="s">
        <v>914</v>
      </c>
      <c r="D74" s="31" t="s">
        <v>638</v>
      </c>
      <c r="E74" s="42">
        <v>5000</v>
      </c>
      <c r="F74" s="31" t="s">
        <v>538</v>
      </c>
      <c r="G74" s="107">
        <v>13515423</v>
      </c>
      <c r="H74" s="107">
        <v>0</v>
      </c>
      <c r="I74" s="107">
        <v>13515423</v>
      </c>
      <c r="J74" s="107">
        <v>14061432</v>
      </c>
      <c r="K74" s="107">
        <v>0</v>
      </c>
      <c r="L74" s="107">
        <v>14061432</v>
      </c>
      <c r="M74" s="31" t="s">
        <v>639</v>
      </c>
      <c r="N74" s="31" t="s">
        <v>915</v>
      </c>
      <c r="O74" s="31" t="s">
        <v>639</v>
      </c>
      <c r="P74" s="31" t="s">
        <v>641</v>
      </c>
      <c r="Q74" s="31" t="s">
        <v>642</v>
      </c>
      <c r="R74" s="31" t="s">
        <v>643</v>
      </c>
      <c r="S74" s="110">
        <v>20646696</v>
      </c>
      <c r="T74" s="83">
        <f>+DISPONIBLES[[#This Row],[Avalúo Total 2025]]-DISPONIBLES[[#This Row],[Avalúo Total 2024]]</f>
        <v>546009</v>
      </c>
      <c r="U74" s="83">
        <f>+DISPONIBLES[[#This Row],[Avalúo Afecto Dic-2025]]-DISPONIBLES[[#This Row],[Avalúo Afecto Dic-2024]]</f>
        <v>546009</v>
      </c>
      <c r="V74" s="83">
        <f>+DISPONIBLES[[#This Row],[Avalúo Exento Dic-2025]]-DISPONIBLES[[#This Row],[Avalúo Exento Dic-2024]]</f>
        <v>0</v>
      </c>
      <c r="W74" s="31"/>
      <c r="X74" s="31"/>
      <c r="Y74" s="32"/>
      <c r="Z74" s="31" t="s">
        <v>916</v>
      </c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06">
        <v>0.65</v>
      </c>
      <c r="AL74" s="103">
        <v>3250</v>
      </c>
      <c r="AM74" s="102">
        <v>0.3339765359742346</v>
      </c>
      <c r="AN74" s="103">
        <v>1669.882679871173</v>
      </c>
      <c r="AO74" s="103"/>
      <c r="AP74" s="32">
        <v>43865</v>
      </c>
      <c r="AQ74" s="31" t="s">
        <v>645</v>
      </c>
      <c r="AR74" s="103">
        <v>3250</v>
      </c>
      <c r="AS74" s="31" t="s">
        <v>645</v>
      </c>
      <c r="AT74" s="31" t="s">
        <v>646</v>
      </c>
    </row>
    <row r="75" spans="1:46" ht="14.4" x14ac:dyDescent="0.3">
      <c r="A75" s="30" t="s">
        <v>687</v>
      </c>
      <c r="B75" s="31" t="s">
        <v>80</v>
      </c>
      <c r="C75" s="31" t="s">
        <v>917</v>
      </c>
      <c r="D75" s="31" t="s">
        <v>852</v>
      </c>
      <c r="E75" s="42">
        <v>78440</v>
      </c>
      <c r="F75" s="31" t="s">
        <v>538</v>
      </c>
      <c r="G75" s="116">
        <v>1288286245</v>
      </c>
      <c r="H75" s="116">
        <v>0</v>
      </c>
      <c r="I75" s="116">
        <v>1288286245</v>
      </c>
      <c r="J75" s="116">
        <v>1340331634</v>
      </c>
      <c r="K75" s="116">
        <v>0</v>
      </c>
      <c r="L75" s="116">
        <v>1340331634</v>
      </c>
      <c r="M75" s="31"/>
      <c r="N75" s="31" t="s">
        <v>918</v>
      </c>
      <c r="O75" s="31"/>
      <c r="P75" s="31" t="s">
        <v>641</v>
      </c>
      <c r="Q75" s="31"/>
      <c r="R75" s="31" t="s">
        <v>643</v>
      </c>
      <c r="S75" s="110" t="s">
        <v>920</v>
      </c>
      <c r="T75" s="101">
        <f>+DISPONIBLES[[#This Row],[Avalúo Total 2025]]-DISPONIBLES[[#This Row],[Avalúo Total 2024]]</f>
        <v>52045389</v>
      </c>
      <c r="U75" s="101">
        <f>+DISPONIBLES[[#This Row],[Avalúo Afecto Dic-2025]]-DISPONIBLES[[#This Row],[Avalúo Afecto Dic-2024]]</f>
        <v>52045389</v>
      </c>
      <c r="V75" s="101">
        <f>+DISPONIBLES[[#This Row],[Avalúo Exento Dic-2025]]-DISPONIBLES[[#This Row],[Avalúo Exento Dic-2024]]</f>
        <v>0</v>
      </c>
      <c r="W75" s="31"/>
      <c r="X75" s="31"/>
      <c r="Y75" s="32"/>
      <c r="Z75" s="31" t="s">
        <v>919</v>
      </c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06">
        <v>0.69</v>
      </c>
      <c r="AL75" s="103">
        <v>54509.999999999993</v>
      </c>
      <c r="AM75" s="102">
        <v>0.68200000000000005</v>
      </c>
      <c r="AN75" s="103">
        <v>53495.999999999985</v>
      </c>
      <c r="AO75" s="103"/>
      <c r="AP75" s="32">
        <v>44634</v>
      </c>
      <c r="AQ75" s="31" t="s">
        <v>692</v>
      </c>
      <c r="AR75" s="103">
        <v>53495.999999999985</v>
      </c>
      <c r="AS75" s="31" t="s">
        <v>88</v>
      </c>
      <c r="AT75" s="31"/>
    </row>
    <row r="76" spans="1:46" ht="14.4" x14ac:dyDescent="0.3">
      <c r="A76" s="30" t="s">
        <v>496</v>
      </c>
      <c r="B76" s="31" t="s">
        <v>80</v>
      </c>
      <c r="C76" s="31" t="s">
        <v>921</v>
      </c>
      <c r="D76" s="31" t="s">
        <v>922</v>
      </c>
      <c r="E76" s="42">
        <f>60454.05-3356</f>
        <v>57098.05</v>
      </c>
      <c r="F76" s="31" t="s">
        <v>538</v>
      </c>
      <c r="G76" s="107">
        <v>3364319186</v>
      </c>
      <c r="H76" s="107">
        <v>402912477</v>
      </c>
      <c r="I76" s="107">
        <v>2961406709</v>
      </c>
      <c r="J76" s="107">
        <v>3434968812</v>
      </c>
      <c r="K76" s="107">
        <v>411373510</v>
      </c>
      <c r="L76" s="107">
        <v>3023595302</v>
      </c>
      <c r="M76" s="31"/>
      <c r="N76" s="31" t="s">
        <v>923</v>
      </c>
      <c r="O76" s="31" t="s">
        <v>923</v>
      </c>
      <c r="P76" s="31" t="s">
        <v>641</v>
      </c>
      <c r="Q76" s="31" t="s">
        <v>642</v>
      </c>
      <c r="R76" s="31" t="s">
        <v>643</v>
      </c>
      <c r="S76" s="112">
        <v>4142049275</v>
      </c>
      <c r="T76" s="83">
        <f>+DISPONIBLES[[#This Row],[Avalúo Total 2025]]-DISPONIBLES[[#This Row],[Avalúo Total 2024]]</f>
        <v>70649626</v>
      </c>
      <c r="U76" s="83">
        <f>+DISPONIBLES[[#This Row],[Avalúo Afecto Dic-2025]]-DISPONIBLES[[#This Row],[Avalúo Afecto Dic-2024]]</f>
        <v>62188593</v>
      </c>
      <c r="V76" s="83">
        <f>+DISPONIBLES[[#This Row],[Avalúo Exento Dic-2025]]-DISPONIBLES[[#This Row],[Avalúo Exento Dic-2024]]</f>
        <v>8461033</v>
      </c>
      <c r="W76" s="31"/>
      <c r="X76" s="31"/>
      <c r="Y76" s="32"/>
      <c r="Z76" s="31" t="s">
        <v>924</v>
      </c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06">
        <v>13</v>
      </c>
      <c r="AL76" s="103">
        <v>742268.79610000004</v>
      </c>
      <c r="AM76" s="102">
        <v>3.074873840187808</v>
      </c>
      <c r="AN76" s="103">
        <v>175567.91565504522</v>
      </c>
      <c r="AO76" s="103"/>
      <c r="AP76" s="32">
        <v>45493</v>
      </c>
      <c r="AQ76" s="31" t="s">
        <v>154</v>
      </c>
      <c r="AR76" s="103">
        <v>183903</v>
      </c>
      <c r="AS76" s="31" t="s">
        <v>154</v>
      </c>
      <c r="AT76" s="31" t="s">
        <v>646</v>
      </c>
    </row>
    <row r="77" spans="1:46" ht="14.4" x14ac:dyDescent="0.3">
      <c r="A77" s="30" t="s">
        <v>687</v>
      </c>
      <c r="B77" s="31" t="s">
        <v>80</v>
      </c>
      <c r="C77" s="31" t="s">
        <v>925</v>
      </c>
      <c r="D77" s="31" t="s">
        <v>926</v>
      </c>
      <c r="E77" s="42">
        <v>3460</v>
      </c>
      <c r="F77" s="31" t="s">
        <v>538</v>
      </c>
      <c r="G77" s="107">
        <v>75169499</v>
      </c>
      <c r="H77" s="107">
        <v>9665712</v>
      </c>
      <c r="I77" s="107">
        <v>65503787</v>
      </c>
      <c r="J77" s="107">
        <v>76748034</v>
      </c>
      <c r="K77" s="107">
        <v>9868688</v>
      </c>
      <c r="L77" s="107">
        <v>66879346</v>
      </c>
      <c r="M77" s="31"/>
      <c r="N77" s="31" t="s">
        <v>927</v>
      </c>
      <c r="O77" s="31" t="s">
        <v>927</v>
      </c>
      <c r="P77" s="31" t="s">
        <v>641</v>
      </c>
      <c r="Q77" s="31" t="s">
        <v>642</v>
      </c>
      <c r="R77" s="31" t="s">
        <v>643</v>
      </c>
      <c r="S77" s="110">
        <v>43268631</v>
      </c>
      <c r="T77" s="83">
        <f>+DISPONIBLES[[#This Row],[Avalúo Total 2025]]-DISPONIBLES[[#This Row],[Avalúo Total 2024]]</f>
        <v>1578535</v>
      </c>
      <c r="U77" s="83">
        <f>+DISPONIBLES[[#This Row],[Avalúo Afecto Dic-2025]]-DISPONIBLES[[#This Row],[Avalúo Afecto Dic-2024]]</f>
        <v>1375559</v>
      </c>
      <c r="V77" s="83">
        <f>+DISPONIBLES[[#This Row],[Avalúo Exento Dic-2025]]-DISPONIBLES[[#This Row],[Avalúo Exento Dic-2024]]</f>
        <v>202976</v>
      </c>
      <c r="W77" s="31"/>
      <c r="X77" s="31"/>
      <c r="Y77" s="32"/>
      <c r="Z77" s="31" t="s">
        <v>928</v>
      </c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06">
        <v>5</v>
      </c>
      <c r="AL77" s="103">
        <v>20000</v>
      </c>
      <c r="AM77" s="102">
        <v>5</v>
      </c>
      <c r="AN77" s="103">
        <v>17300</v>
      </c>
      <c r="AO77" s="103"/>
      <c r="AP77" s="32">
        <v>44634</v>
      </c>
      <c r="AQ77" s="31" t="s">
        <v>692</v>
      </c>
      <c r="AR77" s="103">
        <v>17300</v>
      </c>
      <c r="AS77" s="31" t="s">
        <v>88</v>
      </c>
      <c r="AT77" s="31"/>
    </row>
    <row r="78" spans="1:46" ht="14.4" x14ac:dyDescent="0.3">
      <c r="A78" s="30" t="s">
        <v>79</v>
      </c>
      <c r="B78" s="31" t="s">
        <v>80</v>
      </c>
      <c r="C78" s="31" t="s">
        <v>929</v>
      </c>
      <c r="D78" s="31" t="s">
        <v>930</v>
      </c>
      <c r="E78" s="42">
        <v>1185</v>
      </c>
      <c r="F78" s="31" t="s">
        <v>538</v>
      </c>
      <c r="G78" s="107">
        <v>143103664</v>
      </c>
      <c r="H78" s="107">
        <v>36711825</v>
      </c>
      <c r="I78" s="107">
        <v>106391839</v>
      </c>
      <c r="J78" s="107">
        <v>148884899</v>
      </c>
      <c r="K78" s="107">
        <v>38194945</v>
      </c>
      <c r="L78" s="107">
        <v>110689954</v>
      </c>
      <c r="M78" s="31"/>
      <c r="N78" s="31"/>
      <c r="O78" s="31" t="s">
        <v>931</v>
      </c>
      <c r="P78" s="31" t="s">
        <v>641</v>
      </c>
      <c r="Q78" s="31" t="s">
        <v>642</v>
      </c>
      <c r="R78" s="31" t="s">
        <v>643</v>
      </c>
      <c r="S78" s="84" t="s">
        <v>682</v>
      </c>
      <c r="T78" s="83">
        <f>+DISPONIBLES[[#This Row],[Avalúo Total 2025]]-DISPONIBLES[[#This Row],[Avalúo Total 2024]]</f>
        <v>5781235</v>
      </c>
      <c r="U78" s="83">
        <f>+DISPONIBLES[[#This Row],[Avalúo Afecto Dic-2025]]-DISPONIBLES[[#This Row],[Avalúo Afecto Dic-2024]]</f>
        <v>4298115</v>
      </c>
      <c r="V78" s="83">
        <f>+DISPONIBLES[[#This Row],[Avalúo Exento Dic-2025]]-DISPONIBLES[[#This Row],[Avalúo Exento Dic-2024]]</f>
        <v>1483120</v>
      </c>
      <c r="W78" s="31"/>
      <c r="X78" s="31"/>
      <c r="Y78" s="32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06"/>
      <c r="AL78" s="103"/>
      <c r="AM78" s="102"/>
      <c r="AN78" s="103"/>
      <c r="AO78" s="103"/>
      <c r="AP78" s="32"/>
      <c r="AQ78" s="31"/>
      <c r="AR78" s="103"/>
      <c r="AS78" s="31" t="s">
        <v>88</v>
      </c>
      <c r="AT78" s="31"/>
    </row>
    <row r="79" spans="1:46" ht="14.4" x14ac:dyDescent="0.3">
      <c r="A79" s="30" t="s">
        <v>70</v>
      </c>
      <c r="B79" s="31" t="s">
        <v>169</v>
      </c>
      <c r="C79" s="31" t="s">
        <v>932</v>
      </c>
      <c r="D79" s="31" t="s">
        <v>933</v>
      </c>
      <c r="E79" s="42">
        <v>33442</v>
      </c>
      <c r="F79" s="31" t="s">
        <v>538</v>
      </c>
      <c r="G79" s="107">
        <v>707296001</v>
      </c>
      <c r="H79" s="107">
        <v>46221791</v>
      </c>
      <c r="I79" s="107">
        <v>661074210</v>
      </c>
      <c r="J79" s="107">
        <v>735870345</v>
      </c>
      <c r="K79" s="107">
        <v>48089106</v>
      </c>
      <c r="L79" s="107">
        <v>687781239</v>
      </c>
      <c r="M79" s="31" t="s">
        <v>934</v>
      </c>
      <c r="N79" s="31" t="s">
        <v>935</v>
      </c>
      <c r="O79" s="31" t="s">
        <v>934</v>
      </c>
      <c r="P79" s="31" t="s">
        <v>641</v>
      </c>
      <c r="Q79" s="31" t="s">
        <v>642</v>
      </c>
      <c r="R79" s="31" t="s">
        <v>680</v>
      </c>
      <c r="S79" s="110">
        <v>163879651</v>
      </c>
      <c r="T79" s="83">
        <f>+DISPONIBLES[[#This Row],[Avalúo Total 2025]]-DISPONIBLES[[#This Row],[Avalúo Total 2024]]</f>
        <v>28574344</v>
      </c>
      <c r="U79" s="83">
        <f>+DISPONIBLES[[#This Row],[Avalúo Afecto Dic-2025]]-DISPONIBLES[[#This Row],[Avalúo Afecto Dic-2024]]</f>
        <v>26707029</v>
      </c>
      <c r="V79" s="83">
        <f>+DISPONIBLES[[#This Row],[Avalúo Exento Dic-2025]]-DISPONIBLES[[#This Row],[Avalúo Exento Dic-2024]]</f>
        <v>1867315</v>
      </c>
      <c r="W79" s="31">
        <v>33442</v>
      </c>
      <c r="X79" s="31" t="s">
        <v>936</v>
      </c>
      <c r="Y79" s="32">
        <v>37487</v>
      </c>
      <c r="Z79" s="31" t="s">
        <v>937</v>
      </c>
      <c r="AA79" s="31"/>
      <c r="AB79" s="31" t="s">
        <v>177</v>
      </c>
      <c r="AC79" s="31"/>
      <c r="AD79" s="31"/>
      <c r="AE79" s="31"/>
      <c r="AF79" s="31"/>
      <c r="AG79" s="31"/>
      <c r="AH79" s="31"/>
      <c r="AI79" s="31"/>
      <c r="AJ79" s="31"/>
      <c r="AK79" s="106">
        <v>0.2</v>
      </c>
      <c r="AL79" s="103">
        <v>6688.4012000000002</v>
      </c>
      <c r="AM79" s="102">
        <v>7.2999999999999995E-2</v>
      </c>
      <c r="AN79" s="103">
        <v>2451.4251171747883</v>
      </c>
      <c r="AO79" s="103"/>
      <c r="AP79" s="32">
        <v>45622</v>
      </c>
      <c r="AQ79" s="31" t="s">
        <v>645</v>
      </c>
      <c r="AR79" s="103">
        <v>3720.9473415962157</v>
      </c>
      <c r="AS79" s="31" t="s">
        <v>645</v>
      </c>
      <c r="AT79" s="31"/>
    </row>
    <row r="80" spans="1:46" ht="14.4" x14ac:dyDescent="0.3">
      <c r="A80" s="30" t="s">
        <v>70</v>
      </c>
      <c r="B80" s="31" t="s">
        <v>169</v>
      </c>
      <c r="C80" s="31" t="s">
        <v>938</v>
      </c>
      <c r="D80" s="31" t="s">
        <v>933</v>
      </c>
      <c r="E80" s="42">
        <v>34168.120000000003</v>
      </c>
      <c r="F80" s="31" t="s">
        <v>538</v>
      </c>
      <c r="G80" s="107">
        <v>707296001</v>
      </c>
      <c r="H80" s="107">
        <v>46221791</v>
      </c>
      <c r="I80" s="107">
        <v>661074210</v>
      </c>
      <c r="J80" s="107">
        <v>735870345</v>
      </c>
      <c r="K80" s="107">
        <v>48089106</v>
      </c>
      <c r="L80" s="107">
        <v>687781239</v>
      </c>
      <c r="M80" s="31" t="s">
        <v>934</v>
      </c>
      <c r="N80" s="31" t="s">
        <v>939</v>
      </c>
      <c r="O80" s="31" t="s">
        <v>934</v>
      </c>
      <c r="P80" s="31" t="s">
        <v>641</v>
      </c>
      <c r="Q80" s="31" t="s">
        <v>642</v>
      </c>
      <c r="R80" s="31" t="s">
        <v>680</v>
      </c>
      <c r="S80" s="110">
        <v>167513047</v>
      </c>
      <c r="T80" s="83">
        <f>+DISPONIBLES[[#This Row],[Avalúo Total 2025]]-DISPONIBLES[[#This Row],[Avalúo Total 2024]]</f>
        <v>28574344</v>
      </c>
      <c r="U80" s="83">
        <f>+DISPONIBLES[[#This Row],[Avalúo Afecto Dic-2025]]-DISPONIBLES[[#This Row],[Avalúo Afecto Dic-2024]]</f>
        <v>26707029</v>
      </c>
      <c r="V80" s="83">
        <f>+DISPONIBLES[[#This Row],[Avalúo Exento Dic-2025]]-DISPONIBLES[[#This Row],[Avalúo Exento Dic-2024]]</f>
        <v>1867315</v>
      </c>
      <c r="W80" s="31">
        <v>34168.120000000003</v>
      </c>
      <c r="X80" s="31" t="s">
        <v>936</v>
      </c>
      <c r="Y80" s="32">
        <v>37487</v>
      </c>
      <c r="Z80" s="31" t="s">
        <v>940</v>
      </c>
      <c r="AA80" s="31"/>
      <c r="AB80" s="31" t="s">
        <v>177</v>
      </c>
      <c r="AC80" s="31"/>
      <c r="AD80" s="31"/>
      <c r="AE80" s="31"/>
      <c r="AF80" s="31"/>
      <c r="AG80" s="31"/>
      <c r="AH80" s="31"/>
      <c r="AI80" s="31"/>
      <c r="AJ80" s="31"/>
      <c r="AK80" s="106">
        <v>0.2</v>
      </c>
      <c r="AL80" s="103">
        <v>6833.6240000000007</v>
      </c>
      <c r="AM80" s="102">
        <v>8.9999999999999993E-3</v>
      </c>
      <c r="AN80" s="103">
        <v>313.08155752736917</v>
      </c>
      <c r="AO80" s="103"/>
      <c r="AP80" s="32">
        <v>45622</v>
      </c>
      <c r="AQ80" s="31" t="s">
        <v>645</v>
      </c>
      <c r="AR80" s="103">
        <v>313.08155752736917</v>
      </c>
      <c r="AS80" s="31" t="s">
        <v>645</v>
      </c>
      <c r="AT80" s="31"/>
    </row>
    <row r="81" spans="1:46" ht="14.4" x14ac:dyDescent="0.3">
      <c r="A81" s="30" t="s">
        <v>70</v>
      </c>
      <c r="B81" s="31" t="s">
        <v>169</v>
      </c>
      <c r="C81" s="31" t="s">
        <v>941</v>
      </c>
      <c r="D81" s="31" t="s">
        <v>933</v>
      </c>
      <c r="E81" s="42">
        <v>42300</v>
      </c>
      <c r="F81" s="31" t="s">
        <v>538</v>
      </c>
      <c r="G81" s="107">
        <v>707296001</v>
      </c>
      <c r="H81" s="107">
        <v>46221791</v>
      </c>
      <c r="I81" s="107">
        <v>661074210</v>
      </c>
      <c r="J81" s="107">
        <v>735870345</v>
      </c>
      <c r="K81" s="107">
        <v>48089106</v>
      </c>
      <c r="L81" s="107">
        <v>687781239</v>
      </c>
      <c r="M81" s="31" t="s">
        <v>934</v>
      </c>
      <c r="N81" s="31" t="s">
        <v>942</v>
      </c>
      <c r="O81" s="31" t="s">
        <v>934</v>
      </c>
      <c r="P81" s="31" t="s">
        <v>641</v>
      </c>
      <c r="Q81" s="31" t="s">
        <v>642</v>
      </c>
      <c r="R81" s="31" t="s">
        <v>680</v>
      </c>
      <c r="S81" s="110">
        <v>176043004</v>
      </c>
      <c r="T81" s="83">
        <f>+DISPONIBLES[[#This Row],[Avalúo Total 2025]]-DISPONIBLES[[#This Row],[Avalúo Total 2024]]</f>
        <v>28574344</v>
      </c>
      <c r="U81" s="83">
        <f>+DISPONIBLES[[#This Row],[Avalúo Afecto Dic-2025]]-DISPONIBLES[[#This Row],[Avalúo Afecto Dic-2024]]</f>
        <v>26707029</v>
      </c>
      <c r="V81" s="83">
        <f>+DISPONIBLES[[#This Row],[Avalúo Exento Dic-2025]]-DISPONIBLES[[#This Row],[Avalúo Exento Dic-2024]]</f>
        <v>1867315</v>
      </c>
      <c r="W81" s="31">
        <v>42300</v>
      </c>
      <c r="X81" s="31" t="s">
        <v>936</v>
      </c>
      <c r="Y81" s="32">
        <v>37487</v>
      </c>
      <c r="Z81" s="31" t="s">
        <v>943</v>
      </c>
      <c r="AA81" s="31"/>
      <c r="AB81" s="31" t="s">
        <v>177</v>
      </c>
      <c r="AC81" s="31"/>
      <c r="AD81" s="31"/>
      <c r="AE81" s="31"/>
      <c r="AF81" s="31"/>
      <c r="AG81" s="31"/>
      <c r="AH81" s="31"/>
      <c r="AI81" s="31"/>
      <c r="AJ81" s="31"/>
      <c r="AK81" s="106">
        <v>0.2</v>
      </c>
      <c r="AL81" s="103">
        <v>8460</v>
      </c>
      <c r="AM81" s="102">
        <v>5.5E-2</v>
      </c>
      <c r="AN81" s="103">
        <v>2325.5625214511742</v>
      </c>
      <c r="AO81" s="103"/>
      <c r="AP81" s="32">
        <v>45622</v>
      </c>
      <c r="AQ81" s="31" t="s">
        <v>645</v>
      </c>
      <c r="AR81" s="103">
        <v>4706.5380153786209</v>
      </c>
      <c r="AS81" s="31" t="s">
        <v>645</v>
      </c>
      <c r="AT81" s="31"/>
    </row>
    <row r="82" spans="1:46" ht="14.4" x14ac:dyDescent="0.3">
      <c r="A82" s="30" t="s">
        <v>70</v>
      </c>
      <c r="B82" s="31" t="s">
        <v>169</v>
      </c>
      <c r="C82" s="31" t="s">
        <v>944</v>
      </c>
      <c r="D82" s="31" t="s">
        <v>933</v>
      </c>
      <c r="E82" s="42">
        <v>52095.31</v>
      </c>
      <c r="F82" s="31" t="s">
        <v>538</v>
      </c>
      <c r="G82" s="107">
        <v>707296001</v>
      </c>
      <c r="H82" s="107">
        <v>46221791</v>
      </c>
      <c r="I82" s="107">
        <v>661074210</v>
      </c>
      <c r="J82" s="107">
        <v>735870345</v>
      </c>
      <c r="K82" s="107">
        <v>48089106</v>
      </c>
      <c r="L82" s="107">
        <v>687781239</v>
      </c>
      <c r="M82" s="31" t="s">
        <v>934</v>
      </c>
      <c r="N82" s="31" t="s">
        <v>945</v>
      </c>
      <c r="O82" s="31" t="s">
        <v>934</v>
      </c>
      <c r="P82" s="31" t="s">
        <v>641</v>
      </c>
      <c r="Q82" s="31" t="s">
        <v>642</v>
      </c>
      <c r="R82" s="31" t="s">
        <v>680</v>
      </c>
      <c r="S82" s="110">
        <v>255403110</v>
      </c>
      <c r="T82" s="83">
        <f>+DISPONIBLES[[#This Row],[Avalúo Total 2025]]-DISPONIBLES[[#This Row],[Avalúo Total 2024]]</f>
        <v>28574344</v>
      </c>
      <c r="U82" s="83">
        <f>+DISPONIBLES[[#This Row],[Avalúo Afecto Dic-2025]]-DISPONIBLES[[#This Row],[Avalúo Afecto Dic-2024]]</f>
        <v>26707029</v>
      </c>
      <c r="V82" s="83">
        <f>+DISPONIBLES[[#This Row],[Avalúo Exento Dic-2025]]-DISPONIBLES[[#This Row],[Avalúo Exento Dic-2024]]</f>
        <v>1867315</v>
      </c>
      <c r="W82" s="31">
        <v>52095.31</v>
      </c>
      <c r="X82" s="31" t="s">
        <v>936</v>
      </c>
      <c r="Y82" s="32">
        <v>37487</v>
      </c>
      <c r="Z82" s="31" t="s">
        <v>946</v>
      </c>
      <c r="AA82" s="31"/>
      <c r="AB82" s="31" t="s">
        <v>177</v>
      </c>
      <c r="AC82" s="31"/>
      <c r="AD82" s="31"/>
      <c r="AE82" s="31"/>
      <c r="AF82" s="31"/>
      <c r="AG82" s="31"/>
      <c r="AH82" s="31"/>
      <c r="AI82" s="31"/>
      <c r="AJ82" s="31"/>
      <c r="AK82" s="106">
        <v>0.2</v>
      </c>
      <c r="AL82" s="103">
        <v>10419.062</v>
      </c>
      <c r="AM82" s="102">
        <v>8.9999999999999993E-3</v>
      </c>
      <c r="AN82" s="103">
        <v>477.34791363034105</v>
      </c>
      <c r="AO82" s="103"/>
      <c r="AP82" s="32">
        <v>45622</v>
      </c>
      <c r="AQ82" s="31" t="s">
        <v>645</v>
      </c>
      <c r="AR82" s="103">
        <v>5796.4197857667614</v>
      </c>
      <c r="AS82" s="31" t="s">
        <v>645</v>
      </c>
      <c r="AT82" s="31"/>
    </row>
    <row r="83" spans="1:46" ht="14.4" x14ac:dyDescent="0.3">
      <c r="A83" s="30" t="s">
        <v>70</v>
      </c>
      <c r="B83" s="31" t="s">
        <v>169</v>
      </c>
      <c r="C83" s="31" t="s">
        <v>947</v>
      </c>
      <c r="D83" s="31" t="s">
        <v>933</v>
      </c>
      <c r="E83" s="42">
        <v>53875</v>
      </c>
      <c r="F83" s="31" t="s">
        <v>538</v>
      </c>
      <c r="G83" s="107">
        <v>707296001</v>
      </c>
      <c r="H83" s="107">
        <v>46221791</v>
      </c>
      <c r="I83" s="107">
        <v>661074210</v>
      </c>
      <c r="J83" s="107">
        <v>735870345</v>
      </c>
      <c r="K83" s="107">
        <v>48089106</v>
      </c>
      <c r="L83" s="107">
        <v>687781239</v>
      </c>
      <c r="M83" s="31" t="s">
        <v>934</v>
      </c>
      <c r="N83" s="31" t="s">
        <v>948</v>
      </c>
      <c r="O83" s="31" t="s">
        <v>934</v>
      </c>
      <c r="P83" s="31" t="s">
        <v>641</v>
      </c>
      <c r="Q83" s="31" t="s">
        <v>642</v>
      </c>
      <c r="R83" s="31" t="s">
        <v>680</v>
      </c>
      <c r="S83" s="110">
        <v>264128242</v>
      </c>
      <c r="T83" s="83">
        <f>+DISPONIBLES[[#This Row],[Avalúo Total 2025]]-DISPONIBLES[[#This Row],[Avalúo Total 2024]]</f>
        <v>28574344</v>
      </c>
      <c r="U83" s="83">
        <f>+DISPONIBLES[[#This Row],[Avalúo Afecto Dic-2025]]-DISPONIBLES[[#This Row],[Avalúo Afecto Dic-2024]]</f>
        <v>26707029</v>
      </c>
      <c r="V83" s="83">
        <f>+DISPONIBLES[[#This Row],[Avalúo Exento Dic-2025]]-DISPONIBLES[[#This Row],[Avalúo Exento Dic-2024]]</f>
        <v>1867315</v>
      </c>
      <c r="W83" s="31">
        <v>53875</v>
      </c>
      <c r="X83" s="31" t="s">
        <v>936</v>
      </c>
      <c r="Y83" s="32">
        <v>37487</v>
      </c>
      <c r="Z83" s="31" t="s">
        <v>949</v>
      </c>
      <c r="AA83" s="31"/>
      <c r="AB83" s="31" t="s">
        <v>177</v>
      </c>
      <c r="AC83" s="31"/>
      <c r="AD83" s="31"/>
      <c r="AE83" s="31"/>
      <c r="AF83" s="31"/>
      <c r="AG83" s="31"/>
      <c r="AH83" s="31"/>
      <c r="AI83" s="31"/>
      <c r="AJ83" s="31"/>
      <c r="AK83" s="106">
        <v>0.2</v>
      </c>
      <c r="AL83" s="103">
        <v>10775</v>
      </c>
      <c r="AM83" s="102">
        <v>6.8000000000000005E-2</v>
      </c>
      <c r="AN83" s="103">
        <v>3667.1526532958824</v>
      </c>
      <c r="AO83" s="103"/>
      <c r="AP83" s="32">
        <v>45622</v>
      </c>
      <c r="AQ83" s="31" t="s">
        <v>645</v>
      </c>
      <c r="AR83" s="103">
        <v>5994.4381933457016</v>
      </c>
      <c r="AS83" s="31" t="s">
        <v>645</v>
      </c>
      <c r="AT83" s="31"/>
    </row>
    <row r="84" spans="1:46" ht="14.4" x14ac:dyDescent="0.3">
      <c r="A84" s="30" t="s">
        <v>70</v>
      </c>
      <c r="B84" s="31" t="s">
        <v>169</v>
      </c>
      <c r="C84" s="31" t="s">
        <v>950</v>
      </c>
      <c r="D84" s="31" t="s">
        <v>933</v>
      </c>
      <c r="E84" s="42">
        <v>56036</v>
      </c>
      <c r="F84" s="31" t="s">
        <v>538</v>
      </c>
      <c r="G84" s="107">
        <v>707296001</v>
      </c>
      <c r="H84" s="107">
        <v>46221791</v>
      </c>
      <c r="I84" s="107">
        <v>661074210</v>
      </c>
      <c r="J84" s="107">
        <v>735870345</v>
      </c>
      <c r="K84" s="107">
        <v>48089106</v>
      </c>
      <c r="L84" s="107">
        <v>687781239</v>
      </c>
      <c r="M84" s="31" t="s">
        <v>934</v>
      </c>
      <c r="N84" s="31" t="s">
        <v>951</v>
      </c>
      <c r="O84" s="31" t="s">
        <v>934</v>
      </c>
      <c r="P84" s="31" t="s">
        <v>641</v>
      </c>
      <c r="Q84" s="31" t="s">
        <v>642</v>
      </c>
      <c r="R84" s="31" t="s">
        <v>680</v>
      </c>
      <c r="S84" s="110">
        <v>274722786</v>
      </c>
      <c r="T84" s="83">
        <f>+DISPONIBLES[[#This Row],[Avalúo Total 2025]]-DISPONIBLES[[#This Row],[Avalúo Total 2024]]</f>
        <v>28574344</v>
      </c>
      <c r="U84" s="83">
        <f>+DISPONIBLES[[#This Row],[Avalúo Afecto Dic-2025]]-DISPONIBLES[[#This Row],[Avalúo Afecto Dic-2024]]</f>
        <v>26707029</v>
      </c>
      <c r="V84" s="83">
        <f>+DISPONIBLES[[#This Row],[Avalúo Exento Dic-2025]]-DISPONIBLES[[#This Row],[Avalúo Exento Dic-2024]]</f>
        <v>1867315</v>
      </c>
      <c r="W84" s="31">
        <v>56036</v>
      </c>
      <c r="X84" s="31" t="s">
        <v>936</v>
      </c>
      <c r="Y84" s="32">
        <v>37487</v>
      </c>
      <c r="Z84" s="31" t="s">
        <v>952</v>
      </c>
      <c r="AA84" s="31"/>
      <c r="AB84" s="31" t="s">
        <v>177</v>
      </c>
      <c r="AC84" s="31"/>
      <c r="AD84" s="31"/>
      <c r="AE84" s="31"/>
      <c r="AF84" s="31"/>
      <c r="AG84" s="31"/>
      <c r="AH84" s="31"/>
      <c r="AI84" s="31"/>
      <c r="AJ84" s="31"/>
      <c r="AK84" s="106">
        <v>0.2</v>
      </c>
      <c r="AL84" s="103">
        <v>11207.2</v>
      </c>
      <c r="AM84" s="102">
        <v>6.8000000000000005E-2</v>
      </c>
      <c r="AN84" s="103">
        <v>3814.2471662197318</v>
      </c>
      <c r="AO84" s="103"/>
      <c r="AP84" s="32">
        <v>45622</v>
      </c>
      <c r="AQ84" s="31" t="s">
        <v>645</v>
      </c>
      <c r="AR84" s="103">
        <v>6234.8833151242643</v>
      </c>
      <c r="AS84" s="31" t="s">
        <v>645</v>
      </c>
      <c r="AT84" s="31"/>
    </row>
    <row r="85" spans="1:46" ht="14.4" x14ac:dyDescent="0.3">
      <c r="A85" s="30" t="s">
        <v>869</v>
      </c>
      <c r="B85" s="31" t="s">
        <v>169</v>
      </c>
      <c r="C85" s="31" t="s">
        <v>953</v>
      </c>
      <c r="D85" s="31" t="s">
        <v>933</v>
      </c>
      <c r="E85" s="42">
        <v>56912</v>
      </c>
      <c r="F85" s="31" t="s">
        <v>538</v>
      </c>
      <c r="G85" s="107">
        <v>707296001</v>
      </c>
      <c r="H85" s="107">
        <v>46221791</v>
      </c>
      <c r="I85" s="107">
        <v>661074210</v>
      </c>
      <c r="J85" s="107">
        <v>735870345</v>
      </c>
      <c r="K85" s="107">
        <v>48089106</v>
      </c>
      <c r="L85" s="107">
        <v>687781239</v>
      </c>
      <c r="M85" s="31" t="s">
        <v>934</v>
      </c>
      <c r="N85" s="31" t="s">
        <v>954</v>
      </c>
      <c r="O85" s="31" t="s">
        <v>934</v>
      </c>
      <c r="P85" s="31" t="s">
        <v>641</v>
      </c>
      <c r="Q85" s="31" t="s">
        <v>642</v>
      </c>
      <c r="R85" s="31" t="s">
        <v>680</v>
      </c>
      <c r="S85" s="110">
        <v>296664916</v>
      </c>
      <c r="T85" s="83">
        <f>+DISPONIBLES[[#This Row],[Avalúo Total 2025]]-DISPONIBLES[[#This Row],[Avalúo Total 2024]]</f>
        <v>28574344</v>
      </c>
      <c r="U85" s="83">
        <f>+DISPONIBLES[[#This Row],[Avalúo Afecto Dic-2025]]-DISPONIBLES[[#This Row],[Avalúo Afecto Dic-2024]]</f>
        <v>26707029</v>
      </c>
      <c r="V85" s="83">
        <f>+DISPONIBLES[[#This Row],[Avalúo Exento Dic-2025]]-DISPONIBLES[[#This Row],[Avalúo Exento Dic-2024]]</f>
        <v>1867315</v>
      </c>
      <c r="W85" s="31"/>
      <c r="X85" s="31"/>
      <c r="Y85" s="32"/>
      <c r="Z85" s="31" t="s">
        <v>955</v>
      </c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106">
        <v>0.2</v>
      </c>
      <c r="AL85" s="104">
        <v>11382.400000000001</v>
      </c>
      <c r="AM85" s="102">
        <v>6.8000000000000005E-2</v>
      </c>
      <c r="AN85" s="104">
        <v>3873.8745578538328</v>
      </c>
      <c r="AO85" s="103"/>
      <c r="AP85" s="32">
        <v>45622</v>
      </c>
      <c r="AQ85" s="31" t="s">
        <v>645</v>
      </c>
      <c r="AR85" s="104">
        <v>6332.3520456555098</v>
      </c>
      <c r="AS85" s="31" t="s">
        <v>645</v>
      </c>
      <c r="AT85" s="31"/>
    </row>
    <row r="86" spans="1:46" ht="14.4" x14ac:dyDescent="0.3">
      <c r="A86" s="30" t="s">
        <v>70</v>
      </c>
      <c r="B86" s="31" t="s">
        <v>169</v>
      </c>
      <c r="C86" s="31" t="s">
        <v>956</v>
      </c>
      <c r="D86" s="31" t="s">
        <v>902</v>
      </c>
      <c r="E86" s="42">
        <v>58885.95</v>
      </c>
      <c r="F86" s="31" t="s">
        <v>538</v>
      </c>
      <c r="G86" s="107">
        <v>59930463</v>
      </c>
      <c r="H86" s="107">
        <v>46221791</v>
      </c>
      <c r="I86" s="107">
        <v>13708672</v>
      </c>
      <c r="J86" s="107">
        <v>62351619</v>
      </c>
      <c r="K86" s="107">
        <v>48089106</v>
      </c>
      <c r="L86" s="107">
        <v>14262513</v>
      </c>
      <c r="M86" s="31" t="s">
        <v>903</v>
      </c>
      <c r="N86" s="31" t="s">
        <v>957</v>
      </c>
      <c r="O86" s="31" t="s">
        <v>903</v>
      </c>
      <c r="P86" s="31" t="s">
        <v>641</v>
      </c>
      <c r="Q86" s="31" t="s">
        <v>642</v>
      </c>
      <c r="R86" s="31" t="s">
        <v>782</v>
      </c>
      <c r="S86" s="110">
        <v>418876169</v>
      </c>
      <c r="T86" s="83">
        <f>+DISPONIBLES[[#This Row],[Avalúo Total 2025]]-DISPONIBLES[[#This Row],[Avalúo Total 2024]]</f>
        <v>2421156</v>
      </c>
      <c r="U86" s="83">
        <f>+DISPONIBLES[[#This Row],[Avalúo Afecto Dic-2025]]-DISPONIBLES[[#This Row],[Avalúo Afecto Dic-2024]]</f>
        <v>553841</v>
      </c>
      <c r="V86" s="83">
        <f>+DISPONIBLES[[#This Row],[Avalúo Exento Dic-2025]]-DISPONIBLES[[#This Row],[Avalúo Exento Dic-2024]]</f>
        <v>1867315</v>
      </c>
      <c r="W86" s="31"/>
      <c r="X86" s="31"/>
      <c r="Y86" s="32"/>
      <c r="Z86" s="31" t="s">
        <v>958</v>
      </c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06">
        <v>0.3</v>
      </c>
      <c r="AL86" s="103">
        <f>74850/4</f>
        <v>18712.5</v>
      </c>
      <c r="AM86" s="102">
        <v>0.17016949659318639</v>
      </c>
      <c r="AN86" s="103">
        <f>42457.2894/4</f>
        <v>10614.32235</v>
      </c>
      <c r="AO86" s="103"/>
      <c r="AP86" s="32">
        <v>45622</v>
      </c>
      <c r="AQ86" s="31" t="s">
        <v>645</v>
      </c>
      <c r="AR86" s="103">
        <f>50014.6518450007/4</f>
        <v>12503.662961250175</v>
      </c>
      <c r="AS86" s="31" t="s">
        <v>645</v>
      </c>
      <c r="AT86" s="31" t="s">
        <v>109</v>
      </c>
    </row>
    <row r="87" spans="1:46" ht="14.4" x14ac:dyDescent="0.3">
      <c r="A87" s="30" t="s">
        <v>70</v>
      </c>
      <c r="B87" s="31" t="s">
        <v>71</v>
      </c>
      <c r="C87" s="31" t="s">
        <v>959</v>
      </c>
      <c r="D87" s="31" t="s">
        <v>638</v>
      </c>
      <c r="E87" s="42">
        <v>5000</v>
      </c>
      <c r="F87" s="31" t="s">
        <v>538</v>
      </c>
      <c r="G87" s="107">
        <v>13515423</v>
      </c>
      <c r="H87" s="107">
        <v>0</v>
      </c>
      <c r="I87" s="107">
        <v>13515423</v>
      </c>
      <c r="J87" s="107">
        <v>14061432</v>
      </c>
      <c r="K87" s="107">
        <v>0</v>
      </c>
      <c r="L87" s="107">
        <v>14061432</v>
      </c>
      <c r="M87" s="31" t="s">
        <v>639</v>
      </c>
      <c r="N87" s="31" t="s">
        <v>960</v>
      </c>
      <c r="O87" s="31" t="s">
        <v>639</v>
      </c>
      <c r="P87" s="31" t="s">
        <v>641</v>
      </c>
      <c r="Q87" s="31" t="s">
        <v>642</v>
      </c>
      <c r="R87" s="31" t="s">
        <v>643</v>
      </c>
      <c r="S87" s="110">
        <v>20646696</v>
      </c>
      <c r="T87" s="83">
        <f>+DISPONIBLES[[#This Row],[Avalúo Total 2025]]-DISPONIBLES[[#This Row],[Avalúo Total 2024]]</f>
        <v>546009</v>
      </c>
      <c r="U87" s="83">
        <f>+DISPONIBLES[[#This Row],[Avalúo Afecto Dic-2025]]-DISPONIBLES[[#This Row],[Avalúo Afecto Dic-2024]]</f>
        <v>546009</v>
      </c>
      <c r="V87" s="83">
        <f>+DISPONIBLES[[#This Row],[Avalúo Exento Dic-2025]]-DISPONIBLES[[#This Row],[Avalúo Exento Dic-2024]]</f>
        <v>0</v>
      </c>
      <c r="W87" s="31"/>
      <c r="X87" s="31"/>
      <c r="Y87" s="32"/>
      <c r="Z87" s="31" t="s">
        <v>961</v>
      </c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106">
        <v>0.65</v>
      </c>
      <c r="AL87" s="103">
        <v>3250</v>
      </c>
      <c r="AM87" s="102">
        <v>0.3339765359742346</v>
      </c>
      <c r="AN87" s="103">
        <v>1669.882679871173</v>
      </c>
      <c r="AO87" s="103"/>
      <c r="AP87" s="32">
        <v>43865</v>
      </c>
      <c r="AQ87" s="31" t="s">
        <v>645</v>
      </c>
      <c r="AR87" s="103">
        <v>3250</v>
      </c>
      <c r="AS87" s="31" t="s">
        <v>645</v>
      </c>
      <c r="AT87" s="31" t="s">
        <v>646</v>
      </c>
    </row>
    <row r="88" spans="1:46" ht="14.4" x14ac:dyDescent="0.3">
      <c r="A88" s="30" t="s">
        <v>70</v>
      </c>
      <c r="B88" s="31" t="s">
        <v>169</v>
      </c>
      <c r="C88" s="31" t="s">
        <v>962</v>
      </c>
      <c r="D88" s="31" t="s">
        <v>902</v>
      </c>
      <c r="E88" s="42">
        <v>61191.81</v>
      </c>
      <c r="F88" s="31" t="s">
        <v>538</v>
      </c>
      <c r="G88" s="107">
        <v>59930463</v>
      </c>
      <c r="H88" s="107">
        <v>46221791</v>
      </c>
      <c r="I88" s="107">
        <v>13708672</v>
      </c>
      <c r="J88" s="107">
        <v>62351619</v>
      </c>
      <c r="K88" s="107">
        <v>48089106</v>
      </c>
      <c r="L88" s="107">
        <v>14262513</v>
      </c>
      <c r="M88" s="31" t="s">
        <v>903</v>
      </c>
      <c r="N88" s="31" t="s">
        <v>963</v>
      </c>
      <c r="O88" s="31" t="s">
        <v>903</v>
      </c>
      <c r="P88" s="31" t="s">
        <v>641</v>
      </c>
      <c r="Q88" s="31" t="s">
        <v>642</v>
      </c>
      <c r="R88" s="31" t="s">
        <v>782</v>
      </c>
      <c r="S88" s="110">
        <v>418876169</v>
      </c>
      <c r="T88" s="83">
        <f>+DISPONIBLES[[#This Row],[Avalúo Total 2025]]-DISPONIBLES[[#This Row],[Avalúo Total 2024]]</f>
        <v>2421156</v>
      </c>
      <c r="U88" s="83">
        <f>+DISPONIBLES[[#This Row],[Avalúo Afecto Dic-2025]]-DISPONIBLES[[#This Row],[Avalúo Afecto Dic-2024]]</f>
        <v>553841</v>
      </c>
      <c r="V88" s="83">
        <f>+DISPONIBLES[[#This Row],[Avalúo Exento Dic-2025]]-DISPONIBLES[[#This Row],[Avalúo Exento Dic-2024]]</f>
        <v>1867315</v>
      </c>
      <c r="W88" s="31"/>
      <c r="X88" s="31"/>
      <c r="Y88" s="32"/>
      <c r="Z88" s="31" t="s">
        <v>964</v>
      </c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106">
        <v>0.3</v>
      </c>
      <c r="AL88" s="103">
        <f>74850/4</f>
        <v>18712.5</v>
      </c>
      <c r="AM88" s="102">
        <v>0.17016949659318639</v>
      </c>
      <c r="AN88" s="103">
        <f>42457.2894/4</f>
        <v>10614.32235</v>
      </c>
      <c r="AO88" s="103"/>
      <c r="AP88" s="32">
        <v>45622</v>
      </c>
      <c r="AQ88" s="31" t="s">
        <v>645</v>
      </c>
      <c r="AR88" s="103">
        <f>50014.6518450007/4</f>
        <v>12503.662961250175</v>
      </c>
      <c r="AS88" s="31" t="s">
        <v>645</v>
      </c>
      <c r="AT88" s="31" t="s">
        <v>109</v>
      </c>
    </row>
    <row r="89" spans="1:46" ht="14.4" x14ac:dyDescent="0.3">
      <c r="A89" s="30" t="s">
        <v>70</v>
      </c>
      <c r="B89" s="31" t="s">
        <v>169</v>
      </c>
      <c r="C89" s="31" t="s">
        <v>965</v>
      </c>
      <c r="D89" s="31" t="s">
        <v>933</v>
      </c>
      <c r="E89" s="42">
        <v>62395</v>
      </c>
      <c r="F89" s="31" t="s">
        <v>538</v>
      </c>
      <c r="G89" s="107">
        <v>707296001</v>
      </c>
      <c r="H89" s="107">
        <v>46221791</v>
      </c>
      <c r="I89" s="107">
        <v>661074210</v>
      </c>
      <c r="J89" s="107">
        <v>735870345</v>
      </c>
      <c r="K89" s="107">
        <v>48089106</v>
      </c>
      <c r="L89" s="107">
        <v>687781239</v>
      </c>
      <c r="M89" s="31" t="s">
        <v>934</v>
      </c>
      <c r="N89" s="31" t="s">
        <v>966</v>
      </c>
      <c r="O89" s="31" t="s">
        <v>934</v>
      </c>
      <c r="P89" s="31" t="s">
        <v>641</v>
      </c>
      <c r="Q89" s="31" t="s">
        <v>642</v>
      </c>
      <c r="R89" s="31" t="s">
        <v>680</v>
      </c>
      <c r="S89" s="110">
        <v>305898497</v>
      </c>
      <c r="T89" s="83">
        <f>+DISPONIBLES[[#This Row],[Avalúo Total 2025]]-DISPONIBLES[[#This Row],[Avalúo Total 2024]]</f>
        <v>28574344</v>
      </c>
      <c r="U89" s="83">
        <f>+DISPONIBLES[[#This Row],[Avalúo Afecto Dic-2025]]-DISPONIBLES[[#This Row],[Avalúo Afecto Dic-2024]]</f>
        <v>26707029</v>
      </c>
      <c r="V89" s="83">
        <f>+DISPONIBLES[[#This Row],[Avalúo Exento Dic-2025]]-DISPONIBLES[[#This Row],[Avalúo Exento Dic-2024]]</f>
        <v>1867315</v>
      </c>
      <c r="W89" s="31">
        <v>62395</v>
      </c>
      <c r="X89" s="31" t="s">
        <v>936</v>
      </c>
      <c r="Y89" s="32">
        <v>37487</v>
      </c>
      <c r="Z89" s="31" t="s">
        <v>967</v>
      </c>
      <c r="AA89" s="31"/>
      <c r="AB89" s="31" t="s">
        <v>177</v>
      </c>
      <c r="AC89" s="31"/>
      <c r="AD89" s="31"/>
      <c r="AE89" s="31"/>
      <c r="AF89" s="31"/>
      <c r="AG89" s="31"/>
      <c r="AH89" s="31"/>
      <c r="AI89" s="31"/>
      <c r="AJ89" s="31"/>
      <c r="AK89" s="106">
        <v>0.2</v>
      </c>
      <c r="AL89" s="103">
        <v>12479</v>
      </c>
      <c r="AM89" s="102">
        <v>6.8000000000000005E-2</v>
      </c>
      <c r="AN89" s="103">
        <v>4247.090297956317</v>
      </c>
      <c r="AO89" s="103"/>
      <c r="AP89" s="32">
        <v>45622</v>
      </c>
      <c r="AQ89" s="31" t="s">
        <v>645</v>
      </c>
      <c r="AR89" s="103">
        <v>6942.4217368687714</v>
      </c>
      <c r="AS89" s="31" t="s">
        <v>645</v>
      </c>
      <c r="AT89" s="31"/>
    </row>
    <row r="90" spans="1:46" ht="14.4" x14ac:dyDescent="0.3">
      <c r="A90" s="30" t="s">
        <v>70</v>
      </c>
      <c r="B90" s="31" t="s">
        <v>169</v>
      </c>
      <c r="C90" s="31" t="s">
        <v>968</v>
      </c>
      <c r="D90" s="31" t="s">
        <v>933</v>
      </c>
      <c r="E90" s="42">
        <v>65787</v>
      </c>
      <c r="F90" s="31" t="s">
        <v>538</v>
      </c>
      <c r="G90" s="107">
        <v>707296001</v>
      </c>
      <c r="H90" s="107">
        <v>46221791</v>
      </c>
      <c r="I90" s="107">
        <v>661074210</v>
      </c>
      <c r="J90" s="107">
        <v>735870345</v>
      </c>
      <c r="K90" s="107">
        <v>48089106</v>
      </c>
      <c r="L90" s="107">
        <v>687781239</v>
      </c>
      <c r="M90" s="31" t="s">
        <v>934</v>
      </c>
      <c r="N90" s="31" t="s">
        <v>969</v>
      </c>
      <c r="O90" s="31" t="s">
        <v>934</v>
      </c>
      <c r="P90" s="31" t="s">
        <v>641</v>
      </c>
      <c r="Q90" s="31" t="s">
        <v>642</v>
      </c>
      <c r="R90" s="31" t="s">
        <v>680</v>
      </c>
      <c r="S90" s="110">
        <v>322528154</v>
      </c>
      <c r="T90" s="83">
        <f>+DISPONIBLES[[#This Row],[Avalúo Total 2025]]-DISPONIBLES[[#This Row],[Avalúo Total 2024]]</f>
        <v>28574344</v>
      </c>
      <c r="U90" s="83">
        <f>+DISPONIBLES[[#This Row],[Avalúo Afecto Dic-2025]]-DISPONIBLES[[#This Row],[Avalúo Afecto Dic-2024]]</f>
        <v>26707029</v>
      </c>
      <c r="V90" s="83">
        <f>+DISPONIBLES[[#This Row],[Avalúo Exento Dic-2025]]-DISPONIBLES[[#This Row],[Avalúo Exento Dic-2024]]</f>
        <v>1867315</v>
      </c>
      <c r="W90" s="31">
        <v>65787</v>
      </c>
      <c r="X90" s="31" t="s">
        <v>936</v>
      </c>
      <c r="Y90" s="32">
        <v>37487</v>
      </c>
      <c r="Z90" s="31" t="s">
        <v>970</v>
      </c>
      <c r="AA90" s="31"/>
      <c r="AB90" s="31" t="s">
        <v>177</v>
      </c>
      <c r="AC90" s="31"/>
      <c r="AD90" s="31"/>
      <c r="AE90" s="31"/>
      <c r="AF90" s="31"/>
      <c r="AG90" s="31"/>
      <c r="AH90" s="31"/>
      <c r="AI90" s="31"/>
      <c r="AJ90" s="31"/>
      <c r="AK90" s="106">
        <v>0.2</v>
      </c>
      <c r="AL90" s="103">
        <v>13157.400000000001</v>
      </c>
      <c r="AM90" s="102">
        <v>6.3E-2</v>
      </c>
      <c r="AN90" s="103">
        <v>4133.5165578847254</v>
      </c>
      <c r="AO90" s="103"/>
      <c r="AP90" s="32">
        <v>45622</v>
      </c>
      <c r="AQ90" s="31" t="s">
        <v>645</v>
      </c>
      <c r="AR90" s="103">
        <v>7319.8349034920411</v>
      </c>
      <c r="AS90" s="31" t="s">
        <v>645</v>
      </c>
      <c r="AT90" s="31"/>
    </row>
    <row r="91" spans="1:46" ht="14.4" x14ac:dyDescent="0.3">
      <c r="A91" s="30" t="s">
        <v>70</v>
      </c>
      <c r="B91" s="31" t="s">
        <v>169</v>
      </c>
      <c r="C91" s="31" t="s">
        <v>971</v>
      </c>
      <c r="D91" s="31" t="s">
        <v>933</v>
      </c>
      <c r="E91" s="42">
        <v>71134</v>
      </c>
      <c r="F91" s="31" t="s">
        <v>538</v>
      </c>
      <c r="G91" s="107">
        <v>707296001</v>
      </c>
      <c r="H91" s="107">
        <v>46221791</v>
      </c>
      <c r="I91" s="107">
        <v>661074210</v>
      </c>
      <c r="J91" s="107">
        <v>735870345</v>
      </c>
      <c r="K91" s="107">
        <v>48089106</v>
      </c>
      <c r="L91" s="107">
        <v>687781239</v>
      </c>
      <c r="M91" s="31" t="s">
        <v>934</v>
      </c>
      <c r="N91" s="31" t="s">
        <v>972</v>
      </c>
      <c r="O91" s="31" t="s">
        <v>934</v>
      </c>
      <c r="P91" s="31" t="s">
        <v>641</v>
      </c>
      <c r="Q91" s="31" t="s">
        <v>642</v>
      </c>
      <c r="R91" s="31" t="s">
        <v>680</v>
      </c>
      <c r="S91" s="110">
        <v>314502581</v>
      </c>
      <c r="T91" s="83">
        <f>+DISPONIBLES[[#This Row],[Avalúo Total 2025]]-DISPONIBLES[[#This Row],[Avalúo Total 2024]]</f>
        <v>28574344</v>
      </c>
      <c r="U91" s="83">
        <f>+DISPONIBLES[[#This Row],[Avalúo Afecto Dic-2025]]-DISPONIBLES[[#This Row],[Avalúo Afecto Dic-2024]]</f>
        <v>26707029</v>
      </c>
      <c r="V91" s="83">
        <f>+DISPONIBLES[[#This Row],[Avalúo Exento Dic-2025]]-DISPONIBLES[[#This Row],[Avalúo Exento Dic-2024]]</f>
        <v>1867315</v>
      </c>
      <c r="W91" s="31">
        <v>71134</v>
      </c>
      <c r="X91" s="31" t="s">
        <v>936</v>
      </c>
      <c r="Y91" s="32">
        <v>37487</v>
      </c>
      <c r="Z91" s="31" t="s">
        <v>973</v>
      </c>
      <c r="AA91" s="31"/>
      <c r="AB91" s="31" t="s">
        <v>177</v>
      </c>
      <c r="AC91" s="31"/>
      <c r="AD91" s="31"/>
      <c r="AE91" s="31"/>
      <c r="AF91" s="31"/>
      <c r="AG91" s="31"/>
      <c r="AH91" s="31"/>
      <c r="AI91" s="31"/>
      <c r="AJ91" s="31"/>
      <c r="AK91" s="106">
        <v>0.2</v>
      </c>
      <c r="AL91" s="103">
        <v>14226.800000000001</v>
      </c>
      <c r="AM91" s="102">
        <v>5.5E-2</v>
      </c>
      <c r="AN91" s="103">
        <v>3910.7934846550311</v>
      </c>
      <c r="AO91" s="103"/>
      <c r="AP91" s="32">
        <v>45622</v>
      </c>
      <c r="AQ91" s="31" t="s">
        <v>645</v>
      </c>
      <c r="AR91" s="103">
        <v>7914.772463024653</v>
      </c>
      <c r="AS91" s="31" t="s">
        <v>645</v>
      </c>
      <c r="AT91" s="31"/>
    </row>
    <row r="92" spans="1:46" ht="14.4" x14ac:dyDescent="0.3">
      <c r="A92" s="30" t="s">
        <v>70</v>
      </c>
      <c r="B92" s="31" t="s">
        <v>169</v>
      </c>
      <c r="C92" s="31" t="s">
        <v>974</v>
      </c>
      <c r="D92" s="31" t="s">
        <v>933</v>
      </c>
      <c r="E92" s="42">
        <v>71272</v>
      </c>
      <c r="F92" s="31" t="s">
        <v>538</v>
      </c>
      <c r="G92" s="107">
        <v>707296001</v>
      </c>
      <c r="H92" s="107">
        <v>46221791</v>
      </c>
      <c r="I92" s="107">
        <v>661074210</v>
      </c>
      <c r="J92" s="107">
        <v>735870345</v>
      </c>
      <c r="K92" s="107">
        <v>48089106</v>
      </c>
      <c r="L92" s="107">
        <v>687781239</v>
      </c>
      <c r="M92" s="31" t="s">
        <v>934</v>
      </c>
      <c r="N92" s="31" t="s">
        <v>975</v>
      </c>
      <c r="O92" s="31" t="s">
        <v>934</v>
      </c>
      <c r="P92" s="31" t="s">
        <v>641</v>
      </c>
      <c r="Q92" s="31" t="s">
        <v>642</v>
      </c>
      <c r="R92" s="31" t="s">
        <v>680</v>
      </c>
      <c r="S92" s="110">
        <v>349418986</v>
      </c>
      <c r="T92" s="83">
        <f>+DISPONIBLES[[#This Row],[Avalúo Total 2025]]-DISPONIBLES[[#This Row],[Avalúo Total 2024]]</f>
        <v>28574344</v>
      </c>
      <c r="U92" s="83">
        <f>+DISPONIBLES[[#This Row],[Avalúo Afecto Dic-2025]]-DISPONIBLES[[#This Row],[Avalúo Afecto Dic-2024]]</f>
        <v>26707029</v>
      </c>
      <c r="V92" s="83">
        <f>+DISPONIBLES[[#This Row],[Avalúo Exento Dic-2025]]-DISPONIBLES[[#This Row],[Avalúo Exento Dic-2024]]</f>
        <v>1867315</v>
      </c>
      <c r="W92" s="31">
        <v>71272</v>
      </c>
      <c r="X92" s="31" t="s">
        <v>936</v>
      </c>
      <c r="Y92" s="32">
        <v>37487</v>
      </c>
      <c r="Z92" s="31" t="s">
        <v>976</v>
      </c>
      <c r="AA92" s="31"/>
      <c r="AB92" s="31" t="s">
        <v>177</v>
      </c>
      <c r="AC92" s="31"/>
      <c r="AD92" s="31"/>
      <c r="AE92" s="31"/>
      <c r="AF92" s="31"/>
      <c r="AG92" s="31"/>
      <c r="AH92" s="31"/>
      <c r="AI92" s="31"/>
      <c r="AJ92" s="31"/>
      <c r="AK92" s="106">
        <v>0.2</v>
      </c>
      <c r="AL92" s="103">
        <v>14254.400000000001</v>
      </c>
      <c r="AM92" s="102">
        <v>6.3E-2</v>
      </c>
      <c r="AN92" s="103">
        <v>4478.1490585307147</v>
      </c>
      <c r="AO92" s="103"/>
      <c r="AP92" s="32">
        <v>45622</v>
      </c>
      <c r="AQ92" s="31" t="s">
        <v>645</v>
      </c>
      <c r="AR92" s="103">
        <v>7930.1271260535477</v>
      </c>
      <c r="AS92" s="31" t="s">
        <v>645</v>
      </c>
      <c r="AT92" s="31"/>
    </row>
    <row r="93" spans="1:46" ht="14.4" x14ac:dyDescent="0.3">
      <c r="A93" s="30" t="s">
        <v>70</v>
      </c>
      <c r="B93" s="31" t="s">
        <v>169</v>
      </c>
      <c r="C93" s="31" t="s">
        <v>977</v>
      </c>
      <c r="D93" s="31" t="s">
        <v>933</v>
      </c>
      <c r="E93" s="42">
        <v>74526</v>
      </c>
      <c r="F93" s="31" t="s">
        <v>538</v>
      </c>
      <c r="G93" s="107">
        <v>707296001</v>
      </c>
      <c r="H93" s="107">
        <v>46221791</v>
      </c>
      <c r="I93" s="107">
        <v>661074210</v>
      </c>
      <c r="J93" s="107">
        <v>735870345</v>
      </c>
      <c r="K93" s="107">
        <v>48089106</v>
      </c>
      <c r="L93" s="107">
        <v>687781239</v>
      </c>
      <c r="M93" s="31" t="s">
        <v>934</v>
      </c>
      <c r="N93" s="31" t="s">
        <v>978</v>
      </c>
      <c r="O93" s="31" t="s">
        <v>934</v>
      </c>
      <c r="P93" s="31" t="s">
        <v>641</v>
      </c>
      <c r="Q93" s="31" t="s">
        <v>642</v>
      </c>
      <c r="R93" s="31" t="s">
        <v>680</v>
      </c>
      <c r="S93" s="110">
        <v>365372084</v>
      </c>
      <c r="T93" s="83">
        <f>+DISPONIBLES[[#This Row],[Avalúo Total 2025]]-DISPONIBLES[[#This Row],[Avalúo Total 2024]]</f>
        <v>28574344</v>
      </c>
      <c r="U93" s="83">
        <f>+DISPONIBLES[[#This Row],[Avalúo Afecto Dic-2025]]-DISPONIBLES[[#This Row],[Avalúo Afecto Dic-2024]]</f>
        <v>26707029</v>
      </c>
      <c r="V93" s="83">
        <f>+DISPONIBLES[[#This Row],[Avalúo Exento Dic-2025]]-DISPONIBLES[[#This Row],[Avalúo Exento Dic-2024]]</f>
        <v>1867315</v>
      </c>
      <c r="W93" s="31">
        <v>74526</v>
      </c>
      <c r="X93" s="31" t="s">
        <v>936</v>
      </c>
      <c r="Y93" s="32">
        <v>37487</v>
      </c>
      <c r="Z93" s="31" t="s">
        <v>979</v>
      </c>
      <c r="AA93" s="31"/>
      <c r="AB93" s="31" t="s">
        <v>177</v>
      </c>
      <c r="AC93" s="31"/>
      <c r="AD93" s="31"/>
      <c r="AE93" s="31"/>
      <c r="AF93" s="31"/>
      <c r="AG93" s="31"/>
      <c r="AH93" s="31"/>
      <c r="AI93" s="31"/>
      <c r="AJ93" s="31"/>
      <c r="AK93" s="106">
        <v>0.2</v>
      </c>
      <c r="AL93" s="103">
        <v>14905.2</v>
      </c>
      <c r="AM93" s="102">
        <v>0.06</v>
      </c>
      <c r="AN93" s="103">
        <v>4487.4952908864288</v>
      </c>
      <c r="AO93" s="103"/>
      <c r="AP93" s="32">
        <v>45622</v>
      </c>
      <c r="AQ93" s="31" t="s">
        <v>645</v>
      </c>
      <c r="AR93" s="103">
        <v>8292.1856296479218</v>
      </c>
      <c r="AS93" s="31" t="s">
        <v>645</v>
      </c>
      <c r="AT93" s="31"/>
    </row>
    <row r="94" spans="1:46" ht="14.4" x14ac:dyDescent="0.3">
      <c r="A94" s="30" t="s">
        <v>70</v>
      </c>
      <c r="B94" s="31" t="s">
        <v>169</v>
      </c>
      <c r="C94" s="31" t="s">
        <v>980</v>
      </c>
      <c r="D94" s="31" t="s">
        <v>933</v>
      </c>
      <c r="E94" s="42">
        <v>75568</v>
      </c>
      <c r="F94" s="31" t="s">
        <v>538</v>
      </c>
      <c r="G94" s="107">
        <v>707296001</v>
      </c>
      <c r="H94" s="107">
        <v>46221791</v>
      </c>
      <c r="I94" s="107">
        <v>661074210</v>
      </c>
      <c r="J94" s="107">
        <v>735870345</v>
      </c>
      <c r="K94" s="107">
        <v>48089106</v>
      </c>
      <c r="L94" s="107">
        <v>687781239</v>
      </c>
      <c r="M94" s="31" t="s">
        <v>934</v>
      </c>
      <c r="N94" s="31" t="s">
        <v>981</v>
      </c>
      <c r="O94" s="31" t="s">
        <v>934</v>
      </c>
      <c r="P94" s="31" t="s">
        <v>641</v>
      </c>
      <c r="Q94" s="31" t="s">
        <v>642</v>
      </c>
      <c r="R94" s="31" t="s">
        <v>680</v>
      </c>
      <c r="S94" s="110">
        <v>370480610</v>
      </c>
      <c r="T94" s="83">
        <f>+DISPONIBLES[[#This Row],[Avalúo Total 2025]]-DISPONIBLES[[#This Row],[Avalúo Total 2024]]</f>
        <v>28574344</v>
      </c>
      <c r="U94" s="83">
        <f>+DISPONIBLES[[#This Row],[Avalúo Afecto Dic-2025]]-DISPONIBLES[[#This Row],[Avalúo Afecto Dic-2024]]</f>
        <v>26707029</v>
      </c>
      <c r="V94" s="83">
        <f>+DISPONIBLES[[#This Row],[Avalúo Exento Dic-2025]]-DISPONIBLES[[#This Row],[Avalúo Exento Dic-2024]]</f>
        <v>1867315</v>
      </c>
      <c r="W94" s="31">
        <v>75568</v>
      </c>
      <c r="X94" s="31" t="s">
        <v>936</v>
      </c>
      <c r="Y94" s="32">
        <v>37487</v>
      </c>
      <c r="Z94" s="31" t="s">
        <v>982</v>
      </c>
      <c r="AA94" s="31"/>
      <c r="AB94" s="31" t="s">
        <v>177</v>
      </c>
      <c r="AC94" s="31"/>
      <c r="AD94" s="31"/>
      <c r="AE94" s="31"/>
      <c r="AF94" s="31"/>
      <c r="AG94" s="31"/>
      <c r="AH94" s="31"/>
      <c r="AI94" s="31"/>
      <c r="AJ94" s="31"/>
      <c r="AK94" s="106">
        <v>0.2</v>
      </c>
      <c r="AL94" s="103">
        <v>15113.6</v>
      </c>
      <c r="AM94" s="102">
        <v>6.2E-2</v>
      </c>
      <c r="AN94" s="103">
        <v>4649.1563127254585</v>
      </c>
      <c r="AO94" s="103"/>
      <c r="AP94" s="32">
        <v>45622</v>
      </c>
      <c r="AQ94" s="31" t="s">
        <v>645</v>
      </c>
      <c r="AR94" s="103">
        <v>8408.1244620834896</v>
      </c>
      <c r="AS94" s="31" t="s">
        <v>645</v>
      </c>
      <c r="AT94" s="31"/>
    </row>
    <row r="95" spans="1:46" ht="14.4" x14ac:dyDescent="0.3">
      <c r="A95" s="30" t="s">
        <v>70</v>
      </c>
      <c r="B95" s="31" t="s">
        <v>169</v>
      </c>
      <c r="C95" s="31" t="s">
        <v>983</v>
      </c>
      <c r="D95" s="31" t="s">
        <v>933</v>
      </c>
      <c r="E95" s="42">
        <v>77838</v>
      </c>
      <c r="F95" s="31" t="s">
        <v>538</v>
      </c>
      <c r="G95" s="107">
        <v>707296001</v>
      </c>
      <c r="H95" s="107">
        <v>46221791</v>
      </c>
      <c r="I95" s="107">
        <v>661074210</v>
      </c>
      <c r="J95" s="107">
        <v>735870345</v>
      </c>
      <c r="K95" s="107">
        <v>48089106</v>
      </c>
      <c r="L95" s="107">
        <v>687781239</v>
      </c>
      <c r="M95" s="31" t="s">
        <v>934</v>
      </c>
      <c r="N95" s="31" t="s">
        <v>984</v>
      </c>
      <c r="O95" s="31" t="s">
        <v>934</v>
      </c>
      <c r="P95" s="31" t="s">
        <v>641</v>
      </c>
      <c r="Q95" s="31" t="s">
        <v>642</v>
      </c>
      <c r="R95" s="31" t="s">
        <v>680</v>
      </c>
      <c r="S95" s="110">
        <v>368406802</v>
      </c>
      <c r="T95" s="83">
        <f>+DISPONIBLES[[#This Row],[Avalúo Total 2025]]-DISPONIBLES[[#This Row],[Avalúo Total 2024]]</f>
        <v>28574344</v>
      </c>
      <c r="U95" s="83">
        <f>+DISPONIBLES[[#This Row],[Avalúo Afecto Dic-2025]]-DISPONIBLES[[#This Row],[Avalúo Afecto Dic-2024]]</f>
        <v>26707029</v>
      </c>
      <c r="V95" s="83">
        <f>+DISPONIBLES[[#This Row],[Avalúo Exento Dic-2025]]-DISPONIBLES[[#This Row],[Avalúo Exento Dic-2024]]</f>
        <v>1867315</v>
      </c>
      <c r="W95" s="31">
        <v>77838</v>
      </c>
      <c r="X95" s="31" t="s">
        <v>936</v>
      </c>
      <c r="Y95" s="32">
        <v>37487</v>
      </c>
      <c r="Z95" s="31" t="s">
        <v>985</v>
      </c>
      <c r="AA95" s="31"/>
      <c r="AB95" s="31" t="s">
        <v>177</v>
      </c>
      <c r="AC95" s="31"/>
      <c r="AD95" s="31"/>
      <c r="AE95" s="31"/>
      <c r="AF95" s="31"/>
      <c r="AG95" s="31"/>
      <c r="AH95" s="31"/>
      <c r="AI95" s="31"/>
      <c r="AJ95" s="31"/>
      <c r="AK95" s="106">
        <v>0.2</v>
      </c>
      <c r="AL95" s="103">
        <v>15567.6</v>
      </c>
      <c r="AM95" s="102">
        <v>0.06</v>
      </c>
      <c r="AN95" s="103">
        <v>4686.9234690177636</v>
      </c>
      <c r="AO95" s="103"/>
      <c r="AP95" s="32">
        <v>45622</v>
      </c>
      <c r="AQ95" s="31" t="s">
        <v>645</v>
      </c>
      <c r="AR95" s="103">
        <v>8660.6975423413969</v>
      </c>
      <c r="AS95" s="31" t="s">
        <v>645</v>
      </c>
      <c r="AT95" s="31"/>
    </row>
    <row r="96" spans="1:46" ht="14.4" x14ac:dyDescent="0.3">
      <c r="A96" s="30" t="s">
        <v>70</v>
      </c>
      <c r="B96" s="31" t="s">
        <v>71</v>
      </c>
      <c r="C96" s="31" t="s">
        <v>986</v>
      </c>
      <c r="D96" s="31" t="s">
        <v>638</v>
      </c>
      <c r="E96" s="42">
        <v>5000</v>
      </c>
      <c r="F96" s="31" t="s">
        <v>538</v>
      </c>
      <c r="G96" s="107">
        <v>13515423</v>
      </c>
      <c r="H96" s="107">
        <v>0</v>
      </c>
      <c r="I96" s="107">
        <v>13515423</v>
      </c>
      <c r="J96" s="107">
        <v>14061432</v>
      </c>
      <c r="K96" s="107">
        <v>0</v>
      </c>
      <c r="L96" s="107">
        <v>14061432</v>
      </c>
      <c r="M96" s="31" t="s">
        <v>639</v>
      </c>
      <c r="N96" s="31" t="s">
        <v>987</v>
      </c>
      <c r="O96" s="31" t="s">
        <v>639</v>
      </c>
      <c r="P96" s="31" t="s">
        <v>641</v>
      </c>
      <c r="Q96" s="31" t="s">
        <v>642</v>
      </c>
      <c r="R96" s="31" t="s">
        <v>643</v>
      </c>
      <c r="S96" s="110">
        <v>20646696</v>
      </c>
      <c r="T96" s="83">
        <f>+DISPONIBLES[[#This Row],[Avalúo Total 2025]]-DISPONIBLES[[#This Row],[Avalúo Total 2024]]</f>
        <v>546009</v>
      </c>
      <c r="U96" s="83">
        <f>+DISPONIBLES[[#This Row],[Avalúo Afecto Dic-2025]]-DISPONIBLES[[#This Row],[Avalúo Afecto Dic-2024]]</f>
        <v>546009</v>
      </c>
      <c r="V96" s="83">
        <f>+DISPONIBLES[[#This Row],[Avalúo Exento Dic-2025]]-DISPONIBLES[[#This Row],[Avalúo Exento Dic-2024]]</f>
        <v>0</v>
      </c>
      <c r="W96" s="31"/>
      <c r="X96" s="31"/>
      <c r="Y96" s="32"/>
      <c r="Z96" s="31" t="s">
        <v>988</v>
      </c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106">
        <v>0.65</v>
      </c>
      <c r="AL96" s="103">
        <v>3250</v>
      </c>
      <c r="AM96" s="102">
        <v>0.3339765359742346</v>
      </c>
      <c r="AN96" s="103">
        <v>1669.882679871173</v>
      </c>
      <c r="AO96" s="103"/>
      <c r="AP96" s="32">
        <v>43865</v>
      </c>
      <c r="AQ96" s="31" t="s">
        <v>645</v>
      </c>
      <c r="AR96" s="103">
        <v>3250</v>
      </c>
      <c r="AS96" s="31" t="s">
        <v>645</v>
      </c>
      <c r="AT96" s="31" t="s">
        <v>646</v>
      </c>
    </row>
    <row r="97" spans="1:46" ht="14.4" x14ac:dyDescent="0.3">
      <c r="A97" s="30" t="s">
        <v>70</v>
      </c>
      <c r="B97" s="31" t="s">
        <v>169</v>
      </c>
      <c r="C97" s="31" t="s">
        <v>989</v>
      </c>
      <c r="D97" s="31" t="s">
        <v>933</v>
      </c>
      <c r="E97" s="42">
        <v>78814.210000000006</v>
      </c>
      <c r="F97" s="31" t="s">
        <v>538</v>
      </c>
      <c r="G97" s="107">
        <v>707296001</v>
      </c>
      <c r="H97" s="107">
        <v>46221791</v>
      </c>
      <c r="I97" s="107">
        <v>661074210</v>
      </c>
      <c r="J97" s="107">
        <v>735870345</v>
      </c>
      <c r="K97" s="107">
        <v>48089106</v>
      </c>
      <c r="L97" s="107">
        <v>687781239</v>
      </c>
      <c r="M97" s="31" t="s">
        <v>934</v>
      </c>
      <c r="N97" s="31" t="s">
        <v>990</v>
      </c>
      <c r="O97" s="31" t="s">
        <v>934</v>
      </c>
      <c r="P97" s="31" t="s">
        <v>641</v>
      </c>
      <c r="Q97" s="31" t="s">
        <v>642</v>
      </c>
      <c r="R97" s="31" t="s">
        <v>680</v>
      </c>
      <c r="S97" s="110">
        <v>367138058</v>
      </c>
      <c r="T97" s="83">
        <f>+DISPONIBLES[[#This Row],[Avalúo Total 2025]]-DISPONIBLES[[#This Row],[Avalúo Total 2024]]</f>
        <v>28574344</v>
      </c>
      <c r="U97" s="83">
        <f>+DISPONIBLES[[#This Row],[Avalúo Afecto Dic-2025]]-DISPONIBLES[[#This Row],[Avalúo Afecto Dic-2024]]</f>
        <v>26707029</v>
      </c>
      <c r="V97" s="83">
        <f>+DISPONIBLES[[#This Row],[Avalúo Exento Dic-2025]]-DISPONIBLES[[#This Row],[Avalúo Exento Dic-2024]]</f>
        <v>1867315</v>
      </c>
      <c r="W97" s="31">
        <v>78814.210000000006</v>
      </c>
      <c r="X97" s="31" t="s">
        <v>936</v>
      </c>
      <c r="Y97" s="32">
        <v>37487</v>
      </c>
      <c r="Z97" s="31" t="s">
        <v>991</v>
      </c>
      <c r="AA97" s="31"/>
      <c r="AB97" s="31" t="s">
        <v>177</v>
      </c>
      <c r="AC97" s="31"/>
      <c r="AD97" s="31"/>
      <c r="AE97" s="31"/>
      <c r="AF97" s="31"/>
      <c r="AG97" s="31"/>
      <c r="AH97" s="31"/>
      <c r="AI97" s="31"/>
      <c r="AJ97" s="31"/>
      <c r="AK97" s="106">
        <v>0.2</v>
      </c>
      <c r="AL97" s="103">
        <v>15762.842000000002</v>
      </c>
      <c r="AM97" s="102">
        <v>8.9999999999999993E-3</v>
      </c>
      <c r="AN97" s="103">
        <v>722.17247018826777</v>
      </c>
      <c r="AO97" s="103"/>
      <c r="AP97" s="32">
        <v>45622</v>
      </c>
      <c r="AQ97" s="31" t="s">
        <v>645</v>
      </c>
      <c r="AR97" s="103">
        <v>8769.3162060764516</v>
      </c>
      <c r="AS97" s="31" t="s">
        <v>645</v>
      </c>
      <c r="AT97" s="31"/>
    </row>
    <row r="98" spans="1:46" ht="14.4" x14ac:dyDescent="0.3">
      <c r="A98" s="30" t="s">
        <v>70</v>
      </c>
      <c r="B98" s="31" t="s">
        <v>71</v>
      </c>
      <c r="C98" s="31" t="s">
        <v>992</v>
      </c>
      <c r="D98" s="31" t="s">
        <v>638</v>
      </c>
      <c r="E98" s="42">
        <v>5000</v>
      </c>
      <c r="F98" s="31" t="s">
        <v>538</v>
      </c>
      <c r="G98" s="107">
        <v>13515423</v>
      </c>
      <c r="H98" s="107">
        <v>0</v>
      </c>
      <c r="I98" s="107">
        <v>13515423</v>
      </c>
      <c r="J98" s="107">
        <v>14061432</v>
      </c>
      <c r="K98" s="107">
        <v>0</v>
      </c>
      <c r="L98" s="107">
        <v>14061432</v>
      </c>
      <c r="M98" s="31" t="s">
        <v>639</v>
      </c>
      <c r="N98" s="31" t="s">
        <v>993</v>
      </c>
      <c r="O98" s="31" t="s">
        <v>639</v>
      </c>
      <c r="P98" s="31" t="s">
        <v>641</v>
      </c>
      <c r="Q98" s="31" t="s">
        <v>642</v>
      </c>
      <c r="R98" s="31" t="s">
        <v>643</v>
      </c>
      <c r="S98" s="110">
        <v>20646696</v>
      </c>
      <c r="T98" s="83">
        <f>+DISPONIBLES[[#This Row],[Avalúo Total 2025]]-DISPONIBLES[[#This Row],[Avalúo Total 2024]]</f>
        <v>546009</v>
      </c>
      <c r="U98" s="83">
        <f>+DISPONIBLES[[#This Row],[Avalúo Afecto Dic-2025]]-DISPONIBLES[[#This Row],[Avalúo Afecto Dic-2024]]</f>
        <v>546009</v>
      </c>
      <c r="V98" s="83">
        <f>+DISPONIBLES[[#This Row],[Avalúo Exento Dic-2025]]-DISPONIBLES[[#This Row],[Avalúo Exento Dic-2024]]</f>
        <v>0</v>
      </c>
      <c r="W98" s="31"/>
      <c r="X98" s="31"/>
      <c r="Y98" s="32"/>
      <c r="Z98" s="31" t="s">
        <v>994</v>
      </c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106">
        <v>0.65</v>
      </c>
      <c r="AL98" s="103">
        <v>3250</v>
      </c>
      <c r="AM98" s="102">
        <v>0.3339765359742346</v>
      </c>
      <c r="AN98" s="103">
        <v>1669.882679871173</v>
      </c>
      <c r="AO98" s="103"/>
      <c r="AP98" s="32">
        <v>43865</v>
      </c>
      <c r="AQ98" s="31" t="s">
        <v>645</v>
      </c>
      <c r="AR98" s="103">
        <v>3250</v>
      </c>
      <c r="AS98" s="31" t="s">
        <v>645</v>
      </c>
      <c r="AT98" s="31" t="s">
        <v>646</v>
      </c>
    </row>
    <row r="99" spans="1:46" ht="14.4" x14ac:dyDescent="0.3">
      <c r="A99" s="30" t="s">
        <v>70</v>
      </c>
      <c r="B99" s="31" t="s">
        <v>169</v>
      </c>
      <c r="C99" s="31" t="s">
        <v>995</v>
      </c>
      <c r="D99" s="31" t="s">
        <v>933</v>
      </c>
      <c r="E99" s="42">
        <v>79700</v>
      </c>
      <c r="F99" s="31" t="s">
        <v>538</v>
      </c>
      <c r="G99" s="107">
        <v>707296001</v>
      </c>
      <c r="H99" s="107">
        <v>46221791</v>
      </c>
      <c r="I99" s="107">
        <v>661074210</v>
      </c>
      <c r="J99" s="107">
        <v>735870345</v>
      </c>
      <c r="K99" s="107">
        <v>48089106</v>
      </c>
      <c r="L99" s="107">
        <v>687781239</v>
      </c>
      <c r="M99" s="31" t="s">
        <v>934</v>
      </c>
      <c r="N99" s="31" t="s">
        <v>996</v>
      </c>
      <c r="O99" s="31" t="s">
        <v>934</v>
      </c>
      <c r="P99" s="31" t="s">
        <v>641</v>
      </c>
      <c r="Q99" s="31" t="s">
        <v>642</v>
      </c>
      <c r="R99" s="31" t="s">
        <v>680</v>
      </c>
      <c r="S99" s="110">
        <v>390738204</v>
      </c>
      <c r="T99" s="83">
        <f>+DISPONIBLES[[#This Row],[Avalúo Total 2025]]-DISPONIBLES[[#This Row],[Avalúo Total 2024]]</f>
        <v>28574344</v>
      </c>
      <c r="U99" s="83">
        <f>+DISPONIBLES[[#This Row],[Avalúo Afecto Dic-2025]]-DISPONIBLES[[#This Row],[Avalúo Afecto Dic-2024]]</f>
        <v>26707029</v>
      </c>
      <c r="V99" s="83">
        <f>+DISPONIBLES[[#This Row],[Avalúo Exento Dic-2025]]-DISPONIBLES[[#This Row],[Avalúo Exento Dic-2024]]</f>
        <v>1867315</v>
      </c>
      <c r="W99" s="31">
        <v>79700</v>
      </c>
      <c r="X99" s="31" t="s">
        <v>936</v>
      </c>
      <c r="Y99" s="32">
        <v>37487</v>
      </c>
      <c r="Z99" s="31" t="s">
        <v>997</v>
      </c>
      <c r="AA99" s="31"/>
      <c r="AB99" s="31" t="s">
        <v>177</v>
      </c>
      <c r="AC99" s="31"/>
      <c r="AD99" s="31"/>
      <c r="AE99" s="31"/>
      <c r="AF99" s="31"/>
      <c r="AG99" s="31"/>
      <c r="AH99" s="31"/>
      <c r="AI99" s="31"/>
      <c r="AJ99" s="31"/>
      <c r="AK99" s="106">
        <v>0.2</v>
      </c>
      <c r="AL99" s="103">
        <v>15940</v>
      </c>
      <c r="AM99" s="102">
        <v>0.06</v>
      </c>
      <c r="AN99" s="103">
        <v>4799.0416053947392</v>
      </c>
      <c r="AO99" s="103"/>
      <c r="AP99" s="32">
        <v>45622</v>
      </c>
      <c r="AQ99" s="31" t="s">
        <v>645</v>
      </c>
      <c r="AR99" s="103">
        <v>8867.8742275573532</v>
      </c>
      <c r="AS99" s="31" t="s">
        <v>645</v>
      </c>
      <c r="AT99" s="31"/>
    </row>
    <row r="100" spans="1:46" ht="14.4" x14ac:dyDescent="0.3">
      <c r="A100" s="30" t="s">
        <v>70</v>
      </c>
      <c r="B100" s="31" t="s">
        <v>71</v>
      </c>
      <c r="C100" s="31" t="s">
        <v>998</v>
      </c>
      <c r="D100" s="31" t="s">
        <v>638</v>
      </c>
      <c r="E100" s="42">
        <v>5000</v>
      </c>
      <c r="F100" s="31" t="s">
        <v>538</v>
      </c>
      <c r="G100" s="107">
        <v>13515423</v>
      </c>
      <c r="H100" s="107">
        <v>0</v>
      </c>
      <c r="I100" s="107">
        <v>13515423</v>
      </c>
      <c r="J100" s="107">
        <v>14061432</v>
      </c>
      <c r="K100" s="107">
        <v>0</v>
      </c>
      <c r="L100" s="107">
        <v>14061432</v>
      </c>
      <c r="M100" s="31" t="s">
        <v>639</v>
      </c>
      <c r="N100" s="31" t="s">
        <v>999</v>
      </c>
      <c r="O100" s="31" t="s">
        <v>639</v>
      </c>
      <c r="P100" s="31" t="s">
        <v>641</v>
      </c>
      <c r="Q100" s="31" t="s">
        <v>642</v>
      </c>
      <c r="R100" s="31" t="s">
        <v>643</v>
      </c>
      <c r="S100" s="110">
        <v>20646696</v>
      </c>
      <c r="T100" s="83">
        <f>+DISPONIBLES[[#This Row],[Avalúo Total 2025]]-DISPONIBLES[[#This Row],[Avalúo Total 2024]]</f>
        <v>546009</v>
      </c>
      <c r="U100" s="83">
        <f>+DISPONIBLES[[#This Row],[Avalúo Afecto Dic-2025]]-DISPONIBLES[[#This Row],[Avalúo Afecto Dic-2024]]</f>
        <v>546009</v>
      </c>
      <c r="V100" s="83">
        <f>+DISPONIBLES[[#This Row],[Avalúo Exento Dic-2025]]-DISPONIBLES[[#This Row],[Avalúo Exento Dic-2024]]</f>
        <v>0</v>
      </c>
      <c r="W100" s="31"/>
      <c r="X100" s="31"/>
      <c r="Y100" s="32"/>
      <c r="Z100" s="31" t="s">
        <v>1000</v>
      </c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106">
        <v>0.65</v>
      </c>
      <c r="AL100" s="103">
        <v>3250</v>
      </c>
      <c r="AM100" s="102">
        <v>0.3339765359742346</v>
      </c>
      <c r="AN100" s="103">
        <v>1669.882679871173</v>
      </c>
      <c r="AO100" s="103"/>
      <c r="AP100" s="32">
        <v>43865</v>
      </c>
      <c r="AQ100" s="31" t="s">
        <v>645</v>
      </c>
      <c r="AR100" s="103">
        <v>3250</v>
      </c>
      <c r="AS100" s="31" t="s">
        <v>645</v>
      </c>
      <c r="AT100" s="31" t="s">
        <v>646</v>
      </c>
    </row>
    <row r="101" spans="1:46" ht="14.4" x14ac:dyDescent="0.3">
      <c r="A101" s="30" t="s">
        <v>70</v>
      </c>
      <c r="B101" s="31" t="s">
        <v>169</v>
      </c>
      <c r="C101" s="31" t="s">
        <v>1001</v>
      </c>
      <c r="D101" s="31" t="s">
        <v>933</v>
      </c>
      <c r="E101" s="42">
        <v>79860</v>
      </c>
      <c r="F101" s="31" t="s">
        <v>538</v>
      </c>
      <c r="G101" s="107">
        <v>707296001</v>
      </c>
      <c r="H101" s="107">
        <v>46221791</v>
      </c>
      <c r="I101" s="107">
        <v>661074210</v>
      </c>
      <c r="J101" s="107">
        <v>735870345</v>
      </c>
      <c r="K101" s="107">
        <v>48089106</v>
      </c>
      <c r="L101" s="107">
        <v>687781239</v>
      </c>
      <c r="M101" s="31" t="s">
        <v>934</v>
      </c>
      <c r="N101" s="31" t="s">
        <v>1002</v>
      </c>
      <c r="O101" s="31" t="s">
        <v>934</v>
      </c>
      <c r="P101" s="31" t="s">
        <v>641</v>
      </c>
      <c r="Q101" s="31" t="s">
        <v>642</v>
      </c>
      <c r="R101" s="31" t="s">
        <v>680</v>
      </c>
      <c r="S101" s="110">
        <v>391522620</v>
      </c>
      <c r="T101" s="83">
        <f>+DISPONIBLES[[#This Row],[Avalúo Total 2025]]-DISPONIBLES[[#This Row],[Avalúo Total 2024]]</f>
        <v>28574344</v>
      </c>
      <c r="U101" s="83">
        <f>+DISPONIBLES[[#This Row],[Avalúo Afecto Dic-2025]]-DISPONIBLES[[#This Row],[Avalúo Afecto Dic-2024]]</f>
        <v>26707029</v>
      </c>
      <c r="V101" s="83">
        <f>+DISPONIBLES[[#This Row],[Avalúo Exento Dic-2025]]-DISPONIBLES[[#This Row],[Avalúo Exento Dic-2024]]</f>
        <v>1867315</v>
      </c>
      <c r="W101" s="31">
        <v>79860</v>
      </c>
      <c r="X101" s="31" t="s">
        <v>936</v>
      </c>
      <c r="Y101" s="32">
        <v>37487</v>
      </c>
      <c r="Z101" s="31" t="s">
        <v>1003</v>
      </c>
      <c r="AA101" s="31"/>
      <c r="AB101" s="31" t="s">
        <v>177</v>
      </c>
      <c r="AC101" s="31"/>
      <c r="AD101" s="31"/>
      <c r="AE101" s="31"/>
      <c r="AF101" s="31"/>
      <c r="AG101" s="31"/>
      <c r="AH101" s="31"/>
      <c r="AI101" s="31"/>
      <c r="AJ101" s="31"/>
      <c r="AK101" s="106">
        <v>0.2</v>
      </c>
      <c r="AL101" s="103">
        <v>15972</v>
      </c>
      <c r="AM101" s="102">
        <v>0.06</v>
      </c>
      <c r="AN101" s="103">
        <v>4808.6758168986689</v>
      </c>
      <c r="AO101" s="103"/>
      <c r="AP101" s="32">
        <v>45622</v>
      </c>
      <c r="AQ101" s="31" t="s">
        <v>645</v>
      </c>
      <c r="AR101" s="103">
        <v>8885.6767354169424</v>
      </c>
      <c r="AS101" s="31" t="s">
        <v>645</v>
      </c>
      <c r="AT101" s="31"/>
    </row>
    <row r="102" spans="1:46" ht="14.4" x14ac:dyDescent="0.3">
      <c r="A102" s="30" t="s">
        <v>70</v>
      </c>
      <c r="B102" s="31" t="s">
        <v>71</v>
      </c>
      <c r="C102" s="31" t="s">
        <v>1004</v>
      </c>
      <c r="D102" s="31" t="s">
        <v>638</v>
      </c>
      <c r="E102" s="42">
        <v>5000</v>
      </c>
      <c r="F102" s="31" t="s">
        <v>538</v>
      </c>
      <c r="G102" s="107">
        <v>13515423</v>
      </c>
      <c r="H102" s="107">
        <v>0</v>
      </c>
      <c r="I102" s="107">
        <v>13515423</v>
      </c>
      <c r="J102" s="107">
        <v>14061432</v>
      </c>
      <c r="K102" s="107">
        <v>0</v>
      </c>
      <c r="L102" s="107">
        <v>14061432</v>
      </c>
      <c r="M102" s="31" t="s">
        <v>639</v>
      </c>
      <c r="N102" s="31" t="s">
        <v>1005</v>
      </c>
      <c r="O102" s="31" t="s">
        <v>639</v>
      </c>
      <c r="P102" s="31" t="s">
        <v>641</v>
      </c>
      <c r="Q102" s="31" t="s">
        <v>642</v>
      </c>
      <c r="R102" s="31" t="s">
        <v>643</v>
      </c>
      <c r="S102" s="110">
        <v>20646696</v>
      </c>
      <c r="T102" s="83">
        <f>+DISPONIBLES[[#This Row],[Avalúo Total 2025]]-DISPONIBLES[[#This Row],[Avalúo Total 2024]]</f>
        <v>546009</v>
      </c>
      <c r="U102" s="83">
        <f>+DISPONIBLES[[#This Row],[Avalúo Afecto Dic-2025]]-DISPONIBLES[[#This Row],[Avalúo Afecto Dic-2024]]</f>
        <v>546009</v>
      </c>
      <c r="V102" s="83">
        <f>+DISPONIBLES[[#This Row],[Avalúo Exento Dic-2025]]-DISPONIBLES[[#This Row],[Avalúo Exento Dic-2024]]</f>
        <v>0</v>
      </c>
      <c r="W102" s="31"/>
      <c r="X102" s="31"/>
      <c r="Y102" s="32"/>
      <c r="Z102" s="31" t="s">
        <v>1006</v>
      </c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06">
        <v>0.65</v>
      </c>
      <c r="AL102" s="103">
        <v>3250</v>
      </c>
      <c r="AM102" s="102">
        <v>0.3339765359742346</v>
      </c>
      <c r="AN102" s="103">
        <v>1669.882679871173</v>
      </c>
      <c r="AO102" s="103"/>
      <c r="AP102" s="32">
        <v>43865</v>
      </c>
      <c r="AQ102" s="31" t="s">
        <v>645</v>
      </c>
      <c r="AR102" s="103">
        <v>3250</v>
      </c>
      <c r="AS102" s="31" t="s">
        <v>645</v>
      </c>
      <c r="AT102" s="31" t="s">
        <v>646</v>
      </c>
    </row>
    <row r="103" spans="1:46" ht="14.4" x14ac:dyDescent="0.3">
      <c r="A103" s="30" t="s">
        <v>70</v>
      </c>
      <c r="B103" s="31" t="s">
        <v>169</v>
      </c>
      <c r="C103" s="31" t="s">
        <v>1007</v>
      </c>
      <c r="D103" s="31" t="s">
        <v>933</v>
      </c>
      <c r="E103" s="42">
        <v>79891</v>
      </c>
      <c r="F103" s="31" t="s">
        <v>538</v>
      </c>
      <c r="G103" s="107">
        <v>707296001</v>
      </c>
      <c r="H103" s="107">
        <v>46221791</v>
      </c>
      <c r="I103" s="107">
        <v>661074210</v>
      </c>
      <c r="J103" s="107">
        <v>735870345</v>
      </c>
      <c r="K103" s="107">
        <v>48089106</v>
      </c>
      <c r="L103" s="107">
        <v>687781239</v>
      </c>
      <c r="M103" s="31" t="s">
        <v>934</v>
      </c>
      <c r="N103" s="31" t="s">
        <v>1008</v>
      </c>
      <c r="O103" s="31" t="s">
        <v>934</v>
      </c>
      <c r="P103" s="31" t="s">
        <v>641</v>
      </c>
      <c r="Q103" s="31" t="s">
        <v>642</v>
      </c>
      <c r="R103" s="31" t="s">
        <v>680</v>
      </c>
      <c r="S103" s="110">
        <v>391674600</v>
      </c>
      <c r="T103" s="83">
        <f>+DISPONIBLES[[#This Row],[Avalúo Total 2025]]-DISPONIBLES[[#This Row],[Avalúo Total 2024]]</f>
        <v>28574344</v>
      </c>
      <c r="U103" s="83">
        <f>+DISPONIBLES[[#This Row],[Avalúo Afecto Dic-2025]]-DISPONIBLES[[#This Row],[Avalúo Afecto Dic-2024]]</f>
        <v>26707029</v>
      </c>
      <c r="V103" s="83">
        <f>+DISPONIBLES[[#This Row],[Avalúo Exento Dic-2025]]-DISPONIBLES[[#This Row],[Avalúo Exento Dic-2024]]</f>
        <v>1867315</v>
      </c>
      <c r="W103" s="31">
        <v>79891</v>
      </c>
      <c r="X103" s="31" t="s">
        <v>936</v>
      </c>
      <c r="Y103" s="32">
        <v>37487</v>
      </c>
      <c r="Z103" s="31" t="s">
        <v>1009</v>
      </c>
      <c r="AA103" s="31"/>
      <c r="AB103" s="31" t="s">
        <v>177</v>
      </c>
      <c r="AC103" s="31"/>
      <c r="AD103" s="31"/>
      <c r="AE103" s="31"/>
      <c r="AF103" s="31"/>
      <c r="AG103" s="31"/>
      <c r="AH103" s="31"/>
      <c r="AI103" s="31"/>
      <c r="AJ103" s="31"/>
      <c r="AK103" s="106">
        <v>0.2</v>
      </c>
      <c r="AL103" s="103">
        <v>15978.2</v>
      </c>
      <c r="AM103" s="102">
        <v>6.2E-2</v>
      </c>
      <c r="AN103" s="103">
        <v>4915.1194550596756</v>
      </c>
      <c r="AO103" s="103"/>
      <c r="AP103" s="32">
        <v>45622</v>
      </c>
      <c r="AQ103" s="31" t="s">
        <v>645</v>
      </c>
      <c r="AR103" s="103">
        <v>8889.1259713147374</v>
      </c>
      <c r="AS103" s="31" t="s">
        <v>645</v>
      </c>
      <c r="AT103" s="31"/>
    </row>
    <row r="104" spans="1:46" ht="14.4" x14ac:dyDescent="0.3">
      <c r="A104" s="30" t="s">
        <v>70</v>
      </c>
      <c r="B104" s="31" t="s">
        <v>71</v>
      </c>
      <c r="C104" s="31" t="s">
        <v>1010</v>
      </c>
      <c r="D104" s="31" t="s">
        <v>638</v>
      </c>
      <c r="E104" s="42">
        <v>5000</v>
      </c>
      <c r="F104" s="31" t="s">
        <v>538</v>
      </c>
      <c r="G104" s="107">
        <v>13515423</v>
      </c>
      <c r="H104" s="107">
        <v>0</v>
      </c>
      <c r="I104" s="107">
        <v>13515423</v>
      </c>
      <c r="J104" s="107">
        <v>14061432</v>
      </c>
      <c r="K104" s="107">
        <v>0</v>
      </c>
      <c r="L104" s="107">
        <v>14061432</v>
      </c>
      <c r="M104" s="31" t="s">
        <v>639</v>
      </c>
      <c r="N104" s="31" t="s">
        <v>1011</v>
      </c>
      <c r="O104" s="31" t="s">
        <v>639</v>
      </c>
      <c r="P104" s="31" t="s">
        <v>641</v>
      </c>
      <c r="Q104" s="31" t="s">
        <v>642</v>
      </c>
      <c r="R104" s="31" t="s">
        <v>643</v>
      </c>
      <c r="S104" s="110">
        <v>20646696</v>
      </c>
      <c r="T104" s="83">
        <f>+DISPONIBLES[[#This Row],[Avalúo Total 2025]]-DISPONIBLES[[#This Row],[Avalúo Total 2024]]</f>
        <v>546009</v>
      </c>
      <c r="U104" s="83">
        <f>+DISPONIBLES[[#This Row],[Avalúo Afecto Dic-2025]]-DISPONIBLES[[#This Row],[Avalúo Afecto Dic-2024]]</f>
        <v>546009</v>
      </c>
      <c r="V104" s="83">
        <f>+DISPONIBLES[[#This Row],[Avalúo Exento Dic-2025]]-DISPONIBLES[[#This Row],[Avalúo Exento Dic-2024]]</f>
        <v>0</v>
      </c>
      <c r="W104" s="31"/>
      <c r="X104" s="31"/>
      <c r="Y104" s="32"/>
      <c r="Z104" s="31" t="s">
        <v>1012</v>
      </c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06">
        <v>0.65</v>
      </c>
      <c r="AL104" s="103">
        <v>3250</v>
      </c>
      <c r="AM104" s="102">
        <v>0.3339765359742346</v>
      </c>
      <c r="AN104" s="103">
        <v>1669.882679871173</v>
      </c>
      <c r="AO104" s="103"/>
      <c r="AP104" s="32">
        <v>43865</v>
      </c>
      <c r="AQ104" s="31" t="s">
        <v>645</v>
      </c>
      <c r="AR104" s="103">
        <v>3250</v>
      </c>
      <c r="AS104" s="31" t="s">
        <v>645</v>
      </c>
      <c r="AT104" s="31" t="s">
        <v>646</v>
      </c>
    </row>
    <row r="105" spans="1:46" ht="14.4" x14ac:dyDescent="0.3">
      <c r="A105" s="30" t="s">
        <v>70</v>
      </c>
      <c r="B105" s="31" t="s">
        <v>71</v>
      </c>
      <c r="C105" s="31" t="s">
        <v>1013</v>
      </c>
      <c r="D105" s="31" t="s">
        <v>638</v>
      </c>
      <c r="E105" s="42">
        <v>5000</v>
      </c>
      <c r="F105" s="31" t="s">
        <v>538</v>
      </c>
      <c r="G105" s="107">
        <v>13515423</v>
      </c>
      <c r="H105" s="107">
        <v>0</v>
      </c>
      <c r="I105" s="107">
        <v>13515423</v>
      </c>
      <c r="J105" s="107">
        <v>14061432</v>
      </c>
      <c r="K105" s="107">
        <v>0</v>
      </c>
      <c r="L105" s="107">
        <v>14061432</v>
      </c>
      <c r="M105" s="31" t="s">
        <v>639</v>
      </c>
      <c r="N105" s="31" t="s">
        <v>1014</v>
      </c>
      <c r="O105" s="31" t="s">
        <v>639</v>
      </c>
      <c r="P105" s="31" t="s">
        <v>641</v>
      </c>
      <c r="Q105" s="31" t="s">
        <v>642</v>
      </c>
      <c r="R105" s="31" t="s">
        <v>643</v>
      </c>
      <c r="S105" s="110">
        <v>20646696</v>
      </c>
      <c r="T105" s="83">
        <f>+DISPONIBLES[[#This Row],[Avalúo Total 2025]]-DISPONIBLES[[#This Row],[Avalúo Total 2024]]</f>
        <v>546009</v>
      </c>
      <c r="U105" s="83">
        <f>+DISPONIBLES[[#This Row],[Avalúo Afecto Dic-2025]]-DISPONIBLES[[#This Row],[Avalúo Afecto Dic-2024]]</f>
        <v>546009</v>
      </c>
      <c r="V105" s="83">
        <f>+DISPONIBLES[[#This Row],[Avalúo Exento Dic-2025]]-DISPONIBLES[[#This Row],[Avalúo Exento Dic-2024]]</f>
        <v>0</v>
      </c>
      <c r="W105" s="31"/>
      <c r="X105" s="31"/>
      <c r="Y105" s="32"/>
      <c r="Z105" s="31" t="s">
        <v>1015</v>
      </c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106">
        <v>0.65</v>
      </c>
      <c r="AL105" s="103">
        <v>3250</v>
      </c>
      <c r="AM105" s="102">
        <v>0.3339765359742346</v>
      </c>
      <c r="AN105" s="103">
        <v>1669.882679871173</v>
      </c>
      <c r="AO105" s="103"/>
      <c r="AP105" s="32">
        <v>43865</v>
      </c>
      <c r="AQ105" s="31" t="s">
        <v>645</v>
      </c>
      <c r="AR105" s="103">
        <v>3250</v>
      </c>
      <c r="AS105" s="31" t="s">
        <v>645</v>
      </c>
      <c r="AT105" s="31" t="s">
        <v>646</v>
      </c>
    </row>
    <row r="106" spans="1:46" ht="14.4" x14ac:dyDescent="0.3">
      <c r="A106" s="30" t="s">
        <v>70</v>
      </c>
      <c r="B106" s="31" t="s">
        <v>71</v>
      </c>
      <c r="C106" s="31" t="s">
        <v>1016</v>
      </c>
      <c r="D106" s="31" t="s">
        <v>638</v>
      </c>
      <c r="E106" s="42">
        <v>5000</v>
      </c>
      <c r="F106" s="31" t="s">
        <v>538</v>
      </c>
      <c r="G106" s="107">
        <v>13515423</v>
      </c>
      <c r="H106" s="107">
        <v>0</v>
      </c>
      <c r="I106" s="107">
        <v>13515423</v>
      </c>
      <c r="J106" s="107">
        <v>14061432</v>
      </c>
      <c r="K106" s="107">
        <v>0</v>
      </c>
      <c r="L106" s="107">
        <v>14061432</v>
      </c>
      <c r="M106" s="31" t="s">
        <v>639</v>
      </c>
      <c r="N106" s="31" t="s">
        <v>1017</v>
      </c>
      <c r="O106" s="31" t="s">
        <v>639</v>
      </c>
      <c r="P106" s="31" t="s">
        <v>641</v>
      </c>
      <c r="Q106" s="31" t="s">
        <v>642</v>
      </c>
      <c r="R106" s="31" t="s">
        <v>643</v>
      </c>
      <c r="S106" s="110">
        <v>20646696</v>
      </c>
      <c r="T106" s="83">
        <f>+DISPONIBLES[[#This Row],[Avalúo Total 2025]]-DISPONIBLES[[#This Row],[Avalúo Total 2024]]</f>
        <v>546009</v>
      </c>
      <c r="U106" s="83">
        <f>+DISPONIBLES[[#This Row],[Avalúo Afecto Dic-2025]]-DISPONIBLES[[#This Row],[Avalúo Afecto Dic-2024]]</f>
        <v>546009</v>
      </c>
      <c r="V106" s="83">
        <f>+DISPONIBLES[[#This Row],[Avalúo Exento Dic-2025]]-DISPONIBLES[[#This Row],[Avalúo Exento Dic-2024]]</f>
        <v>0</v>
      </c>
      <c r="W106" s="31"/>
      <c r="X106" s="31"/>
      <c r="Y106" s="32"/>
      <c r="Z106" s="31" t="s">
        <v>1018</v>
      </c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06">
        <v>0.65</v>
      </c>
      <c r="AL106" s="103">
        <v>3250</v>
      </c>
      <c r="AM106" s="102">
        <v>0.3339765359742346</v>
      </c>
      <c r="AN106" s="103">
        <v>1669.882679871173</v>
      </c>
      <c r="AO106" s="103"/>
      <c r="AP106" s="32">
        <v>43865</v>
      </c>
      <c r="AQ106" s="31" t="s">
        <v>645</v>
      </c>
      <c r="AR106" s="103">
        <v>3250</v>
      </c>
      <c r="AS106" s="31" t="s">
        <v>645</v>
      </c>
      <c r="AT106" s="31" t="s">
        <v>646</v>
      </c>
    </row>
    <row r="107" spans="1:46" ht="14.4" x14ac:dyDescent="0.3">
      <c r="A107" s="30" t="s">
        <v>70</v>
      </c>
      <c r="B107" s="31" t="s">
        <v>71</v>
      </c>
      <c r="C107" s="31" t="s">
        <v>1019</v>
      </c>
      <c r="D107" s="31" t="s">
        <v>638</v>
      </c>
      <c r="E107" s="42">
        <v>5000</v>
      </c>
      <c r="F107" s="31" t="s">
        <v>538</v>
      </c>
      <c r="G107" s="107">
        <v>13515423</v>
      </c>
      <c r="H107" s="107">
        <v>0</v>
      </c>
      <c r="I107" s="107">
        <v>13515423</v>
      </c>
      <c r="J107" s="107">
        <v>14061432</v>
      </c>
      <c r="K107" s="107">
        <v>0</v>
      </c>
      <c r="L107" s="107">
        <v>14061432</v>
      </c>
      <c r="M107" s="31" t="s">
        <v>639</v>
      </c>
      <c r="N107" s="31" t="s">
        <v>1020</v>
      </c>
      <c r="O107" s="31" t="s">
        <v>639</v>
      </c>
      <c r="P107" s="31" t="s">
        <v>641</v>
      </c>
      <c r="Q107" s="31" t="s">
        <v>642</v>
      </c>
      <c r="R107" s="31" t="s">
        <v>643</v>
      </c>
      <c r="S107" s="110">
        <v>20646696</v>
      </c>
      <c r="T107" s="83">
        <f>+DISPONIBLES[[#This Row],[Avalúo Total 2025]]-DISPONIBLES[[#This Row],[Avalúo Total 2024]]</f>
        <v>546009</v>
      </c>
      <c r="U107" s="83">
        <f>+DISPONIBLES[[#This Row],[Avalúo Afecto Dic-2025]]-DISPONIBLES[[#This Row],[Avalúo Afecto Dic-2024]]</f>
        <v>546009</v>
      </c>
      <c r="V107" s="83">
        <f>+DISPONIBLES[[#This Row],[Avalúo Exento Dic-2025]]-DISPONIBLES[[#This Row],[Avalúo Exento Dic-2024]]</f>
        <v>0</v>
      </c>
      <c r="W107" s="31"/>
      <c r="X107" s="31"/>
      <c r="Y107" s="32"/>
      <c r="Z107" s="31" t="s">
        <v>1021</v>
      </c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06">
        <v>0.65</v>
      </c>
      <c r="AL107" s="103">
        <v>3250</v>
      </c>
      <c r="AM107" s="102">
        <v>0.3339765359742346</v>
      </c>
      <c r="AN107" s="103">
        <v>1669.882679871173</v>
      </c>
      <c r="AO107" s="103"/>
      <c r="AP107" s="32">
        <v>43865</v>
      </c>
      <c r="AQ107" s="31" t="s">
        <v>645</v>
      </c>
      <c r="AR107" s="103">
        <v>3250</v>
      </c>
      <c r="AS107" s="31" t="s">
        <v>645</v>
      </c>
      <c r="AT107" s="31" t="s">
        <v>646</v>
      </c>
    </row>
    <row r="108" spans="1:46" ht="14.4" x14ac:dyDescent="0.3">
      <c r="A108" s="30" t="s">
        <v>70</v>
      </c>
      <c r="B108" s="31" t="s">
        <v>71</v>
      </c>
      <c r="C108" s="31" t="s">
        <v>1022</v>
      </c>
      <c r="D108" s="31" t="s">
        <v>638</v>
      </c>
      <c r="E108" s="42">
        <v>5000</v>
      </c>
      <c r="F108" s="31" t="s">
        <v>538</v>
      </c>
      <c r="G108" s="107">
        <v>13515423</v>
      </c>
      <c r="H108" s="107">
        <v>0</v>
      </c>
      <c r="I108" s="107">
        <v>13515423</v>
      </c>
      <c r="J108" s="107">
        <v>14061432</v>
      </c>
      <c r="K108" s="107">
        <v>0</v>
      </c>
      <c r="L108" s="107">
        <v>14061432</v>
      </c>
      <c r="M108" s="31" t="s">
        <v>639</v>
      </c>
      <c r="N108" s="31" t="s">
        <v>1023</v>
      </c>
      <c r="O108" s="31" t="s">
        <v>639</v>
      </c>
      <c r="P108" s="31" t="s">
        <v>641</v>
      </c>
      <c r="Q108" s="31" t="s">
        <v>642</v>
      </c>
      <c r="R108" s="31" t="s">
        <v>643</v>
      </c>
      <c r="S108" s="110">
        <v>20646696</v>
      </c>
      <c r="T108" s="83">
        <f>+DISPONIBLES[[#This Row],[Avalúo Total 2025]]-DISPONIBLES[[#This Row],[Avalúo Total 2024]]</f>
        <v>546009</v>
      </c>
      <c r="U108" s="83">
        <f>+DISPONIBLES[[#This Row],[Avalúo Afecto Dic-2025]]-DISPONIBLES[[#This Row],[Avalúo Afecto Dic-2024]]</f>
        <v>546009</v>
      </c>
      <c r="V108" s="83">
        <f>+DISPONIBLES[[#This Row],[Avalúo Exento Dic-2025]]-DISPONIBLES[[#This Row],[Avalúo Exento Dic-2024]]</f>
        <v>0</v>
      </c>
      <c r="W108" s="31"/>
      <c r="X108" s="31"/>
      <c r="Y108" s="32"/>
      <c r="Z108" s="31" t="s">
        <v>1024</v>
      </c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06">
        <v>0.65</v>
      </c>
      <c r="AL108" s="103">
        <v>3250</v>
      </c>
      <c r="AM108" s="102">
        <v>0.3339765359742346</v>
      </c>
      <c r="AN108" s="103">
        <v>1669.882679871173</v>
      </c>
      <c r="AO108" s="103"/>
      <c r="AP108" s="32">
        <v>43865</v>
      </c>
      <c r="AQ108" s="31" t="s">
        <v>645</v>
      </c>
      <c r="AR108" s="103">
        <v>3250</v>
      </c>
      <c r="AS108" s="31" t="s">
        <v>645</v>
      </c>
      <c r="AT108" s="31" t="s">
        <v>646</v>
      </c>
    </row>
    <row r="109" spans="1:46" ht="14.4" x14ac:dyDescent="0.3">
      <c r="A109" s="30" t="s">
        <v>70</v>
      </c>
      <c r="B109" s="31" t="s">
        <v>71</v>
      </c>
      <c r="C109" s="31" t="s">
        <v>1025</v>
      </c>
      <c r="D109" s="31" t="s">
        <v>638</v>
      </c>
      <c r="E109" s="42">
        <v>5000</v>
      </c>
      <c r="F109" s="31" t="s">
        <v>538</v>
      </c>
      <c r="G109" s="107">
        <v>13515423</v>
      </c>
      <c r="H109" s="107">
        <v>0</v>
      </c>
      <c r="I109" s="107">
        <v>13515423</v>
      </c>
      <c r="J109" s="107">
        <v>14061432</v>
      </c>
      <c r="K109" s="107">
        <v>0</v>
      </c>
      <c r="L109" s="107">
        <v>14061432</v>
      </c>
      <c r="M109" s="31" t="s">
        <v>639</v>
      </c>
      <c r="N109" s="31" t="s">
        <v>1026</v>
      </c>
      <c r="O109" s="31" t="s">
        <v>639</v>
      </c>
      <c r="P109" s="31" t="s">
        <v>641</v>
      </c>
      <c r="Q109" s="31" t="s">
        <v>642</v>
      </c>
      <c r="R109" s="31" t="s">
        <v>643</v>
      </c>
      <c r="S109" s="110">
        <v>20646696</v>
      </c>
      <c r="T109" s="83">
        <f>+DISPONIBLES[[#This Row],[Avalúo Total 2025]]-DISPONIBLES[[#This Row],[Avalúo Total 2024]]</f>
        <v>546009</v>
      </c>
      <c r="U109" s="83">
        <f>+DISPONIBLES[[#This Row],[Avalúo Afecto Dic-2025]]-DISPONIBLES[[#This Row],[Avalúo Afecto Dic-2024]]</f>
        <v>546009</v>
      </c>
      <c r="V109" s="83">
        <f>+DISPONIBLES[[#This Row],[Avalúo Exento Dic-2025]]-DISPONIBLES[[#This Row],[Avalúo Exento Dic-2024]]</f>
        <v>0</v>
      </c>
      <c r="W109" s="31"/>
      <c r="X109" s="31"/>
      <c r="Y109" s="32"/>
      <c r="Z109" s="31" t="s">
        <v>1027</v>
      </c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06">
        <v>0.65</v>
      </c>
      <c r="AL109" s="103">
        <v>3250</v>
      </c>
      <c r="AM109" s="102">
        <v>0.3339765359742346</v>
      </c>
      <c r="AN109" s="103">
        <v>1669.882679871173</v>
      </c>
      <c r="AO109" s="103"/>
      <c r="AP109" s="32">
        <v>43865</v>
      </c>
      <c r="AQ109" s="31" t="s">
        <v>645</v>
      </c>
      <c r="AR109" s="103">
        <v>3250</v>
      </c>
      <c r="AS109" s="31" t="s">
        <v>645</v>
      </c>
      <c r="AT109" s="31" t="s">
        <v>646</v>
      </c>
    </row>
    <row r="110" spans="1:46" ht="14.4" x14ac:dyDescent="0.3">
      <c r="A110" s="30" t="s">
        <v>70</v>
      </c>
      <c r="B110" s="31" t="s">
        <v>71</v>
      </c>
      <c r="C110" s="31" t="s">
        <v>1028</v>
      </c>
      <c r="D110" s="31" t="s">
        <v>638</v>
      </c>
      <c r="E110" s="42">
        <v>5000</v>
      </c>
      <c r="F110" s="31" t="s">
        <v>538</v>
      </c>
      <c r="G110" s="107">
        <v>13515423</v>
      </c>
      <c r="H110" s="107">
        <v>0</v>
      </c>
      <c r="I110" s="107">
        <v>13515423</v>
      </c>
      <c r="J110" s="107">
        <v>14061432</v>
      </c>
      <c r="K110" s="107">
        <v>0</v>
      </c>
      <c r="L110" s="107">
        <v>14061432</v>
      </c>
      <c r="M110" s="31" t="s">
        <v>639</v>
      </c>
      <c r="N110" s="31" t="s">
        <v>1029</v>
      </c>
      <c r="O110" s="31" t="s">
        <v>639</v>
      </c>
      <c r="P110" s="31" t="s">
        <v>641</v>
      </c>
      <c r="Q110" s="31" t="s">
        <v>642</v>
      </c>
      <c r="R110" s="31" t="s">
        <v>643</v>
      </c>
      <c r="S110" s="110">
        <v>20646696</v>
      </c>
      <c r="T110" s="83">
        <f>+DISPONIBLES[[#This Row],[Avalúo Total 2025]]-DISPONIBLES[[#This Row],[Avalúo Total 2024]]</f>
        <v>546009</v>
      </c>
      <c r="U110" s="83">
        <f>+DISPONIBLES[[#This Row],[Avalúo Afecto Dic-2025]]-DISPONIBLES[[#This Row],[Avalúo Afecto Dic-2024]]</f>
        <v>546009</v>
      </c>
      <c r="V110" s="83">
        <f>+DISPONIBLES[[#This Row],[Avalúo Exento Dic-2025]]-DISPONIBLES[[#This Row],[Avalúo Exento Dic-2024]]</f>
        <v>0</v>
      </c>
      <c r="W110" s="31"/>
      <c r="X110" s="31"/>
      <c r="Y110" s="32"/>
      <c r="Z110" s="31" t="s">
        <v>1030</v>
      </c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06">
        <v>0.65</v>
      </c>
      <c r="AL110" s="103">
        <v>3250</v>
      </c>
      <c r="AM110" s="102">
        <v>0.3339765359742346</v>
      </c>
      <c r="AN110" s="103">
        <v>1669.882679871173</v>
      </c>
      <c r="AO110" s="103"/>
      <c r="AP110" s="32">
        <v>43865</v>
      </c>
      <c r="AQ110" s="31" t="s">
        <v>645</v>
      </c>
      <c r="AR110" s="103">
        <v>3250</v>
      </c>
      <c r="AS110" s="31" t="s">
        <v>645</v>
      </c>
      <c r="AT110" s="31" t="s">
        <v>646</v>
      </c>
    </row>
    <row r="111" spans="1:46" ht="14.4" x14ac:dyDescent="0.3">
      <c r="A111" s="30" t="s">
        <v>70</v>
      </c>
      <c r="B111" s="31" t="s">
        <v>71</v>
      </c>
      <c r="C111" s="31" t="s">
        <v>1031</v>
      </c>
      <c r="D111" s="31" t="s">
        <v>638</v>
      </c>
      <c r="E111" s="42">
        <v>5000</v>
      </c>
      <c r="F111" s="31" t="s">
        <v>538</v>
      </c>
      <c r="G111" s="107">
        <v>13515423</v>
      </c>
      <c r="H111" s="107">
        <v>0</v>
      </c>
      <c r="I111" s="107">
        <v>13515423</v>
      </c>
      <c r="J111" s="107">
        <v>14061432</v>
      </c>
      <c r="K111" s="107">
        <v>0</v>
      </c>
      <c r="L111" s="107">
        <v>14061432</v>
      </c>
      <c r="M111" s="31" t="s">
        <v>639</v>
      </c>
      <c r="N111" s="31" t="s">
        <v>1029</v>
      </c>
      <c r="O111" s="31" t="s">
        <v>639</v>
      </c>
      <c r="P111" s="31" t="s">
        <v>641</v>
      </c>
      <c r="Q111" s="31" t="s">
        <v>642</v>
      </c>
      <c r="R111" s="31" t="s">
        <v>643</v>
      </c>
      <c r="S111" s="110">
        <v>20646696</v>
      </c>
      <c r="T111" s="83">
        <f>+DISPONIBLES[[#This Row],[Avalúo Total 2025]]-DISPONIBLES[[#This Row],[Avalúo Total 2024]]</f>
        <v>546009</v>
      </c>
      <c r="U111" s="83">
        <f>+DISPONIBLES[[#This Row],[Avalúo Afecto Dic-2025]]-DISPONIBLES[[#This Row],[Avalúo Afecto Dic-2024]]</f>
        <v>546009</v>
      </c>
      <c r="V111" s="83">
        <f>+DISPONIBLES[[#This Row],[Avalúo Exento Dic-2025]]-DISPONIBLES[[#This Row],[Avalúo Exento Dic-2024]]</f>
        <v>0</v>
      </c>
      <c r="W111" s="31"/>
      <c r="X111" s="31"/>
      <c r="Y111" s="32"/>
      <c r="Z111" s="31" t="s">
        <v>1032</v>
      </c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06">
        <v>0.65</v>
      </c>
      <c r="AL111" s="103">
        <v>3250</v>
      </c>
      <c r="AM111" s="102">
        <v>0.3339765359742346</v>
      </c>
      <c r="AN111" s="103">
        <v>1669.882679871173</v>
      </c>
      <c r="AO111" s="103"/>
      <c r="AP111" s="32">
        <v>43865</v>
      </c>
      <c r="AQ111" s="31" t="s">
        <v>645</v>
      </c>
      <c r="AR111" s="103">
        <v>3250</v>
      </c>
      <c r="AS111" s="31" t="s">
        <v>645</v>
      </c>
      <c r="AT111" s="31" t="s">
        <v>646</v>
      </c>
    </row>
    <row r="112" spans="1:46" ht="14.4" x14ac:dyDescent="0.3">
      <c r="A112" s="30" t="s">
        <v>70</v>
      </c>
      <c r="B112" s="31" t="s">
        <v>71</v>
      </c>
      <c r="C112" s="31" t="s">
        <v>1033</v>
      </c>
      <c r="D112" s="31" t="s">
        <v>638</v>
      </c>
      <c r="E112" s="42">
        <v>5000</v>
      </c>
      <c r="F112" s="31" t="s">
        <v>538</v>
      </c>
      <c r="G112" s="107">
        <v>13515423</v>
      </c>
      <c r="H112" s="107">
        <v>0</v>
      </c>
      <c r="I112" s="107">
        <v>13515423</v>
      </c>
      <c r="J112" s="107">
        <v>14061432</v>
      </c>
      <c r="K112" s="107">
        <v>0</v>
      </c>
      <c r="L112" s="107">
        <v>14061432</v>
      </c>
      <c r="M112" s="31" t="s">
        <v>639</v>
      </c>
      <c r="N112" s="31" t="s">
        <v>1034</v>
      </c>
      <c r="O112" s="31" t="s">
        <v>639</v>
      </c>
      <c r="P112" s="31" t="s">
        <v>641</v>
      </c>
      <c r="Q112" s="31" t="s">
        <v>642</v>
      </c>
      <c r="R112" s="31" t="s">
        <v>643</v>
      </c>
      <c r="S112" s="110">
        <v>20646696</v>
      </c>
      <c r="T112" s="83">
        <f>+DISPONIBLES[[#This Row],[Avalúo Total 2025]]-DISPONIBLES[[#This Row],[Avalúo Total 2024]]</f>
        <v>546009</v>
      </c>
      <c r="U112" s="83">
        <f>+DISPONIBLES[[#This Row],[Avalúo Afecto Dic-2025]]-DISPONIBLES[[#This Row],[Avalúo Afecto Dic-2024]]</f>
        <v>546009</v>
      </c>
      <c r="V112" s="83">
        <f>+DISPONIBLES[[#This Row],[Avalúo Exento Dic-2025]]-DISPONIBLES[[#This Row],[Avalúo Exento Dic-2024]]</f>
        <v>0</v>
      </c>
      <c r="W112" s="31"/>
      <c r="X112" s="31"/>
      <c r="Y112" s="32"/>
      <c r="Z112" s="31" t="s">
        <v>1035</v>
      </c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06">
        <v>0.65</v>
      </c>
      <c r="AL112" s="103">
        <v>3250</v>
      </c>
      <c r="AM112" s="102">
        <v>0.3339765359742346</v>
      </c>
      <c r="AN112" s="103">
        <v>1669.882679871173</v>
      </c>
      <c r="AO112" s="103"/>
      <c r="AP112" s="32">
        <v>43865</v>
      </c>
      <c r="AQ112" s="31" t="s">
        <v>645</v>
      </c>
      <c r="AR112" s="103">
        <v>3250</v>
      </c>
      <c r="AS112" s="31" t="s">
        <v>645</v>
      </c>
      <c r="AT112" s="31" t="s">
        <v>646</v>
      </c>
    </row>
    <row r="113" spans="1:46" ht="14.4" x14ac:dyDescent="0.3">
      <c r="A113" s="30" t="s">
        <v>70</v>
      </c>
      <c r="B113" s="31" t="s">
        <v>71</v>
      </c>
      <c r="C113" s="31" t="s">
        <v>1036</v>
      </c>
      <c r="D113" s="31" t="s">
        <v>638</v>
      </c>
      <c r="E113" s="42">
        <v>5000</v>
      </c>
      <c r="F113" s="31" t="s">
        <v>538</v>
      </c>
      <c r="G113" s="107">
        <v>13515423</v>
      </c>
      <c r="H113" s="107">
        <v>0</v>
      </c>
      <c r="I113" s="107">
        <v>13515423</v>
      </c>
      <c r="J113" s="107">
        <v>14061432</v>
      </c>
      <c r="K113" s="107">
        <v>0</v>
      </c>
      <c r="L113" s="107">
        <v>14061432</v>
      </c>
      <c r="M113" s="31" t="s">
        <v>639</v>
      </c>
      <c r="N113" s="31" t="s">
        <v>1037</v>
      </c>
      <c r="O113" s="31" t="s">
        <v>639</v>
      </c>
      <c r="P113" s="31" t="s">
        <v>641</v>
      </c>
      <c r="Q113" s="31" t="s">
        <v>642</v>
      </c>
      <c r="R113" s="31" t="s">
        <v>643</v>
      </c>
      <c r="S113" s="110">
        <v>20646696</v>
      </c>
      <c r="T113" s="83">
        <f>+DISPONIBLES[[#This Row],[Avalúo Total 2025]]-DISPONIBLES[[#This Row],[Avalúo Total 2024]]</f>
        <v>546009</v>
      </c>
      <c r="U113" s="83">
        <f>+DISPONIBLES[[#This Row],[Avalúo Afecto Dic-2025]]-DISPONIBLES[[#This Row],[Avalúo Afecto Dic-2024]]</f>
        <v>546009</v>
      </c>
      <c r="V113" s="83">
        <f>+DISPONIBLES[[#This Row],[Avalúo Exento Dic-2025]]-DISPONIBLES[[#This Row],[Avalúo Exento Dic-2024]]</f>
        <v>0</v>
      </c>
      <c r="W113" s="31"/>
      <c r="X113" s="31"/>
      <c r="Y113" s="32"/>
      <c r="Z113" s="31" t="s">
        <v>1038</v>
      </c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06">
        <v>0.65</v>
      </c>
      <c r="AL113" s="103">
        <v>3250</v>
      </c>
      <c r="AM113" s="102">
        <v>0.3339765359742346</v>
      </c>
      <c r="AN113" s="103">
        <v>1669.882679871173</v>
      </c>
      <c r="AO113" s="103"/>
      <c r="AP113" s="32">
        <v>43865</v>
      </c>
      <c r="AQ113" s="31" t="s">
        <v>645</v>
      </c>
      <c r="AR113" s="103">
        <v>3250</v>
      </c>
      <c r="AS113" s="31" t="s">
        <v>645</v>
      </c>
      <c r="AT113" s="31" t="s">
        <v>646</v>
      </c>
    </row>
    <row r="114" spans="1:46" ht="14.4" x14ac:dyDescent="0.3">
      <c r="A114" s="30" t="s">
        <v>70</v>
      </c>
      <c r="B114" s="31" t="s">
        <v>71</v>
      </c>
      <c r="C114" s="31" t="s">
        <v>1039</v>
      </c>
      <c r="D114" s="31" t="s">
        <v>638</v>
      </c>
      <c r="E114" s="42">
        <v>5000</v>
      </c>
      <c r="F114" s="31" t="s">
        <v>538</v>
      </c>
      <c r="G114" s="107">
        <v>13515423</v>
      </c>
      <c r="H114" s="107">
        <v>0</v>
      </c>
      <c r="I114" s="107">
        <v>13515423</v>
      </c>
      <c r="J114" s="107">
        <v>14061432</v>
      </c>
      <c r="K114" s="107">
        <v>0</v>
      </c>
      <c r="L114" s="107">
        <v>14061432</v>
      </c>
      <c r="M114" s="31" t="s">
        <v>639</v>
      </c>
      <c r="N114" s="31" t="s">
        <v>1040</v>
      </c>
      <c r="O114" s="31" t="s">
        <v>639</v>
      </c>
      <c r="P114" s="31" t="s">
        <v>641</v>
      </c>
      <c r="Q114" s="31" t="s">
        <v>642</v>
      </c>
      <c r="R114" s="31" t="s">
        <v>643</v>
      </c>
      <c r="S114" s="110">
        <v>20646696</v>
      </c>
      <c r="T114" s="83">
        <f>+DISPONIBLES[[#This Row],[Avalúo Total 2025]]-DISPONIBLES[[#This Row],[Avalúo Total 2024]]</f>
        <v>546009</v>
      </c>
      <c r="U114" s="83">
        <f>+DISPONIBLES[[#This Row],[Avalúo Afecto Dic-2025]]-DISPONIBLES[[#This Row],[Avalúo Afecto Dic-2024]]</f>
        <v>546009</v>
      </c>
      <c r="V114" s="83">
        <f>+DISPONIBLES[[#This Row],[Avalúo Exento Dic-2025]]-DISPONIBLES[[#This Row],[Avalúo Exento Dic-2024]]</f>
        <v>0</v>
      </c>
      <c r="W114" s="31"/>
      <c r="X114" s="31"/>
      <c r="Y114" s="32"/>
      <c r="Z114" s="31" t="s">
        <v>1041</v>
      </c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06">
        <v>0.65</v>
      </c>
      <c r="AL114" s="103">
        <v>3250</v>
      </c>
      <c r="AM114" s="102">
        <v>0.3339765359742346</v>
      </c>
      <c r="AN114" s="103">
        <v>1669.882679871173</v>
      </c>
      <c r="AO114" s="103"/>
      <c r="AP114" s="32">
        <v>43865</v>
      </c>
      <c r="AQ114" s="31" t="s">
        <v>645</v>
      </c>
      <c r="AR114" s="103">
        <v>3250</v>
      </c>
      <c r="AS114" s="31" t="s">
        <v>645</v>
      </c>
      <c r="AT114" s="31" t="s">
        <v>646</v>
      </c>
    </row>
    <row r="115" spans="1:46" ht="14.4" x14ac:dyDescent="0.3">
      <c r="A115" s="30" t="s">
        <v>70</v>
      </c>
      <c r="B115" s="31" t="s">
        <v>71</v>
      </c>
      <c r="C115" s="31" t="s">
        <v>1042</v>
      </c>
      <c r="D115" s="31" t="s">
        <v>638</v>
      </c>
      <c r="E115" s="42">
        <v>5000</v>
      </c>
      <c r="F115" s="31" t="s">
        <v>538</v>
      </c>
      <c r="G115" s="107">
        <v>13515423</v>
      </c>
      <c r="H115" s="107">
        <v>0</v>
      </c>
      <c r="I115" s="107">
        <v>13515423</v>
      </c>
      <c r="J115" s="107">
        <v>14061432</v>
      </c>
      <c r="K115" s="107">
        <v>0</v>
      </c>
      <c r="L115" s="107">
        <v>14061432</v>
      </c>
      <c r="M115" s="31" t="s">
        <v>639</v>
      </c>
      <c r="N115" s="31" t="s">
        <v>1043</v>
      </c>
      <c r="O115" s="31" t="s">
        <v>639</v>
      </c>
      <c r="P115" s="31" t="s">
        <v>641</v>
      </c>
      <c r="Q115" s="31" t="s">
        <v>642</v>
      </c>
      <c r="R115" s="31" t="s">
        <v>643</v>
      </c>
      <c r="S115" s="110">
        <v>20646696</v>
      </c>
      <c r="T115" s="83">
        <f>+DISPONIBLES[[#This Row],[Avalúo Total 2025]]-DISPONIBLES[[#This Row],[Avalúo Total 2024]]</f>
        <v>546009</v>
      </c>
      <c r="U115" s="83">
        <f>+DISPONIBLES[[#This Row],[Avalúo Afecto Dic-2025]]-DISPONIBLES[[#This Row],[Avalúo Afecto Dic-2024]]</f>
        <v>546009</v>
      </c>
      <c r="V115" s="83">
        <f>+DISPONIBLES[[#This Row],[Avalúo Exento Dic-2025]]-DISPONIBLES[[#This Row],[Avalúo Exento Dic-2024]]</f>
        <v>0</v>
      </c>
      <c r="W115" s="31"/>
      <c r="X115" s="31"/>
      <c r="Y115" s="32"/>
      <c r="Z115" s="31" t="s">
        <v>1044</v>
      </c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06">
        <v>0.65</v>
      </c>
      <c r="AL115" s="103">
        <v>3250</v>
      </c>
      <c r="AM115" s="102">
        <v>0.3339765359742346</v>
      </c>
      <c r="AN115" s="103">
        <v>1669.882679871173</v>
      </c>
      <c r="AO115" s="103"/>
      <c r="AP115" s="32">
        <v>43865</v>
      </c>
      <c r="AQ115" s="31" t="s">
        <v>645</v>
      </c>
      <c r="AR115" s="103">
        <v>3250</v>
      </c>
      <c r="AS115" s="31" t="s">
        <v>645</v>
      </c>
      <c r="AT115" s="31" t="s">
        <v>646</v>
      </c>
    </row>
    <row r="116" spans="1:46" ht="14.4" x14ac:dyDescent="0.3">
      <c r="A116" s="30" t="s">
        <v>70</v>
      </c>
      <c r="B116" s="31" t="s">
        <v>71</v>
      </c>
      <c r="C116" s="31" t="s">
        <v>1045</v>
      </c>
      <c r="D116" s="31" t="s">
        <v>638</v>
      </c>
      <c r="E116" s="42">
        <v>5000</v>
      </c>
      <c r="F116" s="31" t="s">
        <v>538</v>
      </c>
      <c r="G116" s="107">
        <v>13515423</v>
      </c>
      <c r="H116" s="107">
        <v>0</v>
      </c>
      <c r="I116" s="107">
        <v>13515423</v>
      </c>
      <c r="J116" s="107">
        <v>14061432</v>
      </c>
      <c r="K116" s="107">
        <v>0</v>
      </c>
      <c r="L116" s="107">
        <v>14061432</v>
      </c>
      <c r="M116" s="31" t="s">
        <v>639</v>
      </c>
      <c r="N116" s="31" t="s">
        <v>1046</v>
      </c>
      <c r="O116" s="31" t="s">
        <v>639</v>
      </c>
      <c r="P116" s="31" t="s">
        <v>641</v>
      </c>
      <c r="Q116" s="31" t="s">
        <v>642</v>
      </c>
      <c r="R116" s="31" t="s">
        <v>643</v>
      </c>
      <c r="S116" s="110">
        <v>20646696</v>
      </c>
      <c r="T116" s="83">
        <f>+DISPONIBLES[[#This Row],[Avalúo Total 2025]]-DISPONIBLES[[#This Row],[Avalúo Total 2024]]</f>
        <v>546009</v>
      </c>
      <c r="U116" s="83">
        <f>+DISPONIBLES[[#This Row],[Avalúo Afecto Dic-2025]]-DISPONIBLES[[#This Row],[Avalúo Afecto Dic-2024]]</f>
        <v>546009</v>
      </c>
      <c r="V116" s="83">
        <f>+DISPONIBLES[[#This Row],[Avalúo Exento Dic-2025]]-DISPONIBLES[[#This Row],[Avalúo Exento Dic-2024]]</f>
        <v>0</v>
      </c>
      <c r="W116" s="31"/>
      <c r="X116" s="31"/>
      <c r="Y116" s="32"/>
      <c r="Z116" s="31" t="s">
        <v>1047</v>
      </c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06">
        <v>0.65</v>
      </c>
      <c r="AL116" s="103">
        <v>3250</v>
      </c>
      <c r="AM116" s="102">
        <v>0.3339765359742346</v>
      </c>
      <c r="AN116" s="103">
        <v>1669.882679871173</v>
      </c>
      <c r="AO116" s="103"/>
      <c r="AP116" s="32">
        <v>43865</v>
      </c>
      <c r="AQ116" s="31" t="s">
        <v>645</v>
      </c>
      <c r="AR116" s="103">
        <v>3250</v>
      </c>
      <c r="AS116" s="31" t="s">
        <v>645</v>
      </c>
      <c r="AT116" s="31" t="s">
        <v>646</v>
      </c>
    </row>
    <row r="117" spans="1:46" ht="14.4" x14ac:dyDescent="0.3">
      <c r="A117" s="30" t="s">
        <v>70</v>
      </c>
      <c r="B117" s="31" t="s">
        <v>71</v>
      </c>
      <c r="C117" s="31" t="s">
        <v>1048</v>
      </c>
      <c r="D117" s="31" t="s">
        <v>638</v>
      </c>
      <c r="E117" s="42">
        <v>5000</v>
      </c>
      <c r="F117" s="31" t="s">
        <v>538</v>
      </c>
      <c r="G117" s="107">
        <v>13515423</v>
      </c>
      <c r="H117" s="107">
        <v>0</v>
      </c>
      <c r="I117" s="107">
        <v>13515423</v>
      </c>
      <c r="J117" s="107">
        <v>14061432</v>
      </c>
      <c r="K117" s="107">
        <v>0</v>
      </c>
      <c r="L117" s="107">
        <v>14061432</v>
      </c>
      <c r="M117" s="31" t="s">
        <v>639</v>
      </c>
      <c r="N117" s="31" t="s">
        <v>1029</v>
      </c>
      <c r="O117" s="31" t="s">
        <v>639</v>
      </c>
      <c r="P117" s="31" t="s">
        <v>641</v>
      </c>
      <c r="Q117" s="31" t="s">
        <v>642</v>
      </c>
      <c r="R117" s="31" t="s">
        <v>643</v>
      </c>
      <c r="S117" s="84" t="s">
        <v>682</v>
      </c>
      <c r="T117" s="83">
        <f>+DISPONIBLES[[#This Row],[Avalúo Total 2025]]-DISPONIBLES[[#This Row],[Avalúo Total 2024]]</f>
        <v>546009</v>
      </c>
      <c r="U117" s="83">
        <f>+DISPONIBLES[[#This Row],[Avalúo Afecto Dic-2025]]-DISPONIBLES[[#This Row],[Avalúo Afecto Dic-2024]]</f>
        <v>546009</v>
      </c>
      <c r="V117" s="83">
        <f>+DISPONIBLES[[#This Row],[Avalúo Exento Dic-2025]]-DISPONIBLES[[#This Row],[Avalúo Exento Dic-2024]]</f>
        <v>0</v>
      </c>
      <c r="W117" s="31"/>
      <c r="X117" s="31"/>
      <c r="Y117" s="32"/>
      <c r="Z117" s="31" t="s">
        <v>1049</v>
      </c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06">
        <v>0.65</v>
      </c>
      <c r="AL117" s="103">
        <v>3250</v>
      </c>
      <c r="AM117" s="102">
        <v>0.3339765359742346</v>
      </c>
      <c r="AN117" s="103">
        <v>1669.882679871173</v>
      </c>
      <c r="AO117" s="103"/>
      <c r="AP117" s="32">
        <v>43865</v>
      </c>
      <c r="AQ117" s="31" t="s">
        <v>645</v>
      </c>
      <c r="AR117" s="103">
        <v>3250</v>
      </c>
      <c r="AS117" s="31" t="s">
        <v>645</v>
      </c>
      <c r="AT117" s="31" t="s">
        <v>646</v>
      </c>
    </row>
    <row r="118" spans="1:46" ht="14.4" x14ac:dyDescent="0.3">
      <c r="A118" s="30" t="s">
        <v>70</v>
      </c>
      <c r="B118" s="31" t="s">
        <v>71</v>
      </c>
      <c r="C118" s="31" t="s">
        <v>1050</v>
      </c>
      <c r="D118" s="31" t="s">
        <v>638</v>
      </c>
      <c r="E118" s="42">
        <v>5000</v>
      </c>
      <c r="F118" s="31" t="s">
        <v>538</v>
      </c>
      <c r="G118" s="107">
        <v>13515423</v>
      </c>
      <c r="H118" s="107">
        <v>0</v>
      </c>
      <c r="I118" s="107">
        <v>13515423</v>
      </c>
      <c r="J118" s="107">
        <v>14061432</v>
      </c>
      <c r="K118" s="107">
        <v>0</v>
      </c>
      <c r="L118" s="107">
        <v>14061432</v>
      </c>
      <c r="M118" s="31" t="s">
        <v>639</v>
      </c>
      <c r="N118" s="31" t="s">
        <v>1029</v>
      </c>
      <c r="O118" s="31" t="s">
        <v>639</v>
      </c>
      <c r="P118" s="31" t="s">
        <v>641</v>
      </c>
      <c r="Q118" s="31" t="s">
        <v>642</v>
      </c>
      <c r="R118" s="31" t="s">
        <v>643</v>
      </c>
      <c r="S118" s="84" t="s">
        <v>682</v>
      </c>
      <c r="T118" s="83">
        <f>+DISPONIBLES[[#This Row],[Avalúo Total 2025]]-DISPONIBLES[[#This Row],[Avalúo Total 2024]]</f>
        <v>546009</v>
      </c>
      <c r="U118" s="83">
        <f>+DISPONIBLES[[#This Row],[Avalúo Afecto Dic-2025]]-DISPONIBLES[[#This Row],[Avalúo Afecto Dic-2024]]</f>
        <v>546009</v>
      </c>
      <c r="V118" s="83">
        <f>+DISPONIBLES[[#This Row],[Avalúo Exento Dic-2025]]-DISPONIBLES[[#This Row],[Avalúo Exento Dic-2024]]</f>
        <v>0</v>
      </c>
      <c r="W118" s="31"/>
      <c r="X118" s="31"/>
      <c r="Y118" s="32"/>
      <c r="Z118" s="31" t="s">
        <v>1051</v>
      </c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106">
        <v>0.65</v>
      </c>
      <c r="AL118" s="103">
        <v>3250</v>
      </c>
      <c r="AM118" s="102">
        <v>0.3339765359742346</v>
      </c>
      <c r="AN118" s="103">
        <v>1669.882679871173</v>
      </c>
      <c r="AO118" s="103"/>
      <c r="AP118" s="32">
        <v>43865</v>
      </c>
      <c r="AQ118" s="31" t="s">
        <v>645</v>
      </c>
      <c r="AR118" s="103">
        <v>3250</v>
      </c>
      <c r="AS118" s="31" t="s">
        <v>645</v>
      </c>
      <c r="AT118" s="31" t="s">
        <v>646</v>
      </c>
    </row>
    <row r="119" spans="1:46" ht="14.4" x14ac:dyDescent="0.3">
      <c r="A119" s="30" t="s">
        <v>70</v>
      </c>
      <c r="B119" s="31" t="s">
        <v>71</v>
      </c>
      <c r="C119" s="31" t="s">
        <v>1052</v>
      </c>
      <c r="D119" s="31" t="s">
        <v>638</v>
      </c>
      <c r="E119" s="42">
        <v>5000</v>
      </c>
      <c r="F119" s="31" t="s">
        <v>538</v>
      </c>
      <c r="G119" s="107">
        <v>13515423</v>
      </c>
      <c r="H119" s="107">
        <v>0</v>
      </c>
      <c r="I119" s="107">
        <v>13515423</v>
      </c>
      <c r="J119" s="107">
        <v>14061432</v>
      </c>
      <c r="K119" s="107">
        <v>0</v>
      </c>
      <c r="L119" s="107">
        <v>14061432</v>
      </c>
      <c r="M119" s="31" t="s">
        <v>639</v>
      </c>
      <c r="N119" s="31" t="s">
        <v>1053</v>
      </c>
      <c r="O119" s="31" t="s">
        <v>639</v>
      </c>
      <c r="P119" s="31" t="s">
        <v>641</v>
      </c>
      <c r="Q119" s="31" t="s">
        <v>642</v>
      </c>
      <c r="R119" s="31" t="s">
        <v>643</v>
      </c>
      <c r="S119" s="110">
        <v>20646696</v>
      </c>
      <c r="T119" s="83">
        <f>+DISPONIBLES[[#This Row],[Avalúo Total 2025]]-DISPONIBLES[[#This Row],[Avalúo Total 2024]]</f>
        <v>546009</v>
      </c>
      <c r="U119" s="83">
        <f>+DISPONIBLES[[#This Row],[Avalúo Afecto Dic-2025]]-DISPONIBLES[[#This Row],[Avalúo Afecto Dic-2024]]</f>
        <v>546009</v>
      </c>
      <c r="V119" s="83">
        <f>+DISPONIBLES[[#This Row],[Avalúo Exento Dic-2025]]-DISPONIBLES[[#This Row],[Avalúo Exento Dic-2024]]</f>
        <v>0</v>
      </c>
      <c r="W119" s="31"/>
      <c r="X119" s="31"/>
      <c r="Y119" s="32"/>
      <c r="Z119" s="31" t="s">
        <v>1054</v>
      </c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06">
        <v>0.65</v>
      </c>
      <c r="AL119" s="103">
        <v>3250</v>
      </c>
      <c r="AM119" s="102">
        <v>0.3339765359742346</v>
      </c>
      <c r="AN119" s="103">
        <v>1669.882679871173</v>
      </c>
      <c r="AO119" s="103"/>
      <c r="AP119" s="32">
        <v>43865</v>
      </c>
      <c r="AQ119" s="31" t="s">
        <v>645</v>
      </c>
      <c r="AR119" s="103">
        <v>3250</v>
      </c>
      <c r="AS119" s="31" t="s">
        <v>645</v>
      </c>
      <c r="AT119" s="31" t="s">
        <v>646</v>
      </c>
    </row>
    <row r="120" spans="1:46" ht="14.4" x14ac:dyDescent="0.3">
      <c r="A120" s="30" t="s">
        <v>70</v>
      </c>
      <c r="B120" s="31" t="s">
        <v>71</v>
      </c>
      <c r="C120" s="31" t="s">
        <v>1055</v>
      </c>
      <c r="D120" s="31" t="s">
        <v>638</v>
      </c>
      <c r="E120" s="42">
        <v>5000</v>
      </c>
      <c r="F120" s="31" t="s">
        <v>538</v>
      </c>
      <c r="G120" s="107">
        <v>13515423</v>
      </c>
      <c r="H120" s="107">
        <v>0</v>
      </c>
      <c r="I120" s="107">
        <v>13515423</v>
      </c>
      <c r="J120" s="107">
        <v>14061432</v>
      </c>
      <c r="K120" s="107">
        <v>0</v>
      </c>
      <c r="L120" s="107">
        <v>14061432</v>
      </c>
      <c r="M120" s="31" t="s">
        <v>639</v>
      </c>
      <c r="N120" s="31" t="s">
        <v>1056</v>
      </c>
      <c r="O120" s="31" t="s">
        <v>639</v>
      </c>
      <c r="P120" s="31" t="s">
        <v>641</v>
      </c>
      <c r="Q120" s="31" t="s">
        <v>642</v>
      </c>
      <c r="R120" s="31" t="s">
        <v>643</v>
      </c>
      <c r="S120" s="110">
        <v>20646696</v>
      </c>
      <c r="T120" s="83">
        <f>+DISPONIBLES[[#This Row],[Avalúo Total 2025]]-DISPONIBLES[[#This Row],[Avalúo Total 2024]]</f>
        <v>546009</v>
      </c>
      <c r="U120" s="83">
        <f>+DISPONIBLES[[#This Row],[Avalúo Afecto Dic-2025]]-DISPONIBLES[[#This Row],[Avalúo Afecto Dic-2024]]</f>
        <v>546009</v>
      </c>
      <c r="V120" s="83">
        <f>+DISPONIBLES[[#This Row],[Avalúo Exento Dic-2025]]-DISPONIBLES[[#This Row],[Avalúo Exento Dic-2024]]</f>
        <v>0</v>
      </c>
      <c r="W120" s="31"/>
      <c r="X120" s="31"/>
      <c r="Y120" s="32"/>
      <c r="Z120" s="31" t="s">
        <v>1057</v>
      </c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06">
        <v>0.65</v>
      </c>
      <c r="AL120" s="103">
        <v>3250</v>
      </c>
      <c r="AM120" s="102">
        <v>0.3339765359742346</v>
      </c>
      <c r="AN120" s="103">
        <v>1669.882679871173</v>
      </c>
      <c r="AO120" s="103"/>
      <c r="AP120" s="32">
        <v>43865</v>
      </c>
      <c r="AQ120" s="31" t="s">
        <v>645</v>
      </c>
      <c r="AR120" s="103">
        <v>3250</v>
      </c>
      <c r="AS120" s="31" t="s">
        <v>645</v>
      </c>
      <c r="AT120" s="31" t="s">
        <v>646</v>
      </c>
    </row>
    <row r="121" spans="1:46" ht="14.4" x14ac:dyDescent="0.3">
      <c r="A121" s="30" t="s">
        <v>70</v>
      </c>
      <c r="B121" s="31" t="s">
        <v>71</v>
      </c>
      <c r="C121" s="31" t="s">
        <v>1058</v>
      </c>
      <c r="D121" s="31" t="s">
        <v>638</v>
      </c>
      <c r="E121" s="42">
        <v>5000</v>
      </c>
      <c r="F121" s="31" t="s">
        <v>538</v>
      </c>
      <c r="G121" s="107">
        <v>13515423</v>
      </c>
      <c r="H121" s="107">
        <v>0</v>
      </c>
      <c r="I121" s="107">
        <v>13515423</v>
      </c>
      <c r="J121" s="107">
        <v>14061432</v>
      </c>
      <c r="K121" s="107">
        <v>0</v>
      </c>
      <c r="L121" s="107">
        <v>14061432</v>
      </c>
      <c r="M121" s="31" t="s">
        <v>639</v>
      </c>
      <c r="N121" s="31" t="s">
        <v>1059</v>
      </c>
      <c r="O121" s="31" t="s">
        <v>639</v>
      </c>
      <c r="P121" s="31" t="s">
        <v>641</v>
      </c>
      <c r="Q121" s="31" t="s">
        <v>642</v>
      </c>
      <c r="R121" s="31" t="s">
        <v>643</v>
      </c>
      <c r="S121" s="110">
        <v>20646696</v>
      </c>
      <c r="T121" s="83">
        <f>+DISPONIBLES[[#This Row],[Avalúo Total 2025]]-DISPONIBLES[[#This Row],[Avalúo Total 2024]]</f>
        <v>546009</v>
      </c>
      <c r="U121" s="83">
        <f>+DISPONIBLES[[#This Row],[Avalúo Afecto Dic-2025]]-DISPONIBLES[[#This Row],[Avalúo Afecto Dic-2024]]</f>
        <v>546009</v>
      </c>
      <c r="V121" s="83">
        <f>+DISPONIBLES[[#This Row],[Avalúo Exento Dic-2025]]-DISPONIBLES[[#This Row],[Avalúo Exento Dic-2024]]</f>
        <v>0</v>
      </c>
      <c r="W121" s="31"/>
      <c r="X121" s="31"/>
      <c r="Y121" s="32"/>
      <c r="Z121" s="31" t="s">
        <v>1060</v>
      </c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06">
        <v>0.65</v>
      </c>
      <c r="AL121" s="103">
        <v>3250</v>
      </c>
      <c r="AM121" s="102">
        <v>0.3339765359742346</v>
      </c>
      <c r="AN121" s="103">
        <v>1669.882679871173</v>
      </c>
      <c r="AO121" s="103"/>
      <c r="AP121" s="32">
        <v>43865</v>
      </c>
      <c r="AQ121" s="31" t="s">
        <v>645</v>
      </c>
      <c r="AR121" s="103">
        <v>3250</v>
      </c>
      <c r="AS121" s="31" t="s">
        <v>645</v>
      </c>
      <c r="AT121" s="31" t="s">
        <v>646</v>
      </c>
    </row>
    <row r="122" spans="1:46" ht="14.4" x14ac:dyDescent="0.3">
      <c r="A122" s="30" t="s">
        <v>70</v>
      </c>
      <c r="B122" s="31" t="s">
        <v>71</v>
      </c>
      <c r="C122" s="31" t="s">
        <v>1061</v>
      </c>
      <c r="D122" s="31" t="s">
        <v>638</v>
      </c>
      <c r="E122" s="42">
        <v>5000</v>
      </c>
      <c r="F122" s="31" t="s">
        <v>538</v>
      </c>
      <c r="G122" s="107">
        <v>13515423</v>
      </c>
      <c r="H122" s="107">
        <v>0</v>
      </c>
      <c r="I122" s="107">
        <v>13515423</v>
      </c>
      <c r="J122" s="107">
        <v>14061432</v>
      </c>
      <c r="K122" s="107">
        <v>0</v>
      </c>
      <c r="L122" s="107">
        <v>14061432</v>
      </c>
      <c r="M122" s="31" t="s">
        <v>639</v>
      </c>
      <c r="N122" s="31" t="s">
        <v>1062</v>
      </c>
      <c r="O122" s="31" t="s">
        <v>639</v>
      </c>
      <c r="P122" s="31" t="s">
        <v>641</v>
      </c>
      <c r="Q122" s="31" t="s">
        <v>642</v>
      </c>
      <c r="R122" s="31" t="s">
        <v>643</v>
      </c>
      <c r="S122" s="110">
        <v>20646696</v>
      </c>
      <c r="T122" s="83">
        <f>+DISPONIBLES[[#This Row],[Avalúo Total 2025]]-DISPONIBLES[[#This Row],[Avalúo Total 2024]]</f>
        <v>546009</v>
      </c>
      <c r="U122" s="83">
        <f>+DISPONIBLES[[#This Row],[Avalúo Afecto Dic-2025]]-DISPONIBLES[[#This Row],[Avalúo Afecto Dic-2024]]</f>
        <v>546009</v>
      </c>
      <c r="V122" s="83">
        <f>+DISPONIBLES[[#This Row],[Avalúo Exento Dic-2025]]-DISPONIBLES[[#This Row],[Avalúo Exento Dic-2024]]</f>
        <v>0</v>
      </c>
      <c r="W122" s="31"/>
      <c r="X122" s="31"/>
      <c r="Y122" s="32"/>
      <c r="Z122" s="31" t="s">
        <v>1063</v>
      </c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106">
        <v>0.65</v>
      </c>
      <c r="AL122" s="103">
        <v>3250</v>
      </c>
      <c r="AM122" s="102">
        <v>0.3339765359742346</v>
      </c>
      <c r="AN122" s="103">
        <v>1669.882679871173</v>
      </c>
      <c r="AO122" s="103"/>
      <c r="AP122" s="32">
        <v>43865</v>
      </c>
      <c r="AQ122" s="31" t="s">
        <v>645</v>
      </c>
      <c r="AR122" s="103">
        <v>3250</v>
      </c>
      <c r="AS122" s="31" t="s">
        <v>645</v>
      </c>
      <c r="AT122" s="31" t="s">
        <v>646</v>
      </c>
    </row>
    <row r="123" spans="1:46" ht="14.4" x14ac:dyDescent="0.3">
      <c r="A123" s="30" t="s">
        <v>70</v>
      </c>
      <c r="B123" s="31" t="s">
        <v>71</v>
      </c>
      <c r="C123" s="31" t="s">
        <v>1064</v>
      </c>
      <c r="D123" s="31" t="s">
        <v>638</v>
      </c>
      <c r="E123" s="42">
        <v>5000</v>
      </c>
      <c r="F123" s="31" t="s">
        <v>538</v>
      </c>
      <c r="G123" s="107">
        <v>13515423</v>
      </c>
      <c r="H123" s="107">
        <v>0</v>
      </c>
      <c r="I123" s="107">
        <v>13515423</v>
      </c>
      <c r="J123" s="107">
        <v>14061432</v>
      </c>
      <c r="K123" s="107">
        <v>0</v>
      </c>
      <c r="L123" s="107">
        <v>14061432</v>
      </c>
      <c r="M123" s="31" t="s">
        <v>639</v>
      </c>
      <c r="N123" s="31" t="s">
        <v>1065</v>
      </c>
      <c r="O123" s="31" t="s">
        <v>639</v>
      </c>
      <c r="P123" s="31" t="s">
        <v>641</v>
      </c>
      <c r="Q123" s="31" t="s">
        <v>642</v>
      </c>
      <c r="R123" s="31" t="s">
        <v>643</v>
      </c>
      <c r="S123" s="110">
        <v>20646696</v>
      </c>
      <c r="T123" s="83">
        <f>+DISPONIBLES[[#This Row],[Avalúo Total 2025]]-DISPONIBLES[[#This Row],[Avalúo Total 2024]]</f>
        <v>546009</v>
      </c>
      <c r="U123" s="83">
        <f>+DISPONIBLES[[#This Row],[Avalúo Afecto Dic-2025]]-DISPONIBLES[[#This Row],[Avalúo Afecto Dic-2024]]</f>
        <v>546009</v>
      </c>
      <c r="V123" s="83">
        <f>+DISPONIBLES[[#This Row],[Avalúo Exento Dic-2025]]-DISPONIBLES[[#This Row],[Avalúo Exento Dic-2024]]</f>
        <v>0</v>
      </c>
      <c r="W123" s="31"/>
      <c r="X123" s="31"/>
      <c r="Y123" s="32"/>
      <c r="Z123" s="31" t="s">
        <v>1066</v>
      </c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106">
        <v>0.65</v>
      </c>
      <c r="AL123" s="103">
        <v>3250</v>
      </c>
      <c r="AM123" s="102">
        <v>0.3339765359742346</v>
      </c>
      <c r="AN123" s="103">
        <v>1669.882679871173</v>
      </c>
      <c r="AO123" s="103"/>
      <c r="AP123" s="32">
        <v>43865</v>
      </c>
      <c r="AQ123" s="31" t="s">
        <v>645</v>
      </c>
      <c r="AR123" s="103">
        <v>3250</v>
      </c>
      <c r="AS123" s="31" t="s">
        <v>645</v>
      </c>
      <c r="AT123" s="31" t="s">
        <v>646</v>
      </c>
    </row>
    <row r="124" spans="1:46" ht="14.4" x14ac:dyDescent="0.3">
      <c r="A124" s="30" t="s">
        <v>70</v>
      </c>
      <c r="B124" s="31" t="s">
        <v>71</v>
      </c>
      <c r="C124" s="31" t="s">
        <v>1067</v>
      </c>
      <c r="D124" s="31" t="s">
        <v>638</v>
      </c>
      <c r="E124" s="42">
        <v>5000</v>
      </c>
      <c r="F124" s="31" t="s">
        <v>538</v>
      </c>
      <c r="G124" s="107">
        <v>13515423</v>
      </c>
      <c r="H124" s="107">
        <v>0</v>
      </c>
      <c r="I124" s="107">
        <v>13515423</v>
      </c>
      <c r="J124" s="107">
        <v>14061432</v>
      </c>
      <c r="K124" s="107">
        <v>0</v>
      </c>
      <c r="L124" s="107">
        <v>14061432</v>
      </c>
      <c r="M124" s="31" t="s">
        <v>639</v>
      </c>
      <c r="N124" s="31" t="s">
        <v>1068</v>
      </c>
      <c r="O124" s="31" t="s">
        <v>639</v>
      </c>
      <c r="P124" s="31" t="s">
        <v>641</v>
      </c>
      <c r="Q124" s="31" t="s">
        <v>642</v>
      </c>
      <c r="R124" s="31" t="s">
        <v>643</v>
      </c>
      <c r="S124" s="110">
        <v>20646696</v>
      </c>
      <c r="T124" s="83">
        <f>+DISPONIBLES[[#This Row],[Avalúo Total 2025]]-DISPONIBLES[[#This Row],[Avalúo Total 2024]]</f>
        <v>546009</v>
      </c>
      <c r="U124" s="83">
        <f>+DISPONIBLES[[#This Row],[Avalúo Afecto Dic-2025]]-DISPONIBLES[[#This Row],[Avalúo Afecto Dic-2024]]</f>
        <v>546009</v>
      </c>
      <c r="V124" s="83">
        <f>+DISPONIBLES[[#This Row],[Avalúo Exento Dic-2025]]-DISPONIBLES[[#This Row],[Avalúo Exento Dic-2024]]</f>
        <v>0</v>
      </c>
      <c r="W124" s="31"/>
      <c r="X124" s="31"/>
      <c r="Y124" s="32"/>
      <c r="Z124" s="31" t="s">
        <v>1069</v>
      </c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06">
        <v>0.65</v>
      </c>
      <c r="AL124" s="103">
        <v>3250</v>
      </c>
      <c r="AM124" s="102">
        <v>0.3339765359742346</v>
      </c>
      <c r="AN124" s="103">
        <v>1669.882679871173</v>
      </c>
      <c r="AO124" s="103"/>
      <c r="AP124" s="32">
        <v>43865</v>
      </c>
      <c r="AQ124" s="31" t="s">
        <v>645</v>
      </c>
      <c r="AR124" s="103">
        <v>3250</v>
      </c>
      <c r="AS124" s="31" t="s">
        <v>645</v>
      </c>
      <c r="AT124" s="31" t="s">
        <v>646</v>
      </c>
    </row>
    <row r="125" spans="1:46" ht="14.4" x14ac:dyDescent="0.3">
      <c r="A125" s="30" t="s">
        <v>70</v>
      </c>
      <c r="B125" s="31" t="s">
        <v>71</v>
      </c>
      <c r="C125" s="31" t="s">
        <v>1070</v>
      </c>
      <c r="D125" s="31" t="s">
        <v>638</v>
      </c>
      <c r="E125" s="42">
        <v>5000</v>
      </c>
      <c r="F125" s="31" t="s">
        <v>538</v>
      </c>
      <c r="G125" s="107">
        <v>13515423</v>
      </c>
      <c r="H125" s="107">
        <v>0</v>
      </c>
      <c r="I125" s="107">
        <v>13515423</v>
      </c>
      <c r="J125" s="107">
        <v>14061432</v>
      </c>
      <c r="K125" s="107">
        <v>0</v>
      </c>
      <c r="L125" s="107">
        <v>14061432</v>
      </c>
      <c r="M125" s="31" t="s">
        <v>639</v>
      </c>
      <c r="N125" s="31" t="s">
        <v>1071</v>
      </c>
      <c r="O125" s="31" t="s">
        <v>639</v>
      </c>
      <c r="P125" s="31" t="s">
        <v>641</v>
      </c>
      <c r="Q125" s="31" t="s">
        <v>642</v>
      </c>
      <c r="R125" s="31" t="s">
        <v>643</v>
      </c>
      <c r="S125" s="110">
        <v>20646696</v>
      </c>
      <c r="T125" s="83">
        <f>+DISPONIBLES[[#This Row],[Avalúo Total 2025]]-DISPONIBLES[[#This Row],[Avalúo Total 2024]]</f>
        <v>546009</v>
      </c>
      <c r="U125" s="83">
        <f>+DISPONIBLES[[#This Row],[Avalúo Afecto Dic-2025]]-DISPONIBLES[[#This Row],[Avalúo Afecto Dic-2024]]</f>
        <v>546009</v>
      </c>
      <c r="V125" s="83">
        <f>+DISPONIBLES[[#This Row],[Avalúo Exento Dic-2025]]-DISPONIBLES[[#This Row],[Avalúo Exento Dic-2024]]</f>
        <v>0</v>
      </c>
      <c r="W125" s="31"/>
      <c r="X125" s="31"/>
      <c r="Y125" s="32"/>
      <c r="Z125" s="31" t="s">
        <v>1072</v>
      </c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106">
        <v>0.65</v>
      </c>
      <c r="AL125" s="103">
        <v>3250</v>
      </c>
      <c r="AM125" s="102">
        <v>0.3339765359742346</v>
      </c>
      <c r="AN125" s="103">
        <v>1669.882679871173</v>
      </c>
      <c r="AO125" s="103"/>
      <c r="AP125" s="32">
        <v>43865</v>
      </c>
      <c r="AQ125" s="31" t="s">
        <v>645</v>
      </c>
      <c r="AR125" s="103">
        <v>3250</v>
      </c>
      <c r="AS125" s="31" t="s">
        <v>645</v>
      </c>
      <c r="AT125" s="31" t="s">
        <v>646</v>
      </c>
    </row>
    <row r="126" spans="1:46" ht="14.4" x14ac:dyDescent="0.3">
      <c r="A126" s="30" t="s">
        <v>70</v>
      </c>
      <c r="B126" s="31" t="s">
        <v>71</v>
      </c>
      <c r="C126" s="31" t="s">
        <v>1073</v>
      </c>
      <c r="D126" s="31" t="s">
        <v>638</v>
      </c>
      <c r="E126" s="42">
        <v>5000</v>
      </c>
      <c r="F126" s="31" t="s">
        <v>538</v>
      </c>
      <c r="G126" s="107">
        <v>13515423</v>
      </c>
      <c r="H126" s="107">
        <v>0</v>
      </c>
      <c r="I126" s="107">
        <v>13515423</v>
      </c>
      <c r="J126" s="107">
        <v>14061432</v>
      </c>
      <c r="K126" s="107">
        <v>0</v>
      </c>
      <c r="L126" s="107">
        <v>14061432</v>
      </c>
      <c r="M126" s="31" t="s">
        <v>639</v>
      </c>
      <c r="N126" s="31" t="s">
        <v>1074</v>
      </c>
      <c r="O126" s="31" t="s">
        <v>639</v>
      </c>
      <c r="P126" s="31" t="s">
        <v>641</v>
      </c>
      <c r="Q126" s="31" t="s">
        <v>642</v>
      </c>
      <c r="R126" s="31" t="s">
        <v>643</v>
      </c>
      <c r="S126" s="110">
        <v>20646696</v>
      </c>
      <c r="T126" s="83">
        <f>+DISPONIBLES[[#This Row],[Avalúo Total 2025]]-DISPONIBLES[[#This Row],[Avalúo Total 2024]]</f>
        <v>546009</v>
      </c>
      <c r="U126" s="83">
        <f>+DISPONIBLES[[#This Row],[Avalúo Afecto Dic-2025]]-DISPONIBLES[[#This Row],[Avalúo Afecto Dic-2024]]</f>
        <v>546009</v>
      </c>
      <c r="V126" s="83">
        <f>+DISPONIBLES[[#This Row],[Avalúo Exento Dic-2025]]-DISPONIBLES[[#This Row],[Avalúo Exento Dic-2024]]</f>
        <v>0</v>
      </c>
      <c r="W126" s="31"/>
      <c r="X126" s="31"/>
      <c r="Y126" s="32"/>
      <c r="Z126" s="31" t="s">
        <v>1075</v>
      </c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106">
        <v>0.65</v>
      </c>
      <c r="AL126" s="103">
        <v>3250</v>
      </c>
      <c r="AM126" s="102">
        <v>0.3339765359742346</v>
      </c>
      <c r="AN126" s="103">
        <v>1669.882679871173</v>
      </c>
      <c r="AO126" s="103"/>
      <c r="AP126" s="32">
        <v>43865</v>
      </c>
      <c r="AQ126" s="31" t="s">
        <v>645</v>
      </c>
      <c r="AR126" s="103">
        <v>3250</v>
      </c>
      <c r="AS126" s="31" t="s">
        <v>645</v>
      </c>
      <c r="AT126" s="31" t="s">
        <v>646</v>
      </c>
    </row>
    <row r="127" spans="1:46" ht="14.4" x14ac:dyDescent="0.3">
      <c r="A127" s="30" t="s">
        <v>70</v>
      </c>
      <c r="B127" s="31" t="s">
        <v>71</v>
      </c>
      <c r="C127" s="31" t="s">
        <v>1076</v>
      </c>
      <c r="D127" s="31" t="s">
        <v>638</v>
      </c>
      <c r="E127" s="42">
        <v>5000</v>
      </c>
      <c r="F127" s="31" t="s">
        <v>538</v>
      </c>
      <c r="G127" s="107">
        <v>13515423</v>
      </c>
      <c r="H127" s="107">
        <v>0</v>
      </c>
      <c r="I127" s="107">
        <v>13515423</v>
      </c>
      <c r="J127" s="107">
        <v>14061432</v>
      </c>
      <c r="K127" s="107">
        <v>0</v>
      </c>
      <c r="L127" s="107">
        <v>14061432</v>
      </c>
      <c r="M127" s="31" t="s">
        <v>639</v>
      </c>
      <c r="N127" s="31" t="s">
        <v>1077</v>
      </c>
      <c r="O127" s="31" t="s">
        <v>639</v>
      </c>
      <c r="P127" s="31" t="s">
        <v>641</v>
      </c>
      <c r="Q127" s="31" t="s">
        <v>642</v>
      </c>
      <c r="R127" s="31" t="s">
        <v>643</v>
      </c>
      <c r="S127" s="110">
        <v>20646696</v>
      </c>
      <c r="T127" s="83">
        <f>+DISPONIBLES[[#This Row],[Avalúo Total 2025]]-DISPONIBLES[[#This Row],[Avalúo Total 2024]]</f>
        <v>546009</v>
      </c>
      <c r="U127" s="83">
        <f>+DISPONIBLES[[#This Row],[Avalúo Afecto Dic-2025]]-DISPONIBLES[[#This Row],[Avalúo Afecto Dic-2024]]</f>
        <v>546009</v>
      </c>
      <c r="V127" s="83">
        <f>+DISPONIBLES[[#This Row],[Avalúo Exento Dic-2025]]-DISPONIBLES[[#This Row],[Avalúo Exento Dic-2024]]</f>
        <v>0</v>
      </c>
      <c r="W127" s="31"/>
      <c r="X127" s="31"/>
      <c r="Y127" s="32"/>
      <c r="Z127" s="31" t="s">
        <v>1078</v>
      </c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106">
        <v>0.65</v>
      </c>
      <c r="AL127" s="103">
        <v>3250</v>
      </c>
      <c r="AM127" s="102">
        <v>0.3339765359742346</v>
      </c>
      <c r="AN127" s="103">
        <v>1669.882679871173</v>
      </c>
      <c r="AO127" s="103"/>
      <c r="AP127" s="32">
        <v>43865</v>
      </c>
      <c r="AQ127" s="31" t="s">
        <v>645</v>
      </c>
      <c r="AR127" s="103">
        <v>3250</v>
      </c>
      <c r="AS127" s="31" t="s">
        <v>645</v>
      </c>
      <c r="AT127" s="31" t="s">
        <v>646</v>
      </c>
    </row>
    <row r="128" spans="1:46" ht="14.4" x14ac:dyDescent="0.3">
      <c r="A128" s="30" t="s">
        <v>70</v>
      </c>
      <c r="B128" s="31" t="s">
        <v>71</v>
      </c>
      <c r="C128" s="31" t="s">
        <v>1079</v>
      </c>
      <c r="D128" s="31" t="s">
        <v>638</v>
      </c>
      <c r="E128" s="42">
        <v>5000</v>
      </c>
      <c r="F128" s="31" t="s">
        <v>538</v>
      </c>
      <c r="G128" s="107">
        <v>13515423</v>
      </c>
      <c r="H128" s="107">
        <v>0</v>
      </c>
      <c r="I128" s="107">
        <v>13515423</v>
      </c>
      <c r="J128" s="107">
        <v>14061432</v>
      </c>
      <c r="K128" s="107">
        <v>0</v>
      </c>
      <c r="L128" s="107">
        <v>14061432</v>
      </c>
      <c r="M128" s="31" t="s">
        <v>639</v>
      </c>
      <c r="N128" s="31" t="s">
        <v>1080</v>
      </c>
      <c r="O128" s="31" t="s">
        <v>639</v>
      </c>
      <c r="P128" s="31" t="s">
        <v>641</v>
      </c>
      <c r="Q128" s="31" t="s">
        <v>642</v>
      </c>
      <c r="R128" s="31" t="s">
        <v>643</v>
      </c>
      <c r="S128" s="110">
        <v>20646696</v>
      </c>
      <c r="T128" s="83">
        <f>+DISPONIBLES[[#This Row],[Avalúo Total 2025]]-DISPONIBLES[[#This Row],[Avalúo Total 2024]]</f>
        <v>546009</v>
      </c>
      <c r="U128" s="83">
        <f>+DISPONIBLES[[#This Row],[Avalúo Afecto Dic-2025]]-DISPONIBLES[[#This Row],[Avalúo Afecto Dic-2024]]</f>
        <v>546009</v>
      </c>
      <c r="V128" s="83">
        <f>+DISPONIBLES[[#This Row],[Avalúo Exento Dic-2025]]-DISPONIBLES[[#This Row],[Avalúo Exento Dic-2024]]</f>
        <v>0</v>
      </c>
      <c r="W128" s="31"/>
      <c r="X128" s="31"/>
      <c r="Y128" s="32"/>
      <c r="Z128" s="31" t="s">
        <v>1081</v>
      </c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06">
        <v>0.65</v>
      </c>
      <c r="AL128" s="103">
        <v>3250</v>
      </c>
      <c r="AM128" s="102">
        <v>0.3339765359742346</v>
      </c>
      <c r="AN128" s="103">
        <v>1669.882679871173</v>
      </c>
      <c r="AO128" s="103"/>
      <c r="AP128" s="32">
        <v>43865</v>
      </c>
      <c r="AQ128" s="31" t="s">
        <v>645</v>
      </c>
      <c r="AR128" s="103">
        <v>3250</v>
      </c>
      <c r="AS128" s="31" t="s">
        <v>645</v>
      </c>
      <c r="AT128" s="31" t="s">
        <v>646</v>
      </c>
    </row>
    <row r="129" spans="1:46" ht="14.4" x14ac:dyDescent="0.3">
      <c r="A129" s="30" t="s">
        <v>70</v>
      </c>
      <c r="B129" s="31" t="s">
        <v>71</v>
      </c>
      <c r="C129" s="31" t="s">
        <v>1082</v>
      </c>
      <c r="D129" s="31" t="s">
        <v>638</v>
      </c>
      <c r="E129" s="42">
        <v>5000</v>
      </c>
      <c r="F129" s="31" t="s">
        <v>538</v>
      </c>
      <c r="G129" s="107">
        <v>13515423</v>
      </c>
      <c r="H129" s="107">
        <v>0</v>
      </c>
      <c r="I129" s="107">
        <v>13515423</v>
      </c>
      <c r="J129" s="107">
        <v>14061432</v>
      </c>
      <c r="K129" s="107">
        <v>0</v>
      </c>
      <c r="L129" s="107">
        <v>14061432</v>
      </c>
      <c r="M129" s="31"/>
      <c r="N129" s="31" t="s">
        <v>639</v>
      </c>
      <c r="O129" s="31" t="s">
        <v>639</v>
      </c>
      <c r="P129" s="31" t="s">
        <v>641</v>
      </c>
      <c r="Q129" s="31" t="s">
        <v>642</v>
      </c>
      <c r="R129" s="31" t="s">
        <v>643</v>
      </c>
      <c r="S129" s="110">
        <v>19485683</v>
      </c>
      <c r="T129" s="83">
        <f>+DISPONIBLES[[#This Row],[Avalúo Total 2025]]-DISPONIBLES[[#This Row],[Avalúo Total 2024]]</f>
        <v>546009</v>
      </c>
      <c r="U129" s="83">
        <f>+DISPONIBLES[[#This Row],[Avalúo Afecto Dic-2025]]-DISPONIBLES[[#This Row],[Avalúo Afecto Dic-2024]]</f>
        <v>546009</v>
      </c>
      <c r="V129" s="83">
        <f>+DISPONIBLES[[#This Row],[Avalúo Exento Dic-2025]]-DISPONIBLES[[#This Row],[Avalúo Exento Dic-2024]]</f>
        <v>0</v>
      </c>
      <c r="W129" s="31"/>
      <c r="X129" s="31"/>
      <c r="Y129" s="32"/>
      <c r="Z129" s="31" t="s">
        <v>1083</v>
      </c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106">
        <v>0.3</v>
      </c>
      <c r="AL129" s="103">
        <v>1500</v>
      </c>
      <c r="AM129" s="102">
        <v>0.3</v>
      </c>
      <c r="AN129" s="103">
        <v>1500</v>
      </c>
      <c r="AO129" s="103"/>
      <c r="AP129" s="32"/>
      <c r="AQ129" s="31"/>
      <c r="AR129" s="103"/>
      <c r="AS129" s="31" t="s">
        <v>88</v>
      </c>
      <c r="AT129" s="31"/>
    </row>
    <row r="130" spans="1:46" ht="14.4" x14ac:dyDescent="0.3">
      <c r="A130" s="30" t="s">
        <v>70</v>
      </c>
      <c r="B130" s="31" t="s">
        <v>71</v>
      </c>
      <c r="C130" s="31" t="s">
        <v>1084</v>
      </c>
      <c r="D130" s="31" t="s">
        <v>1085</v>
      </c>
      <c r="E130" s="42">
        <v>5000</v>
      </c>
      <c r="F130" s="31" t="s">
        <v>538</v>
      </c>
      <c r="G130" s="107">
        <v>63081977</v>
      </c>
      <c r="H130" s="107">
        <v>0</v>
      </c>
      <c r="I130" s="107">
        <v>63081977</v>
      </c>
      <c r="J130" s="107">
        <v>64406678</v>
      </c>
      <c r="K130" s="107">
        <v>0</v>
      </c>
      <c r="L130" s="107">
        <v>64406678</v>
      </c>
      <c r="M130" s="31" t="s">
        <v>1086</v>
      </c>
      <c r="N130" s="31" t="s">
        <v>1087</v>
      </c>
      <c r="O130" s="31" t="s">
        <v>1087</v>
      </c>
      <c r="P130" s="31" t="s">
        <v>641</v>
      </c>
      <c r="Q130" s="31" t="s">
        <v>642</v>
      </c>
      <c r="R130" s="31" t="s">
        <v>643</v>
      </c>
      <c r="S130" s="110">
        <v>92395390</v>
      </c>
      <c r="T130" s="83">
        <f>+DISPONIBLES[[#This Row],[Avalúo Total 2025]]-DISPONIBLES[[#This Row],[Avalúo Total 2024]]</f>
        <v>1324701</v>
      </c>
      <c r="U130" s="83">
        <f>+DISPONIBLES[[#This Row],[Avalúo Afecto Dic-2025]]-DISPONIBLES[[#This Row],[Avalúo Afecto Dic-2024]]</f>
        <v>1324701</v>
      </c>
      <c r="V130" s="83">
        <f>+DISPONIBLES[[#This Row],[Avalúo Exento Dic-2025]]-DISPONIBLES[[#This Row],[Avalúo Exento Dic-2024]]</f>
        <v>0</v>
      </c>
      <c r="W130" s="31"/>
      <c r="X130" s="31"/>
      <c r="Y130" s="32"/>
      <c r="Z130" s="31" t="s">
        <v>1088</v>
      </c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106">
        <v>3.5</v>
      </c>
      <c r="AL130" s="103">
        <v>17500</v>
      </c>
      <c r="AM130" s="102">
        <v>0.88</v>
      </c>
      <c r="AN130" s="103">
        <v>4400</v>
      </c>
      <c r="AO130" s="103"/>
      <c r="AP130" s="32">
        <v>40868</v>
      </c>
      <c r="AQ130" s="31" t="s">
        <v>108</v>
      </c>
      <c r="AR130" s="103">
        <v>4400</v>
      </c>
      <c r="AS130" s="31" t="s">
        <v>88</v>
      </c>
      <c r="AT130" s="31"/>
    </row>
    <row r="131" spans="1:46" ht="14.4" x14ac:dyDescent="0.3">
      <c r="A131" s="30" t="s">
        <v>70</v>
      </c>
      <c r="B131" s="31" t="s">
        <v>71</v>
      </c>
      <c r="C131" s="31" t="s">
        <v>1089</v>
      </c>
      <c r="D131" s="31" t="s">
        <v>638</v>
      </c>
      <c r="E131" s="42">
        <v>5400</v>
      </c>
      <c r="F131" s="31" t="s">
        <v>538</v>
      </c>
      <c r="G131" s="107">
        <v>13515423</v>
      </c>
      <c r="H131" s="107">
        <v>0</v>
      </c>
      <c r="I131" s="107">
        <v>13515423</v>
      </c>
      <c r="J131" s="107">
        <v>14061432</v>
      </c>
      <c r="K131" s="107">
        <v>0</v>
      </c>
      <c r="L131" s="107">
        <v>14061432</v>
      </c>
      <c r="M131" s="31" t="s">
        <v>639</v>
      </c>
      <c r="N131" s="31" t="s">
        <v>1090</v>
      </c>
      <c r="O131" s="31" t="s">
        <v>639</v>
      </c>
      <c r="P131" s="31" t="s">
        <v>641</v>
      </c>
      <c r="Q131" s="31" t="s">
        <v>642</v>
      </c>
      <c r="R131" s="31" t="s">
        <v>643</v>
      </c>
      <c r="S131" s="110">
        <v>22298431</v>
      </c>
      <c r="T131" s="83">
        <f>+DISPONIBLES[[#This Row],[Avalúo Total 2025]]-DISPONIBLES[[#This Row],[Avalúo Total 2024]]</f>
        <v>546009</v>
      </c>
      <c r="U131" s="83">
        <f>+DISPONIBLES[[#This Row],[Avalúo Afecto Dic-2025]]-DISPONIBLES[[#This Row],[Avalúo Afecto Dic-2024]]</f>
        <v>546009</v>
      </c>
      <c r="V131" s="83">
        <f>+DISPONIBLES[[#This Row],[Avalúo Exento Dic-2025]]-DISPONIBLES[[#This Row],[Avalúo Exento Dic-2024]]</f>
        <v>0</v>
      </c>
      <c r="W131" s="31"/>
      <c r="X131" s="31"/>
      <c r="Y131" s="32"/>
      <c r="Z131" s="31" t="s">
        <v>1091</v>
      </c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106">
        <v>0.65</v>
      </c>
      <c r="AL131" s="103">
        <v>3510</v>
      </c>
      <c r="AM131" s="102">
        <v>0.3339765359742346</v>
      </c>
      <c r="AN131" s="103">
        <v>1803.4732942608669</v>
      </c>
      <c r="AO131" s="103"/>
      <c r="AP131" s="32">
        <v>43865</v>
      </c>
      <c r="AQ131" s="31" t="s">
        <v>645</v>
      </c>
      <c r="AR131" s="103">
        <v>3510</v>
      </c>
      <c r="AS131" s="31" t="s">
        <v>645</v>
      </c>
      <c r="AT131" s="31" t="s">
        <v>646</v>
      </c>
    </row>
    <row r="132" spans="1:46" ht="14.4" x14ac:dyDescent="0.3">
      <c r="A132" s="30" t="s">
        <v>70</v>
      </c>
      <c r="B132" s="31" t="s">
        <v>71</v>
      </c>
      <c r="C132" s="31" t="s">
        <v>1092</v>
      </c>
      <c r="D132" s="31" t="s">
        <v>1093</v>
      </c>
      <c r="E132" s="42">
        <v>5850</v>
      </c>
      <c r="F132" s="31" t="s">
        <v>538</v>
      </c>
      <c r="G132" s="107">
        <v>73805913</v>
      </c>
      <c r="H132" s="107">
        <v>0</v>
      </c>
      <c r="I132" s="107">
        <v>73805913</v>
      </c>
      <c r="J132" s="107">
        <v>75355813</v>
      </c>
      <c r="K132" s="107">
        <v>0</v>
      </c>
      <c r="L132" s="107">
        <v>75355813</v>
      </c>
      <c r="M132" s="31" t="s">
        <v>1086</v>
      </c>
      <c r="N132" s="31" t="s">
        <v>1094</v>
      </c>
      <c r="O132" s="31" t="s">
        <v>1094</v>
      </c>
      <c r="P132" s="31" t="s">
        <v>641</v>
      </c>
      <c r="Q132" s="31" t="s">
        <v>642</v>
      </c>
      <c r="R132" s="31" t="s">
        <v>643</v>
      </c>
      <c r="S132" s="110">
        <v>92395390</v>
      </c>
      <c r="T132" s="83">
        <f>+DISPONIBLES[[#This Row],[Avalúo Total 2025]]-DISPONIBLES[[#This Row],[Avalúo Total 2024]]</f>
        <v>1549900</v>
      </c>
      <c r="U132" s="83">
        <f>+DISPONIBLES[[#This Row],[Avalúo Afecto Dic-2025]]-DISPONIBLES[[#This Row],[Avalúo Afecto Dic-2024]]</f>
        <v>1549900</v>
      </c>
      <c r="V132" s="83">
        <f>+DISPONIBLES[[#This Row],[Avalúo Exento Dic-2025]]-DISPONIBLES[[#This Row],[Avalúo Exento Dic-2024]]</f>
        <v>0</v>
      </c>
      <c r="W132" s="31"/>
      <c r="X132" s="31"/>
      <c r="Y132" s="32"/>
      <c r="Z132" s="31" t="s">
        <v>1095</v>
      </c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106">
        <v>3.5</v>
      </c>
      <c r="AL132" s="103">
        <v>20475</v>
      </c>
      <c r="AM132" s="102">
        <v>0.88</v>
      </c>
      <c r="AN132" s="103">
        <v>4400</v>
      </c>
      <c r="AO132" s="103"/>
      <c r="AP132" s="32">
        <v>40868</v>
      </c>
      <c r="AQ132" s="31" t="s">
        <v>108</v>
      </c>
      <c r="AR132" s="103">
        <v>4400</v>
      </c>
      <c r="AS132" s="31" t="s">
        <v>88</v>
      </c>
      <c r="AT132" s="31"/>
    </row>
    <row r="133" spans="1:46" ht="14.4" x14ac:dyDescent="0.3">
      <c r="A133" s="30" t="s">
        <v>70</v>
      </c>
      <c r="B133" s="31" t="s">
        <v>71</v>
      </c>
      <c r="C133" s="31" t="s">
        <v>1096</v>
      </c>
      <c r="D133" s="31" t="s">
        <v>638</v>
      </c>
      <c r="E133" s="42">
        <v>6000</v>
      </c>
      <c r="F133" s="31" t="s">
        <v>538</v>
      </c>
      <c r="G133" s="107">
        <v>13515423</v>
      </c>
      <c r="H133" s="107">
        <v>0</v>
      </c>
      <c r="I133" s="107">
        <v>13515423</v>
      </c>
      <c r="J133" s="107">
        <v>14061432</v>
      </c>
      <c r="K133" s="107">
        <v>0</v>
      </c>
      <c r="L133" s="107">
        <v>14061432</v>
      </c>
      <c r="M133" s="31" t="s">
        <v>639</v>
      </c>
      <c r="N133" s="31" t="s">
        <v>1097</v>
      </c>
      <c r="O133" s="31" t="s">
        <v>639</v>
      </c>
      <c r="P133" s="31" t="s">
        <v>641</v>
      </c>
      <c r="Q133" s="31" t="s">
        <v>642</v>
      </c>
      <c r="R133" s="31" t="s">
        <v>643</v>
      </c>
      <c r="S133" s="84" t="s">
        <v>682</v>
      </c>
      <c r="T133" s="83">
        <f>+DISPONIBLES[[#This Row],[Avalúo Total 2025]]-DISPONIBLES[[#This Row],[Avalúo Total 2024]]</f>
        <v>546009</v>
      </c>
      <c r="U133" s="83">
        <f>+DISPONIBLES[[#This Row],[Avalúo Afecto Dic-2025]]-DISPONIBLES[[#This Row],[Avalúo Afecto Dic-2024]]</f>
        <v>546009</v>
      </c>
      <c r="V133" s="83">
        <f>+DISPONIBLES[[#This Row],[Avalúo Exento Dic-2025]]-DISPONIBLES[[#This Row],[Avalúo Exento Dic-2024]]</f>
        <v>0</v>
      </c>
      <c r="W133" s="31"/>
      <c r="X133" s="31"/>
      <c r="Y133" s="32"/>
      <c r="Z133" s="31" t="s">
        <v>1098</v>
      </c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106">
        <v>0.65</v>
      </c>
      <c r="AL133" s="103">
        <v>3900</v>
      </c>
      <c r="AM133" s="102">
        <v>0.3339765359742346</v>
      </c>
      <c r="AN133" s="103">
        <v>2003.8592158454076</v>
      </c>
      <c r="AO133" s="103"/>
      <c r="AP133" s="32">
        <v>43865</v>
      </c>
      <c r="AQ133" s="31" t="s">
        <v>645</v>
      </c>
      <c r="AR133" s="103">
        <v>3900</v>
      </c>
      <c r="AS133" s="31" t="s">
        <v>645</v>
      </c>
      <c r="AT133" s="31" t="s">
        <v>646</v>
      </c>
    </row>
    <row r="134" spans="1:46" ht="14.4" x14ac:dyDescent="0.3">
      <c r="A134" s="30" t="s">
        <v>70</v>
      </c>
      <c r="B134" s="31" t="s">
        <v>71</v>
      </c>
      <c r="C134" s="31" t="s">
        <v>1099</v>
      </c>
      <c r="D134" s="31" t="s">
        <v>638</v>
      </c>
      <c r="E134" s="42">
        <v>6000</v>
      </c>
      <c r="F134" s="31" t="s">
        <v>538</v>
      </c>
      <c r="G134" s="107">
        <v>13515423</v>
      </c>
      <c r="H134" s="107">
        <v>0</v>
      </c>
      <c r="I134" s="107">
        <v>13515423</v>
      </c>
      <c r="J134" s="107">
        <v>14061432</v>
      </c>
      <c r="K134" s="107">
        <v>0</v>
      </c>
      <c r="L134" s="107">
        <v>14061432</v>
      </c>
      <c r="M134" s="31" t="s">
        <v>639</v>
      </c>
      <c r="N134" s="31" t="s">
        <v>1100</v>
      </c>
      <c r="O134" s="31" t="s">
        <v>639</v>
      </c>
      <c r="P134" s="31" t="s">
        <v>641</v>
      </c>
      <c r="Q134" s="31" t="s">
        <v>642</v>
      </c>
      <c r="R134" s="31" t="s">
        <v>643</v>
      </c>
      <c r="S134" s="110">
        <v>24776038</v>
      </c>
      <c r="T134" s="83">
        <f>+DISPONIBLES[[#This Row],[Avalúo Total 2025]]-DISPONIBLES[[#This Row],[Avalúo Total 2024]]</f>
        <v>546009</v>
      </c>
      <c r="U134" s="83">
        <f>+DISPONIBLES[[#This Row],[Avalúo Afecto Dic-2025]]-DISPONIBLES[[#This Row],[Avalúo Afecto Dic-2024]]</f>
        <v>546009</v>
      </c>
      <c r="V134" s="83">
        <f>+DISPONIBLES[[#This Row],[Avalúo Exento Dic-2025]]-DISPONIBLES[[#This Row],[Avalúo Exento Dic-2024]]</f>
        <v>0</v>
      </c>
      <c r="W134" s="31"/>
      <c r="X134" s="31"/>
      <c r="Y134" s="32"/>
      <c r="Z134" s="31" t="s">
        <v>1101</v>
      </c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106">
        <v>0.65</v>
      </c>
      <c r="AL134" s="103">
        <v>3900</v>
      </c>
      <c r="AM134" s="102">
        <v>0.3339765359742346</v>
      </c>
      <c r="AN134" s="103">
        <v>2003.8592158454076</v>
      </c>
      <c r="AO134" s="103"/>
      <c r="AP134" s="32">
        <v>43865</v>
      </c>
      <c r="AQ134" s="31" t="s">
        <v>645</v>
      </c>
      <c r="AR134" s="103">
        <v>3900</v>
      </c>
      <c r="AS134" s="31" t="s">
        <v>645</v>
      </c>
      <c r="AT134" s="31" t="s">
        <v>646</v>
      </c>
    </row>
    <row r="135" spans="1:46" ht="14.4" x14ac:dyDescent="0.3">
      <c r="A135" s="30" t="s">
        <v>70</v>
      </c>
      <c r="B135" s="31" t="s">
        <v>71</v>
      </c>
      <c r="C135" s="31" t="s">
        <v>1102</v>
      </c>
      <c r="D135" s="31" t="s">
        <v>638</v>
      </c>
      <c r="E135" s="42">
        <v>6000</v>
      </c>
      <c r="F135" s="31" t="s">
        <v>538</v>
      </c>
      <c r="G135" s="107">
        <v>13515423</v>
      </c>
      <c r="H135" s="107">
        <v>0</v>
      </c>
      <c r="I135" s="107">
        <v>13515423</v>
      </c>
      <c r="J135" s="107">
        <v>14061432</v>
      </c>
      <c r="K135" s="107">
        <v>0</v>
      </c>
      <c r="L135" s="107">
        <v>14061432</v>
      </c>
      <c r="M135" s="31" t="s">
        <v>639</v>
      </c>
      <c r="N135" s="31" t="s">
        <v>1103</v>
      </c>
      <c r="O135" s="31" t="s">
        <v>639</v>
      </c>
      <c r="P135" s="31" t="s">
        <v>641</v>
      </c>
      <c r="Q135" s="31" t="s">
        <v>642</v>
      </c>
      <c r="R135" s="31" t="s">
        <v>643</v>
      </c>
      <c r="S135" s="110">
        <v>24776038</v>
      </c>
      <c r="T135" s="83">
        <f>+DISPONIBLES[[#This Row],[Avalúo Total 2025]]-DISPONIBLES[[#This Row],[Avalúo Total 2024]]</f>
        <v>546009</v>
      </c>
      <c r="U135" s="83">
        <f>+DISPONIBLES[[#This Row],[Avalúo Afecto Dic-2025]]-DISPONIBLES[[#This Row],[Avalúo Afecto Dic-2024]]</f>
        <v>546009</v>
      </c>
      <c r="V135" s="83">
        <f>+DISPONIBLES[[#This Row],[Avalúo Exento Dic-2025]]-DISPONIBLES[[#This Row],[Avalúo Exento Dic-2024]]</f>
        <v>0</v>
      </c>
      <c r="W135" s="31"/>
      <c r="X135" s="31"/>
      <c r="Y135" s="32"/>
      <c r="Z135" s="31" t="s">
        <v>1104</v>
      </c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106">
        <v>0.65</v>
      </c>
      <c r="AL135" s="103">
        <v>3250</v>
      </c>
      <c r="AM135" s="102">
        <v>0.3339765359742346</v>
      </c>
      <c r="AN135" s="103">
        <v>2003.8592158454076</v>
      </c>
      <c r="AO135" s="103"/>
      <c r="AP135" s="32">
        <v>43865</v>
      </c>
      <c r="AQ135" s="31" t="s">
        <v>645</v>
      </c>
      <c r="AR135" s="103">
        <v>3900</v>
      </c>
      <c r="AS135" s="31" t="s">
        <v>645</v>
      </c>
      <c r="AT135" s="31" t="s">
        <v>646</v>
      </c>
    </row>
    <row r="136" spans="1:46" ht="14.4" x14ac:dyDescent="0.3">
      <c r="A136" s="30" t="s">
        <v>1105</v>
      </c>
      <c r="B136" s="31" t="s">
        <v>71</v>
      </c>
      <c r="C136" s="31" t="s">
        <v>1106</v>
      </c>
      <c r="D136" s="31" t="s">
        <v>1107</v>
      </c>
      <c r="E136" s="42">
        <v>19400</v>
      </c>
      <c r="F136" s="31" t="s">
        <v>538</v>
      </c>
      <c r="G136" s="107">
        <v>944118335</v>
      </c>
      <c r="H136" s="107">
        <v>0</v>
      </c>
      <c r="I136" s="107">
        <v>944118335</v>
      </c>
      <c r="J136" s="107">
        <v>982259708</v>
      </c>
      <c r="K136" s="107">
        <v>0</v>
      </c>
      <c r="L136" s="107">
        <v>982259708</v>
      </c>
      <c r="M136" s="31" t="s">
        <v>1108</v>
      </c>
      <c r="N136" s="31" t="s">
        <v>1109</v>
      </c>
      <c r="O136" s="31" t="s">
        <v>1109</v>
      </c>
      <c r="P136" s="87" t="s">
        <v>641</v>
      </c>
      <c r="Q136" s="31" t="s">
        <v>642</v>
      </c>
      <c r="R136" s="31" t="s">
        <v>643</v>
      </c>
      <c r="S136" s="110">
        <v>235746239</v>
      </c>
      <c r="T136" s="83">
        <f>+DISPONIBLES[[#This Row],[Avalúo Total 2025]]-DISPONIBLES[[#This Row],[Avalúo Total 2024]]</f>
        <v>38141373</v>
      </c>
      <c r="U136" s="83">
        <f>+DISPONIBLES[[#This Row],[Avalúo Afecto Dic-2025]]-DISPONIBLES[[#This Row],[Avalúo Afecto Dic-2024]]</f>
        <v>38141373</v>
      </c>
      <c r="V136" s="83">
        <f>+DISPONIBLES[[#This Row],[Avalúo Exento Dic-2025]]-DISPONIBLES[[#This Row],[Avalúo Exento Dic-2024]]</f>
        <v>0</v>
      </c>
      <c r="W136" s="31"/>
      <c r="X136" s="31"/>
      <c r="Y136" s="32"/>
      <c r="Z136" s="31" t="s">
        <v>1110</v>
      </c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106">
        <v>0.8</v>
      </c>
      <c r="AL136" s="103">
        <v>15520</v>
      </c>
      <c r="AM136" s="102">
        <v>0.47</v>
      </c>
      <c r="AN136" s="103">
        <v>9118</v>
      </c>
      <c r="AO136" s="103"/>
      <c r="AP136" s="32">
        <v>45579</v>
      </c>
      <c r="AQ136" s="31" t="s">
        <v>1111</v>
      </c>
      <c r="AR136" s="103">
        <v>9118</v>
      </c>
      <c r="AS136" s="31" t="s">
        <v>1111</v>
      </c>
      <c r="AT136" s="31"/>
    </row>
    <row r="137" spans="1:46" ht="14.4" x14ac:dyDescent="0.3">
      <c r="A137" s="30" t="s">
        <v>1105</v>
      </c>
      <c r="B137" s="31" t="s">
        <v>71</v>
      </c>
      <c r="C137" s="31" t="s">
        <v>1112</v>
      </c>
      <c r="D137" s="31" t="s">
        <v>1113</v>
      </c>
      <c r="E137" s="42">
        <v>40700</v>
      </c>
      <c r="F137" s="31" t="s">
        <v>538</v>
      </c>
      <c r="G137" s="107">
        <v>1842409621</v>
      </c>
      <c r="H137" s="107">
        <v>0</v>
      </c>
      <c r="I137" s="107">
        <v>1842409621</v>
      </c>
      <c r="J137" s="107">
        <v>1881099633</v>
      </c>
      <c r="K137" s="107">
        <v>0</v>
      </c>
      <c r="L137" s="107">
        <v>1881099633</v>
      </c>
      <c r="M137" s="31" t="s">
        <v>1108</v>
      </c>
      <c r="N137" s="31" t="s">
        <v>1114</v>
      </c>
      <c r="O137" s="31" t="s">
        <v>1114</v>
      </c>
      <c r="P137" s="31" t="s">
        <v>641</v>
      </c>
      <c r="Q137" s="31" t="s">
        <v>642</v>
      </c>
      <c r="R137" s="31" t="s">
        <v>643</v>
      </c>
      <c r="S137" s="110">
        <v>494580829</v>
      </c>
      <c r="T137" s="83">
        <f>+DISPONIBLES[[#This Row],[Avalúo Total 2025]]-DISPONIBLES[[#This Row],[Avalúo Total 2024]]</f>
        <v>38690012</v>
      </c>
      <c r="U137" s="83">
        <f>+DISPONIBLES[[#This Row],[Avalúo Afecto Dic-2025]]-DISPONIBLES[[#This Row],[Avalúo Afecto Dic-2024]]</f>
        <v>38690012</v>
      </c>
      <c r="V137" s="83">
        <f>+DISPONIBLES[[#This Row],[Avalúo Exento Dic-2025]]-DISPONIBLES[[#This Row],[Avalúo Exento Dic-2024]]</f>
        <v>0</v>
      </c>
      <c r="W137" s="31"/>
      <c r="X137" s="31"/>
      <c r="Y137" s="32"/>
      <c r="Z137" s="31" t="s">
        <v>1115</v>
      </c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106">
        <v>0.8</v>
      </c>
      <c r="AL137" s="103">
        <v>32560</v>
      </c>
      <c r="AM137" s="102">
        <v>0.47</v>
      </c>
      <c r="AN137" s="103">
        <v>19129</v>
      </c>
      <c r="AO137" s="103"/>
      <c r="AP137" s="32">
        <v>45579</v>
      </c>
      <c r="AQ137" s="31" t="s">
        <v>1111</v>
      </c>
      <c r="AR137" s="103">
        <v>19129</v>
      </c>
      <c r="AS137" s="31" t="s">
        <v>1111</v>
      </c>
      <c r="AT137" s="31"/>
    </row>
    <row r="138" spans="1:46" ht="14.4" x14ac:dyDescent="0.3">
      <c r="A138" s="30" t="s">
        <v>496</v>
      </c>
      <c r="B138" s="31" t="s">
        <v>71</v>
      </c>
      <c r="C138" s="31" t="s">
        <v>1116</v>
      </c>
      <c r="D138" s="31" t="s">
        <v>1117</v>
      </c>
      <c r="E138" s="42">
        <v>54848.91</v>
      </c>
      <c r="F138" s="31" t="s">
        <v>538</v>
      </c>
      <c r="G138" s="107">
        <v>4615626336</v>
      </c>
      <c r="H138" s="107">
        <v>0</v>
      </c>
      <c r="I138" s="107">
        <v>4612626336</v>
      </c>
      <c r="J138" s="107">
        <v>4712553013</v>
      </c>
      <c r="K138" s="107">
        <v>0</v>
      </c>
      <c r="L138" s="107">
        <v>4712553013</v>
      </c>
      <c r="M138" s="31" t="s">
        <v>1118</v>
      </c>
      <c r="N138" s="31" t="s">
        <v>1119</v>
      </c>
      <c r="O138" s="31" t="s">
        <v>1119</v>
      </c>
      <c r="P138" s="31" t="s">
        <v>641</v>
      </c>
      <c r="Q138" s="31" t="s">
        <v>642</v>
      </c>
      <c r="R138" s="31" t="s">
        <v>643</v>
      </c>
      <c r="S138" s="112">
        <v>292805086</v>
      </c>
      <c r="T138" s="83">
        <f>+DISPONIBLES[[#This Row],[Avalúo Total 2025]]-DISPONIBLES[[#This Row],[Avalúo Total 2024]]</f>
        <v>96926677</v>
      </c>
      <c r="U138" s="83">
        <f>+DISPONIBLES[[#This Row],[Avalúo Afecto Dic-2025]]-DISPONIBLES[[#This Row],[Avalúo Afecto Dic-2024]]</f>
        <v>99926677</v>
      </c>
      <c r="V138" s="83">
        <f>+DISPONIBLES[[#This Row],[Avalúo Exento Dic-2025]]-DISPONIBLES[[#This Row],[Avalúo Exento Dic-2024]]</f>
        <v>0</v>
      </c>
      <c r="W138" s="31"/>
      <c r="X138" s="31"/>
      <c r="Y138" s="32"/>
      <c r="Z138" s="31" t="s">
        <v>1120</v>
      </c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106">
        <v>1.8</v>
      </c>
      <c r="AL138" s="103">
        <v>86364.306000000011</v>
      </c>
      <c r="AM138" s="102">
        <v>3.3951373756388916</v>
      </c>
      <c r="AN138" s="103">
        <v>186407.88</v>
      </c>
      <c r="AO138" s="103"/>
      <c r="AP138" s="32">
        <v>45603</v>
      </c>
      <c r="AQ138" s="31" t="s">
        <v>645</v>
      </c>
      <c r="AR138" s="103">
        <v>186407.88</v>
      </c>
      <c r="AS138" s="31" t="s">
        <v>645</v>
      </c>
      <c r="AT138" s="31" t="s">
        <v>646</v>
      </c>
    </row>
    <row r="139" spans="1:46" ht="14.4" x14ac:dyDescent="0.3">
      <c r="A139" s="30" t="s">
        <v>70</v>
      </c>
      <c r="B139" s="31" t="s">
        <v>71</v>
      </c>
      <c r="C139" s="31" t="s">
        <v>1121</v>
      </c>
      <c r="D139" s="31" t="s">
        <v>852</v>
      </c>
      <c r="E139" s="42">
        <v>80900</v>
      </c>
      <c r="F139" s="31" t="s">
        <v>538</v>
      </c>
      <c r="G139" s="107">
        <v>14607774</v>
      </c>
      <c r="H139" s="107">
        <v>14607774</v>
      </c>
      <c r="I139" s="107">
        <v>0</v>
      </c>
      <c r="J139" s="107">
        <v>14914537</v>
      </c>
      <c r="K139" s="107">
        <v>14914537</v>
      </c>
      <c r="L139" s="107">
        <v>0</v>
      </c>
      <c r="M139" s="31"/>
      <c r="N139" s="31" t="s">
        <v>1122</v>
      </c>
      <c r="O139" s="45" t="s">
        <v>1123</v>
      </c>
      <c r="P139" s="87" t="s">
        <v>854</v>
      </c>
      <c r="Q139" s="31" t="s">
        <v>1124</v>
      </c>
      <c r="R139" s="31" t="s">
        <v>782</v>
      </c>
      <c r="S139" s="114">
        <v>536964272</v>
      </c>
      <c r="T139" s="83">
        <f>+DISPONIBLES[[#This Row],[Avalúo Total 2025]]-DISPONIBLES[[#This Row],[Avalúo Total 2024]]</f>
        <v>306763</v>
      </c>
      <c r="U139" s="83">
        <f>+DISPONIBLES[[#This Row],[Avalúo Afecto Dic-2025]]-DISPONIBLES[[#This Row],[Avalúo Afecto Dic-2024]]</f>
        <v>0</v>
      </c>
      <c r="V139" s="83">
        <f>+DISPONIBLES[[#This Row],[Avalúo Exento Dic-2025]]-DISPONIBLES[[#This Row],[Avalúo Exento Dic-2024]]</f>
        <v>306763</v>
      </c>
      <c r="W139" s="31"/>
      <c r="X139" s="31"/>
      <c r="Y139" s="32"/>
      <c r="Z139" s="31" t="s">
        <v>1125</v>
      </c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106">
        <v>0.51</v>
      </c>
      <c r="AL139" s="103">
        <v>41259</v>
      </c>
      <c r="AM139" s="102">
        <v>0.51</v>
      </c>
      <c r="AN139" s="103">
        <v>41259</v>
      </c>
      <c r="AO139" s="103"/>
      <c r="AP139" s="32">
        <v>43243</v>
      </c>
      <c r="AQ139" s="31" t="s">
        <v>87</v>
      </c>
      <c r="AR139" s="103">
        <v>41259</v>
      </c>
      <c r="AS139" s="31" t="s">
        <v>88</v>
      </c>
      <c r="AT139" s="31"/>
    </row>
    <row r="140" spans="1:46" ht="14.4" x14ac:dyDescent="0.3">
      <c r="A140" s="30" t="s">
        <v>70</v>
      </c>
      <c r="B140" s="31" t="s">
        <v>169</v>
      </c>
      <c r="C140" s="31" t="s">
        <v>1126</v>
      </c>
      <c r="D140" s="31" t="s">
        <v>933</v>
      </c>
      <c r="E140" s="42">
        <v>80608</v>
      </c>
      <c r="F140" s="31" t="s">
        <v>538</v>
      </c>
      <c r="G140" s="107">
        <v>707296001</v>
      </c>
      <c r="H140" s="107">
        <v>46221791</v>
      </c>
      <c r="I140" s="107">
        <v>661074210</v>
      </c>
      <c r="J140" s="107">
        <v>735870345</v>
      </c>
      <c r="K140" s="107">
        <v>48089106</v>
      </c>
      <c r="L140" s="107">
        <v>687781239</v>
      </c>
      <c r="M140" s="31" t="s">
        <v>934</v>
      </c>
      <c r="N140" s="31" t="s">
        <v>1127</v>
      </c>
      <c r="O140" s="31" t="s">
        <v>934</v>
      </c>
      <c r="P140" s="31" t="s">
        <v>641</v>
      </c>
      <c r="Q140" s="31" t="s">
        <v>642</v>
      </c>
      <c r="R140" s="31" t="s">
        <v>680</v>
      </c>
      <c r="S140" s="110">
        <v>337834113</v>
      </c>
      <c r="T140" s="83">
        <f>+DISPONIBLES[[#This Row],[Avalúo Total 2025]]-DISPONIBLES[[#This Row],[Avalúo Total 2024]]</f>
        <v>28574344</v>
      </c>
      <c r="U140" s="83">
        <f>+DISPONIBLES[[#This Row],[Avalúo Afecto Dic-2025]]-DISPONIBLES[[#This Row],[Avalúo Afecto Dic-2024]]</f>
        <v>26707029</v>
      </c>
      <c r="V140" s="83">
        <f>+DISPONIBLES[[#This Row],[Avalúo Exento Dic-2025]]-DISPONIBLES[[#This Row],[Avalúo Exento Dic-2024]]</f>
        <v>1867315</v>
      </c>
      <c r="W140" s="31">
        <v>80608</v>
      </c>
      <c r="X140" s="31" t="s">
        <v>936</v>
      </c>
      <c r="Y140" s="32">
        <v>37487</v>
      </c>
      <c r="Z140" s="31" t="s">
        <v>1128</v>
      </c>
      <c r="AA140" s="31"/>
      <c r="AB140" s="31" t="s">
        <v>177</v>
      </c>
      <c r="AC140" s="31"/>
      <c r="AD140" s="31"/>
      <c r="AE140" s="31"/>
      <c r="AF140" s="31"/>
      <c r="AG140" s="31"/>
      <c r="AH140" s="31"/>
      <c r="AI140" s="31"/>
      <c r="AJ140" s="31"/>
      <c r="AK140" s="106">
        <v>0.2</v>
      </c>
      <c r="AL140" s="103">
        <v>16121.6</v>
      </c>
      <c r="AM140" s="102">
        <v>0.05</v>
      </c>
      <c r="AN140" s="103">
        <v>4009.5912764309228</v>
      </c>
      <c r="AO140" s="103"/>
      <c r="AP140" s="32">
        <v>45622</v>
      </c>
      <c r="AQ140" s="31" t="s">
        <v>645</v>
      </c>
      <c r="AR140" s="103">
        <v>8968.9034596605161</v>
      </c>
      <c r="AS140" s="31" t="s">
        <v>645</v>
      </c>
      <c r="AT140" s="31"/>
    </row>
    <row r="141" spans="1:46" ht="14.4" x14ac:dyDescent="0.3">
      <c r="A141" s="30" t="s">
        <v>70</v>
      </c>
      <c r="B141" s="31" t="s">
        <v>169</v>
      </c>
      <c r="C141" s="31" t="s">
        <v>1129</v>
      </c>
      <c r="D141" s="31" t="s">
        <v>933</v>
      </c>
      <c r="E141" s="42">
        <v>91401</v>
      </c>
      <c r="F141" s="31" t="s">
        <v>538</v>
      </c>
      <c r="G141" s="107">
        <v>707296001</v>
      </c>
      <c r="H141" s="107">
        <v>46221791</v>
      </c>
      <c r="I141" s="107">
        <v>661074210</v>
      </c>
      <c r="J141" s="107">
        <v>735870345</v>
      </c>
      <c r="K141" s="107">
        <v>48089106</v>
      </c>
      <c r="L141" s="107">
        <v>687781239</v>
      </c>
      <c r="M141" s="31" t="s">
        <v>934</v>
      </c>
      <c r="N141" s="31" t="s">
        <v>1130</v>
      </c>
      <c r="O141" s="31" t="s">
        <v>934</v>
      </c>
      <c r="P141" s="31" t="s">
        <v>641</v>
      </c>
      <c r="Q141" s="31" t="s">
        <v>642</v>
      </c>
      <c r="R141" s="31" t="s">
        <v>680</v>
      </c>
      <c r="S141" s="110">
        <v>448103672</v>
      </c>
      <c r="T141" s="83">
        <f>+DISPONIBLES[[#This Row],[Avalúo Total 2025]]-DISPONIBLES[[#This Row],[Avalúo Total 2024]]</f>
        <v>28574344</v>
      </c>
      <c r="U141" s="83">
        <f>+DISPONIBLES[[#This Row],[Avalúo Afecto Dic-2025]]-DISPONIBLES[[#This Row],[Avalúo Afecto Dic-2024]]</f>
        <v>26707029</v>
      </c>
      <c r="V141" s="83">
        <f>+DISPONIBLES[[#This Row],[Avalúo Exento Dic-2025]]-DISPONIBLES[[#This Row],[Avalúo Exento Dic-2024]]</f>
        <v>1867315</v>
      </c>
      <c r="W141" s="31">
        <v>91401</v>
      </c>
      <c r="X141" s="31" t="s">
        <v>936</v>
      </c>
      <c r="Y141" s="32">
        <v>37487</v>
      </c>
      <c r="Z141" s="31" t="s">
        <v>1131</v>
      </c>
      <c r="AA141" s="31"/>
      <c r="AB141" s="31" t="s">
        <v>177</v>
      </c>
      <c r="AC141" s="31"/>
      <c r="AD141" s="31"/>
      <c r="AE141" s="31"/>
      <c r="AF141" s="31"/>
      <c r="AG141" s="31"/>
      <c r="AH141" s="31"/>
      <c r="AI141" s="31"/>
      <c r="AJ141" s="31"/>
      <c r="AK141" s="106">
        <v>0.2</v>
      </c>
      <c r="AL141" s="103">
        <v>18280.2</v>
      </c>
      <c r="AM141" s="102">
        <v>5.8000000000000003E-2</v>
      </c>
      <c r="AN141" s="103">
        <v>5264.3164252048773</v>
      </c>
      <c r="AO141" s="103"/>
      <c r="AP141" s="32">
        <v>45622</v>
      </c>
      <c r="AQ141" s="31" t="s">
        <v>645</v>
      </c>
      <c r="AR141" s="103">
        <v>10169.793880463862</v>
      </c>
      <c r="AS141" s="31" t="s">
        <v>645</v>
      </c>
      <c r="AT141" s="31"/>
    </row>
    <row r="142" spans="1:46" ht="14.4" x14ac:dyDescent="0.3">
      <c r="A142" s="30" t="s">
        <v>70</v>
      </c>
      <c r="B142" s="31" t="s">
        <v>169</v>
      </c>
      <c r="C142" s="31" t="s">
        <v>1132</v>
      </c>
      <c r="D142" s="31" t="s">
        <v>902</v>
      </c>
      <c r="E142" s="42">
        <v>102204.72</v>
      </c>
      <c r="F142" s="31" t="s">
        <v>538</v>
      </c>
      <c r="G142" s="107">
        <v>59930463</v>
      </c>
      <c r="H142" s="107">
        <v>46221791</v>
      </c>
      <c r="I142" s="107">
        <v>13708672</v>
      </c>
      <c r="J142" s="107">
        <v>61189003</v>
      </c>
      <c r="K142" s="107">
        <v>47192449</v>
      </c>
      <c r="L142" s="107">
        <v>13996554</v>
      </c>
      <c r="M142" s="31" t="s">
        <v>903</v>
      </c>
      <c r="N142" s="31" t="s">
        <v>1133</v>
      </c>
      <c r="O142" s="31" t="s">
        <v>903</v>
      </c>
      <c r="P142" s="31" t="s">
        <v>641</v>
      </c>
      <c r="Q142" s="31" t="s">
        <v>642</v>
      </c>
      <c r="R142" s="31" t="s">
        <v>782</v>
      </c>
      <c r="S142" s="110">
        <v>418876169</v>
      </c>
      <c r="T142" s="83">
        <f>+DISPONIBLES[[#This Row],[Avalúo Total 2025]]-DISPONIBLES[[#This Row],[Avalúo Total 2024]]</f>
        <v>1258540</v>
      </c>
      <c r="U142" s="83">
        <f>+DISPONIBLES[[#This Row],[Avalúo Afecto Dic-2025]]-DISPONIBLES[[#This Row],[Avalúo Afecto Dic-2024]]</f>
        <v>287882</v>
      </c>
      <c r="V142" s="83">
        <f>+DISPONIBLES[[#This Row],[Avalúo Exento Dic-2025]]-DISPONIBLES[[#This Row],[Avalúo Exento Dic-2024]]</f>
        <v>970658</v>
      </c>
      <c r="W142" s="31"/>
      <c r="X142" s="31"/>
      <c r="Y142" s="32"/>
      <c r="Z142" s="31" t="s">
        <v>1134</v>
      </c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106">
        <v>0.3</v>
      </c>
      <c r="AL142" s="103">
        <f>74850/4</f>
        <v>18712.5</v>
      </c>
      <c r="AM142" s="102">
        <v>0.17016949659318639</v>
      </c>
      <c r="AN142" s="103">
        <f>42457.2894/4</f>
        <v>10614.32235</v>
      </c>
      <c r="AO142" s="103"/>
      <c r="AP142" s="32">
        <v>45622</v>
      </c>
      <c r="AQ142" s="31" t="s">
        <v>645</v>
      </c>
      <c r="AR142" s="103">
        <f>50014.6518450007/4</f>
        <v>12503.662961250175</v>
      </c>
      <c r="AS142" s="31" t="s">
        <v>645</v>
      </c>
      <c r="AT142" s="31" t="s">
        <v>109</v>
      </c>
    </row>
    <row r="143" spans="1:46" ht="14.4" x14ac:dyDescent="0.3">
      <c r="A143" s="30" t="s">
        <v>70</v>
      </c>
      <c r="B143" s="31" t="s">
        <v>169</v>
      </c>
      <c r="C143" s="31" t="s">
        <v>1135</v>
      </c>
      <c r="D143" s="31" t="s">
        <v>933</v>
      </c>
      <c r="E143" s="42">
        <v>120377</v>
      </c>
      <c r="F143" s="31" t="s">
        <v>538</v>
      </c>
      <c r="G143" s="107">
        <v>707296001</v>
      </c>
      <c r="H143" s="107">
        <v>46221791</v>
      </c>
      <c r="I143" s="107">
        <v>661074210</v>
      </c>
      <c r="J143" s="107">
        <v>735870345</v>
      </c>
      <c r="K143" s="107">
        <v>48089106</v>
      </c>
      <c r="L143" s="107">
        <v>687781239</v>
      </c>
      <c r="M143" s="31" t="s">
        <v>934</v>
      </c>
      <c r="N143" s="31" t="s">
        <v>1136</v>
      </c>
      <c r="O143" s="31" t="s">
        <v>934</v>
      </c>
      <c r="P143" s="31" t="s">
        <v>641</v>
      </c>
      <c r="Q143" s="31" t="s">
        <v>642</v>
      </c>
      <c r="R143" s="31" t="s">
        <v>680</v>
      </c>
      <c r="S143" s="110">
        <v>590161764</v>
      </c>
      <c r="T143" s="83">
        <f>+DISPONIBLES[[#This Row],[Avalúo Total 2025]]-DISPONIBLES[[#This Row],[Avalúo Total 2024]]</f>
        <v>28574344</v>
      </c>
      <c r="U143" s="83">
        <f>+DISPONIBLES[[#This Row],[Avalúo Afecto Dic-2025]]-DISPONIBLES[[#This Row],[Avalúo Afecto Dic-2024]]</f>
        <v>26707029</v>
      </c>
      <c r="V143" s="83">
        <f>+DISPONIBLES[[#This Row],[Avalúo Exento Dic-2025]]-DISPONIBLES[[#This Row],[Avalúo Exento Dic-2024]]</f>
        <v>1867315</v>
      </c>
      <c r="W143" s="31">
        <v>120377</v>
      </c>
      <c r="X143" s="31" t="s">
        <v>936</v>
      </c>
      <c r="Y143" s="32">
        <v>37487</v>
      </c>
      <c r="Z143" s="31" t="s">
        <v>1137</v>
      </c>
      <c r="AA143" s="31"/>
      <c r="AB143" s="31" t="s">
        <v>177</v>
      </c>
      <c r="AC143" s="31"/>
      <c r="AD143" s="31"/>
      <c r="AE143" s="31"/>
      <c r="AF143" s="31"/>
      <c r="AG143" s="31"/>
      <c r="AH143" s="31"/>
      <c r="AI143" s="31"/>
      <c r="AJ143" s="31"/>
      <c r="AK143" s="106">
        <v>0.2</v>
      </c>
      <c r="AL143" s="103">
        <v>24075.4</v>
      </c>
      <c r="AM143" s="102">
        <v>4.4999999999999998E-2</v>
      </c>
      <c r="AN143" s="103">
        <v>5357.4829156370324</v>
      </c>
      <c r="AO143" s="103"/>
      <c r="AP143" s="32">
        <v>45622</v>
      </c>
      <c r="AQ143" s="31" t="s">
        <v>645</v>
      </c>
      <c r="AR143" s="103">
        <v>13393.828053835277</v>
      </c>
      <c r="AS143" s="31" t="s">
        <v>645</v>
      </c>
      <c r="AT143" s="31"/>
    </row>
    <row r="144" spans="1:46" ht="14.4" x14ac:dyDescent="0.3">
      <c r="A144" s="30" t="s">
        <v>906</v>
      </c>
      <c r="B144" s="31" t="s">
        <v>383</v>
      </c>
      <c r="C144" s="31" t="s">
        <v>1138</v>
      </c>
      <c r="D144" s="31" t="s">
        <v>1139</v>
      </c>
      <c r="E144" s="42">
        <v>1327010.31</v>
      </c>
      <c r="F144" s="31" t="s">
        <v>538</v>
      </c>
      <c r="G144" s="107">
        <v>285499730</v>
      </c>
      <c r="H144" s="107">
        <v>46221791</v>
      </c>
      <c r="I144" s="107">
        <v>239277939</v>
      </c>
      <c r="J144" s="107">
        <v>297033752</v>
      </c>
      <c r="K144" s="107">
        <v>48089106</v>
      </c>
      <c r="L144" s="107">
        <v>248944646</v>
      </c>
      <c r="M144" s="31" t="s">
        <v>1140</v>
      </c>
      <c r="N144" s="31" t="s">
        <v>1140</v>
      </c>
      <c r="O144" s="31" t="s">
        <v>1140</v>
      </c>
      <c r="P144" s="31" t="s">
        <v>641</v>
      </c>
      <c r="Q144" s="31" t="s">
        <v>642</v>
      </c>
      <c r="R144" s="31" t="s">
        <v>680</v>
      </c>
      <c r="S144" s="110">
        <v>1342614125</v>
      </c>
      <c r="T144" s="101">
        <f>+DISPONIBLES[[#This Row],[Avalúo Total 2025]]-DISPONIBLES[[#This Row],[Avalúo Total 2024]]</f>
        <v>11534022</v>
      </c>
      <c r="U144" s="101">
        <f>+DISPONIBLES[[#This Row],[Avalúo Afecto Dic-2025]]-DISPONIBLES[[#This Row],[Avalúo Afecto Dic-2024]]</f>
        <v>9666707</v>
      </c>
      <c r="V144" s="101">
        <f>+DISPONIBLES[[#This Row],[Avalúo Exento Dic-2025]]-DISPONIBLES[[#This Row],[Avalúo Exento Dic-2024]]</f>
        <v>1867315</v>
      </c>
      <c r="W144" s="31"/>
      <c r="X144" s="31"/>
      <c r="Y144" s="32"/>
      <c r="Z144" s="31" t="s">
        <v>1141</v>
      </c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106">
        <v>0.46</v>
      </c>
      <c r="AL144" s="103">
        <v>411525</v>
      </c>
      <c r="AM144" s="102">
        <f>DISPONIBLES[[#This Row],[UF (Tasación Total)]]/DISPONIBLES[[#This Row],[Superficie (m2)]]</f>
        <v>0.31011439541867614</v>
      </c>
      <c r="AN144" s="103">
        <v>411525</v>
      </c>
      <c r="AO144" s="103"/>
      <c r="AP144" s="32">
        <v>44221</v>
      </c>
      <c r="AQ144" s="31" t="s">
        <v>805</v>
      </c>
      <c r="AR144" s="103">
        <v>411525</v>
      </c>
      <c r="AS144" s="31" t="s">
        <v>805</v>
      </c>
      <c r="AT144" s="31" t="s">
        <v>155</v>
      </c>
    </row>
    <row r="145" spans="1:46" ht="14.4" x14ac:dyDescent="0.3">
      <c r="A145" s="34" t="s">
        <v>869</v>
      </c>
      <c r="B145" s="35" t="s">
        <v>169</v>
      </c>
      <c r="C145" s="35" t="s">
        <v>1142</v>
      </c>
      <c r="D145" s="35" t="s">
        <v>1143</v>
      </c>
      <c r="E145" s="42">
        <v>306148.07</v>
      </c>
      <c r="F145" s="35" t="s">
        <v>538</v>
      </c>
      <c r="G145" s="109">
        <v>106068396</v>
      </c>
      <c r="H145" s="109">
        <v>46221791</v>
      </c>
      <c r="I145" s="109">
        <v>59846605</v>
      </c>
      <c r="J145" s="109">
        <v>108295832</v>
      </c>
      <c r="K145" s="109">
        <v>47192449</v>
      </c>
      <c r="L145" s="109">
        <v>61103383</v>
      </c>
      <c r="M145" s="35" t="s">
        <v>1144</v>
      </c>
      <c r="N145" s="35" t="s">
        <v>1144</v>
      </c>
      <c r="O145" s="35" t="s">
        <v>1144</v>
      </c>
      <c r="P145" s="35" t="s">
        <v>641</v>
      </c>
      <c r="Q145" s="35" t="s">
        <v>642</v>
      </c>
      <c r="R145" s="35" t="s">
        <v>782</v>
      </c>
      <c r="S145" s="115">
        <v>1023533126</v>
      </c>
      <c r="T145" s="85">
        <f>+DISPONIBLES[[#This Row],[Avalúo Total 2025]]-DISPONIBLES[[#This Row],[Avalúo Total 2024]]</f>
        <v>2227436</v>
      </c>
      <c r="U145" s="85">
        <f>+DISPONIBLES[[#This Row],[Avalúo Afecto Dic-2025]]-DISPONIBLES[[#This Row],[Avalúo Afecto Dic-2024]]</f>
        <v>1256778</v>
      </c>
      <c r="V145" s="85">
        <f>+DISPONIBLES[[#This Row],[Avalúo Exento Dic-2025]]-DISPONIBLES[[#This Row],[Avalúo Exento Dic-2024]]</f>
        <v>970658</v>
      </c>
      <c r="W145" s="35"/>
      <c r="X145" s="35"/>
      <c r="Y145" s="36"/>
      <c r="Z145" s="35" t="s">
        <v>1145</v>
      </c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106">
        <v>0.7</v>
      </c>
      <c r="AL145" s="103">
        <v>214303.649</v>
      </c>
      <c r="AM145" s="102">
        <v>0.82</v>
      </c>
      <c r="AN145" s="103">
        <v>251507.34</v>
      </c>
      <c r="AO145" s="103"/>
      <c r="AP145" s="32">
        <v>45532</v>
      </c>
      <c r="AQ145" s="31" t="s">
        <v>108</v>
      </c>
      <c r="AR145" s="103">
        <v>251507.34</v>
      </c>
      <c r="AS145" s="31" t="s">
        <v>108</v>
      </c>
      <c r="AT145" s="31" t="s">
        <v>155</v>
      </c>
    </row>
    <row r="146" spans="1:46" ht="15" customHeight="1" x14ac:dyDescent="0.3">
      <c r="A146" s="30" t="s">
        <v>70</v>
      </c>
      <c r="B146" s="31" t="s">
        <v>80</v>
      </c>
      <c r="C146" s="31" t="s">
        <v>1146</v>
      </c>
      <c r="D146" s="31"/>
      <c r="E146" s="42">
        <v>12425.09</v>
      </c>
      <c r="F146" s="42" t="s">
        <v>538</v>
      </c>
      <c r="G146" s="107"/>
      <c r="H146" s="107"/>
      <c r="I146" s="107"/>
      <c r="J146" s="107"/>
      <c r="K146" s="107"/>
      <c r="L146" s="107"/>
      <c r="M146" s="31" t="s">
        <v>514</v>
      </c>
      <c r="N146" s="31" t="s">
        <v>1147</v>
      </c>
      <c r="O146" s="31"/>
      <c r="P146" s="31"/>
      <c r="Q146" s="31"/>
      <c r="R146" s="31"/>
      <c r="S146" s="84"/>
      <c r="T146" s="83">
        <f>+DISPONIBLES[[#This Row],[Avalúo Total 2025]]-DISPONIBLES[[#This Row],[Avalúo Total 2024]]</f>
        <v>0</v>
      </c>
      <c r="U146" s="83">
        <f>+DISPONIBLES[[#This Row],[Avalúo Afecto Dic-2025]]-DISPONIBLES[[#This Row],[Avalúo Afecto Dic-2024]]</f>
        <v>0</v>
      </c>
      <c r="V146" s="83">
        <f>+DISPONIBLES[[#This Row],[Avalúo Exento Dic-2025]]-DISPONIBLES[[#This Row],[Avalúo Exento Dic-2024]]</f>
        <v>0</v>
      </c>
      <c r="W146" s="41">
        <v>12425.09</v>
      </c>
      <c r="X146" s="31" t="s">
        <v>1148</v>
      </c>
      <c r="Y146" s="32">
        <v>43578</v>
      </c>
      <c r="Z146" s="31" t="s">
        <v>1149</v>
      </c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106">
        <v>1.59995880111237</v>
      </c>
      <c r="AL146" s="103">
        <v>19879.632100113296</v>
      </c>
      <c r="AM146" s="102">
        <v>1.59995880111237</v>
      </c>
      <c r="AN146" s="103">
        <v>19879.632100113296</v>
      </c>
      <c r="AO146" s="103">
        <v>13915.753769044886</v>
      </c>
      <c r="AP146" s="32">
        <v>44235</v>
      </c>
      <c r="AQ146" s="31" t="s">
        <v>108</v>
      </c>
      <c r="AR146" s="103">
        <v>19879.632100113296</v>
      </c>
      <c r="AS146" s="31" t="s">
        <v>108</v>
      </c>
      <c r="AT146" s="31" t="s">
        <v>109</v>
      </c>
    </row>
    <row r="147" spans="1:46" ht="15" customHeight="1" x14ac:dyDescent="0.3">
      <c r="A147" s="34" t="s">
        <v>70</v>
      </c>
      <c r="B147" s="35" t="s">
        <v>80</v>
      </c>
      <c r="C147" s="35" t="s">
        <v>1150</v>
      </c>
      <c r="D147" s="31"/>
      <c r="E147" s="42">
        <v>12507.56</v>
      </c>
      <c r="F147" s="46" t="s">
        <v>538</v>
      </c>
      <c r="G147" s="109"/>
      <c r="H147" s="109"/>
      <c r="I147" s="109"/>
      <c r="J147" s="109"/>
      <c r="K147" s="109"/>
      <c r="L147" s="109"/>
      <c r="M147" s="35" t="s">
        <v>530</v>
      </c>
      <c r="N147" s="35" t="s">
        <v>535</v>
      </c>
      <c r="O147" s="35"/>
      <c r="P147" s="35"/>
      <c r="Q147" s="35"/>
      <c r="R147" s="35"/>
      <c r="S147" s="128"/>
      <c r="T147" s="85">
        <f>+DISPONIBLES[[#This Row],[Avalúo Total 2025]]-DISPONIBLES[[#This Row],[Avalúo Total 2024]]</f>
        <v>0</v>
      </c>
      <c r="U147" s="85">
        <f>+DISPONIBLES[[#This Row],[Avalúo Afecto Dic-2025]]-DISPONIBLES[[#This Row],[Avalúo Afecto Dic-2024]]</f>
        <v>0</v>
      </c>
      <c r="V147" s="85">
        <f>+DISPONIBLES[[#This Row],[Avalúo Exento Dic-2025]]-DISPONIBLES[[#This Row],[Avalúo Exento Dic-2024]]</f>
        <v>0</v>
      </c>
      <c r="W147" s="100">
        <v>12507.56</v>
      </c>
      <c r="X147" s="35" t="s">
        <v>1148</v>
      </c>
      <c r="Y147" s="36">
        <v>43578</v>
      </c>
      <c r="Z147" s="35" t="s">
        <v>1151</v>
      </c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121">
        <v>1.59995880111237</v>
      </c>
      <c r="AL147" s="122">
        <v>20011.580702441035</v>
      </c>
      <c r="AM147" s="129">
        <v>1.59995880111237</v>
      </c>
      <c r="AN147" s="122">
        <v>20011.580702441035</v>
      </c>
      <c r="AO147" s="122">
        <v>14008.1</v>
      </c>
      <c r="AP147" s="36">
        <v>44235</v>
      </c>
      <c r="AQ147" s="35" t="s">
        <v>108</v>
      </c>
      <c r="AR147" s="122">
        <v>20011.580702441035</v>
      </c>
      <c r="AS147" s="35" t="s">
        <v>108</v>
      </c>
      <c r="AT147" s="35" t="s">
        <v>109</v>
      </c>
    </row>
    <row r="148" spans="1:46" ht="15" customHeight="1" x14ac:dyDescent="0.3">
      <c r="A148" s="34" t="s">
        <v>70</v>
      </c>
      <c r="B148" s="35" t="s">
        <v>80</v>
      </c>
      <c r="C148" s="35" t="s">
        <v>1152</v>
      </c>
      <c r="D148" s="31"/>
      <c r="E148" s="42">
        <v>12588.68</v>
      </c>
      <c r="F148" s="46" t="s">
        <v>538</v>
      </c>
      <c r="G148" s="109"/>
      <c r="H148" s="109"/>
      <c r="I148" s="109"/>
      <c r="J148" s="109"/>
      <c r="K148" s="109"/>
      <c r="L148" s="109"/>
      <c r="M148" s="35" t="s">
        <v>514</v>
      </c>
      <c r="N148" s="35" t="s">
        <v>529</v>
      </c>
      <c r="O148" s="35"/>
      <c r="P148" s="35"/>
      <c r="Q148" s="35"/>
      <c r="R148" s="35"/>
      <c r="S148" s="128"/>
      <c r="T148" s="85">
        <f>+DISPONIBLES[[#This Row],[Avalúo Total 2025]]-DISPONIBLES[[#This Row],[Avalúo Total 2024]]</f>
        <v>0</v>
      </c>
      <c r="U148" s="85">
        <f>+DISPONIBLES[[#This Row],[Avalúo Afecto Dic-2025]]-DISPONIBLES[[#This Row],[Avalúo Afecto Dic-2024]]</f>
        <v>0</v>
      </c>
      <c r="V148" s="85">
        <f>+DISPONIBLES[[#This Row],[Avalúo Exento Dic-2025]]-DISPONIBLES[[#This Row],[Avalúo Exento Dic-2024]]</f>
        <v>0</v>
      </c>
      <c r="W148" s="100">
        <v>12588.68</v>
      </c>
      <c r="X148" s="35" t="s">
        <v>1148</v>
      </c>
      <c r="Y148" s="36">
        <v>43578</v>
      </c>
      <c r="Z148" s="35" t="s">
        <v>1153</v>
      </c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121">
        <v>1.59995880111237</v>
      </c>
      <c r="AL148" s="122">
        <v>20141.369360387271</v>
      </c>
      <c r="AM148" s="129">
        <v>1.59995880111237</v>
      </c>
      <c r="AN148" s="122">
        <v>20141.369360387271</v>
      </c>
      <c r="AO148" s="122">
        <v>14098.97</v>
      </c>
      <c r="AP148" s="36">
        <v>44235</v>
      </c>
      <c r="AQ148" s="35" t="s">
        <v>108</v>
      </c>
      <c r="AR148" s="122">
        <v>20141.369360387271</v>
      </c>
      <c r="AS148" s="35" t="s">
        <v>108</v>
      </c>
      <c r="AT148" s="35" t="s">
        <v>109</v>
      </c>
    </row>
    <row r="149" spans="1:46" ht="15" customHeight="1" x14ac:dyDescent="0.3">
      <c r="A149" s="34" t="s">
        <v>70</v>
      </c>
      <c r="B149" s="35" t="s">
        <v>80</v>
      </c>
      <c r="C149" s="35" t="s">
        <v>1154</v>
      </c>
      <c r="D149" s="31"/>
      <c r="E149" s="42">
        <v>23792.79</v>
      </c>
      <c r="F149" s="46" t="s">
        <v>538</v>
      </c>
      <c r="G149" s="109">
        <v>444284</v>
      </c>
      <c r="H149" s="109">
        <v>444284</v>
      </c>
      <c r="I149" s="109">
        <v>0</v>
      </c>
      <c r="J149" s="109">
        <v>453614</v>
      </c>
      <c r="K149" s="109">
        <v>453614</v>
      </c>
      <c r="L149" s="109">
        <v>0</v>
      </c>
      <c r="M149" s="35" t="s">
        <v>514</v>
      </c>
      <c r="N149" s="35" t="s">
        <v>521</v>
      </c>
      <c r="O149" s="35" t="s">
        <v>514</v>
      </c>
      <c r="P149" s="35"/>
      <c r="Q149" s="35"/>
      <c r="R149" s="35"/>
      <c r="S149" s="128"/>
      <c r="T149" s="85">
        <f>+DISPONIBLES[[#This Row],[Avalúo Total 2025]]-DISPONIBLES[[#This Row],[Avalúo Total 2024]]</f>
        <v>9330</v>
      </c>
      <c r="U149" s="85">
        <f>+DISPONIBLES[[#This Row],[Avalúo Afecto Dic-2025]]-DISPONIBLES[[#This Row],[Avalúo Afecto Dic-2024]]</f>
        <v>0</v>
      </c>
      <c r="V149" s="85">
        <f>+DISPONIBLES[[#This Row],[Avalúo Exento Dic-2025]]-DISPONIBLES[[#This Row],[Avalúo Exento Dic-2024]]</f>
        <v>9330</v>
      </c>
      <c r="W149" s="100">
        <v>23792.79</v>
      </c>
      <c r="X149" s="35" t="s">
        <v>1148</v>
      </c>
      <c r="Y149" s="36">
        <v>43578</v>
      </c>
      <c r="Z149" s="35" t="s">
        <v>1155</v>
      </c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121">
        <v>1.0054456068861315</v>
      </c>
      <c r="AL149" s="122">
        <v>23922.366235520349</v>
      </c>
      <c r="AM149" s="129">
        <v>1.4999828337968208</v>
      </c>
      <c r="AN149" s="122">
        <v>35688.791567961001</v>
      </c>
      <c r="AO149" s="122">
        <v>24982.14</v>
      </c>
      <c r="AP149" s="36">
        <v>44235</v>
      </c>
      <c r="AQ149" s="35" t="s">
        <v>108</v>
      </c>
      <c r="AR149" s="122">
        <v>35688.791567961001</v>
      </c>
      <c r="AS149" s="35" t="s">
        <v>108</v>
      </c>
      <c r="AT149" s="35" t="s">
        <v>109</v>
      </c>
    </row>
    <row r="150" spans="1:46" ht="15" customHeight="1" x14ac:dyDescent="0.3">
      <c r="A150" s="34" t="s">
        <v>70</v>
      </c>
      <c r="B150" s="35" t="s">
        <v>80</v>
      </c>
      <c r="C150" s="35" t="s">
        <v>1156</v>
      </c>
      <c r="D150" s="35"/>
      <c r="E150" s="42">
        <v>27916.63</v>
      </c>
      <c r="F150" s="46" t="s">
        <v>538</v>
      </c>
      <c r="G150" s="109"/>
      <c r="H150" s="109"/>
      <c r="I150" s="109"/>
      <c r="J150" s="109"/>
      <c r="K150" s="109"/>
      <c r="L150" s="109"/>
      <c r="M150" s="35" t="s">
        <v>514</v>
      </c>
      <c r="N150" s="35" t="s">
        <v>515</v>
      </c>
      <c r="O150" s="35"/>
      <c r="P150" s="35"/>
      <c r="Q150" s="35"/>
      <c r="R150" s="35"/>
      <c r="S150" s="128"/>
      <c r="T150" s="85">
        <f>+DISPONIBLES[[#This Row],[Avalúo Total 2025]]-DISPONIBLES[[#This Row],[Avalúo Total 2024]]</f>
        <v>0</v>
      </c>
      <c r="U150" s="85">
        <f>+DISPONIBLES[[#This Row],[Avalúo Afecto Dic-2025]]-DISPONIBLES[[#This Row],[Avalúo Afecto Dic-2024]]</f>
        <v>0</v>
      </c>
      <c r="V150" s="85">
        <f>+DISPONIBLES[[#This Row],[Avalúo Exento Dic-2025]]-DISPONIBLES[[#This Row],[Avalúo Exento Dic-2024]]</f>
        <v>0</v>
      </c>
      <c r="W150" s="100">
        <v>27916.63</v>
      </c>
      <c r="X150" s="35" t="s">
        <v>1148</v>
      </c>
      <c r="Y150" s="36">
        <v>43578</v>
      </c>
      <c r="Z150" s="35" t="s">
        <v>1157</v>
      </c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121">
        <v>1.59995880111237</v>
      </c>
      <c r="AL150" s="122">
        <v>44665.457865897624</v>
      </c>
      <c r="AM150" s="129">
        <v>1.59995880111237</v>
      </c>
      <c r="AN150" s="122">
        <v>44665.457865897624</v>
      </c>
      <c r="AO150" s="122">
        <v>31266.5</v>
      </c>
      <c r="AP150" s="36">
        <v>44235</v>
      </c>
      <c r="AQ150" s="35" t="s">
        <v>108</v>
      </c>
      <c r="AR150" s="122">
        <v>44665.457865897624</v>
      </c>
      <c r="AS150" s="35" t="s">
        <v>108</v>
      </c>
      <c r="AT150" s="35" t="s">
        <v>109</v>
      </c>
    </row>
    <row r="151" spans="1:46" ht="15" customHeight="1" x14ac:dyDescent="0.3">
      <c r="A151" s="34" t="s">
        <v>70</v>
      </c>
      <c r="B151" s="35" t="s">
        <v>80</v>
      </c>
      <c r="C151" s="35" t="s">
        <v>1158</v>
      </c>
      <c r="D151" s="35"/>
      <c r="E151" s="46">
        <v>61175.24</v>
      </c>
      <c r="F151" s="46" t="s">
        <v>538</v>
      </c>
      <c r="G151" s="109"/>
      <c r="H151" s="109"/>
      <c r="I151" s="109"/>
      <c r="J151" s="109"/>
      <c r="K151" s="109"/>
      <c r="L151" s="109"/>
      <c r="M151" s="35" t="s">
        <v>514</v>
      </c>
      <c r="N151" s="35" t="s">
        <v>524</v>
      </c>
      <c r="O151" s="35"/>
      <c r="P151" s="35"/>
      <c r="Q151" s="35"/>
      <c r="R151" s="35"/>
      <c r="S151" s="128"/>
      <c r="T151" s="85">
        <f>+DISPONIBLES[[#This Row],[Avalúo Total 2025]]-DISPONIBLES[[#This Row],[Avalúo Total 2024]]</f>
        <v>0</v>
      </c>
      <c r="U151" s="85">
        <f>+DISPONIBLES[[#This Row],[Avalúo Afecto Dic-2025]]-DISPONIBLES[[#This Row],[Avalúo Afecto Dic-2024]]</f>
        <v>0</v>
      </c>
      <c r="V151" s="85">
        <f>+DISPONIBLES[[#This Row],[Avalúo Exento Dic-2025]]-DISPONIBLES[[#This Row],[Avalúo Exento Dic-2024]]</f>
        <v>0</v>
      </c>
      <c r="W151" s="100">
        <v>61175.24</v>
      </c>
      <c r="X151" s="35" t="s">
        <v>1148</v>
      </c>
      <c r="Y151" s="36">
        <v>43578</v>
      </c>
      <c r="Z151" s="35" t="s">
        <v>1159</v>
      </c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121">
        <v>1.4999828337968208</v>
      </c>
      <c r="AL151" s="122">
        <v>91761.809853400628</v>
      </c>
      <c r="AM151" s="129">
        <v>1.4999828337968208</v>
      </c>
      <c r="AN151" s="122">
        <v>91761.809853400628</v>
      </c>
      <c r="AO151" s="122">
        <v>59645.17</v>
      </c>
      <c r="AP151" s="36">
        <v>44235</v>
      </c>
      <c r="AQ151" s="35" t="s">
        <v>108</v>
      </c>
      <c r="AR151" s="122">
        <v>91761.809853400628</v>
      </c>
      <c r="AS151" s="35" t="s">
        <v>108</v>
      </c>
      <c r="AT151" s="35" t="s">
        <v>109</v>
      </c>
    </row>
    <row r="154" spans="1:46" ht="15" customHeight="1" x14ac:dyDescent="0.3">
      <c r="AN154" s="135"/>
    </row>
    <row r="155" spans="1:46" ht="15" customHeight="1" x14ac:dyDescent="0.3">
      <c r="AM155" s="135"/>
      <c r="AN155" s="135"/>
    </row>
    <row r="156" spans="1:46" ht="15" customHeight="1" x14ac:dyDescent="0.3">
      <c r="AN156" s="136"/>
    </row>
  </sheetData>
  <phoneticPr fontId="12" type="noConversion"/>
  <conditionalFormatting sqref="F1">
    <cfRule type="cellIs" dxfId="2" priority="1" operator="equal">
      <formula>"Disponible"</formula>
    </cfRule>
  </conditionalFormatting>
  <dataValidations disablePrompts="1" count="1">
    <dataValidation type="list" allowBlank="1" showInputMessage="1" showErrorMessage="1" sqref="AS8 AS29 AS31:AS32 AS75" xr:uid="{D1C01862-AC14-44C4-BB40-1934EEE33579}">
      <formula1>"Penta Vida, Libre, Banco BICE, Banco BCI, Banco Security, Banco de Chile, Banco Itaú, BICE Vida, Banco Estado"</formula1>
    </dataValidation>
  </dataValidations>
  <pageMargins left="0.7" right="0.7" top="0.75" bottom="0.75" header="0.3" footer="0.3"/>
  <pageSetup orientation="portrait" horizontalDpi="4294967293" verticalDpi="0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5B17-B145-4400-83E6-D1F3D4D3A7F3}">
  <dimension ref="A1:AS82"/>
  <sheetViews>
    <sheetView topLeftCell="A73" zoomScaleNormal="100" workbookViewId="0">
      <selection activeCell="E83" sqref="E83"/>
    </sheetView>
  </sheetViews>
  <sheetFormatPr baseColWidth="10" defaultColWidth="11.44140625" defaultRowHeight="14.4" x14ac:dyDescent="0.3"/>
  <cols>
    <col min="1" max="1" width="30.109375" bestFit="1" customWidth="1"/>
    <col min="3" max="3" width="38.33203125" customWidth="1"/>
    <col min="4" max="4" width="15.6640625" customWidth="1"/>
    <col min="6" max="6" width="21.88671875" customWidth="1"/>
    <col min="7" max="7" width="22.109375" customWidth="1"/>
    <col min="8" max="8" width="21.88671875" customWidth="1"/>
    <col min="9" max="9" width="17.33203125" customWidth="1"/>
    <col min="10" max="10" width="22.109375" customWidth="1"/>
    <col min="11" max="11" width="21.88671875" customWidth="1"/>
    <col min="13" max="14" width="14.109375" customWidth="1"/>
    <col min="15" max="15" width="24.6640625" customWidth="1"/>
    <col min="16" max="16" width="15" customWidth="1"/>
    <col min="17" max="17" width="11.6640625" customWidth="1"/>
    <col min="18" max="18" width="22.33203125" customWidth="1"/>
    <col min="19" max="19" width="30.109375" customWidth="1"/>
    <col min="20" max="20" width="31.33203125" customWidth="1"/>
    <col min="21" max="21" width="31.5546875" customWidth="1"/>
    <col min="22" max="22" width="19.6640625" customWidth="1"/>
    <col min="23" max="23" width="12" customWidth="1"/>
    <col min="24" max="24" width="17.33203125" customWidth="1"/>
    <col min="26" max="26" width="20.88671875" customWidth="1"/>
    <col min="27" max="27" width="21" customWidth="1"/>
    <col min="28" max="28" width="18.109375" customWidth="1"/>
    <col min="30" max="30" width="19.5546875" customWidth="1"/>
    <col min="31" max="31" width="25.33203125" customWidth="1"/>
    <col min="32" max="32" width="24.6640625" customWidth="1"/>
    <col min="33" max="33" width="17.109375" customWidth="1"/>
    <col min="34" max="34" width="17.5546875" customWidth="1"/>
    <col min="36" max="36" width="18.6640625" customWidth="1"/>
    <col min="37" max="37" width="19.88671875" customWidth="1"/>
    <col min="38" max="38" width="18.6640625" customWidth="1"/>
    <col min="39" max="39" width="18.5546875" customWidth="1"/>
    <col min="40" max="40" width="21" customWidth="1"/>
    <col min="41" max="41" width="15.5546875" style="18" customWidth="1"/>
    <col min="43" max="43" width="15" customWidth="1"/>
    <col min="44" max="44" width="13.33203125" customWidth="1"/>
    <col min="45" max="45" width="14.6640625" customWidth="1"/>
  </cols>
  <sheetData>
    <row r="1" spans="1:45" x14ac:dyDescent="0.3">
      <c r="A1" s="19" t="s">
        <v>3</v>
      </c>
      <c r="B1" s="20" t="s">
        <v>13</v>
      </c>
      <c r="C1" s="20" t="s">
        <v>19</v>
      </c>
      <c r="D1" s="20" t="s">
        <v>27</v>
      </c>
      <c r="E1" s="20" t="s">
        <v>30</v>
      </c>
      <c r="F1" s="21" t="s">
        <v>33</v>
      </c>
      <c r="G1" s="21" t="s">
        <v>36</v>
      </c>
      <c r="H1" s="21" t="s">
        <v>39</v>
      </c>
      <c r="I1" s="38" t="s">
        <v>41</v>
      </c>
      <c r="J1" s="38" t="s">
        <v>43</v>
      </c>
      <c r="K1" s="38" t="s">
        <v>45</v>
      </c>
      <c r="L1" s="20" t="s">
        <v>47</v>
      </c>
      <c r="M1" s="20" t="s">
        <v>49</v>
      </c>
      <c r="N1" s="20" t="s">
        <v>51</v>
      </c>
      <c r="O1" s="20" t="s">
        <v>52</v>
      </c>
      <c r="P1" s="20" t="s">
        <v>53</v>
      </c>
      <c r="Q1" s="20" t="s">
        <v>54</v>
      </c>
      <c r="R1" s="39" t="s">
        <v>55</v>
      </c>
      <c r="S1" s="22" t="s">
        <v>11</v>
      </c>
      <c r="T1" s="22" t="s">
        <v>17</v>
      </c>
      <c r="U1" s="22" t="s">
        <v>22</v>
      </c>
      <c r="V1" s="23" t="s">
        <v>9</v>
      </c>
      <c r="W1" s="24" t="s">
        <v>16</v>
      </c>
      <c r="X1" s="24" t="s">
        <v>21</v>
      </c>
      <c r="Y1" s="24" t="s">
        <v>26</v>
      </c>
      <c r="Z1" s="24" t="s">
        <v>29</v>
      </c>
      <c r="AA1" s="24" t="s">
        <v>32</v>
      </c>
      <c r="AB1" s="24" t="s">
        <v>35</v>
      </c>
      <c r="AC1" s="24" t="s">
        <v>38</v>
      </c>
      <c r="AD1" s="24" t="s">
        <v>40</v>
      </c>
      <c r="AE1" s="24" t="s">
        <v>42</v>
      </c>
      <c r="AF1" s="24" t="s">
        <v>44</v>
      </c>
      <c r="AG1" s="24" t="s">
        <v>46</v>
      </c>
      <c r="AH1" s="24" t="s">
        <v>48</v>
      </c>
      <c r="AI1" s="24" t="s">
        <v>50</v>
      </c>
      <c r="AJ1" s="25" t="s">
        <v>7</v>
      </c>
      <c r="AK1" s="25" t="s">
        <v>15</v>
      </c>
      <c r="AL1" s="26" t="s">
        <v>5</v>
      </c>
      <c r="AM1" s="27" t="s">
        <v>14</v>
      </c>
      <c r="AN1" s="27" t="s">
        <v>20</v>
      </c>
      <c r="AO1" s="28" t="s">
        <v>25</v>
      </c>
      <c r="AP1" s="27" t="s">
        <v>28</v>
      </c>
      <c r="AQ1" s="27" t="s">
        <v>31</v>
      </c>
      <c r="AR1" s="27" t="s">
        <v>34</v>
      </c>
      <c r="AS1" s="40" t="s">
        <v>37</v>
      </c>
    </row>
    <row r="2" spans="1:45" x14ac:dyDescent="0.3">
      <c r="A2" s="34" t="s">
        <v>1160</v>
      </c>
      <c r="B2" s="35" t="s">
        <v>383</v>
      </c>
      <c r="C2" s="35" t="s">
        <v>1161</v>
      </c>
      <c r="D2" s="46">
        <v>64474.400000000001</v>
      </c>
      <c r="E2" s="35" t="s">
        <v>1162</v>
      </c>
      <c r="F2" s="35"/>
      <c r="G2" s="35"/>
      <c r="H2" s="35">
        <v>0</v>
      </c>
      <c r="I2" s="43">
        <v>14723367</v>
      </c>
      <c r="J2" s="43">
        <v>14723367</v>
      </c>
      <c r="K2" s="43">
        <v>0</v>
      </c>
      <c r="L2" s="44" t="s">
        <v>1140</v>
      </c>
      <c r="M2" s="44" t="s">
        <v>1163</v>
      </c>
      <c r="N2" s="44"/>
      <c r="O2" s="45" t="s">
        <v>1164</v>
      </c>
      <c r="P2" s="35" t="s">
        <v>77</v>
      </c>
      <c r="Q2" s="35" t="s">
        <v>98</v>
      </c>
      <c r="R2" s="35">
        <v>4794.6475192715652</v>
      </c>
      <c r="S2" s="35">
        <f>+OTROS[[#This Row],[Avalúo Total 2025]]-OTROS[[#This Row],[Avalúo Diciembre 2024]]</f>
        <v>14723367</v>
      </c>
      <c r="T2" s="35">
        <f>+OTROS[[#This Row],[Avalúo Afecto Dic-2025]]-OTROS[[#This Row],[Avalúo Afecto Dic-2024]]</f>
        <v>0</v>
      </c>
      <c r="U2" s="35">
        <f>+OTROS[[#This Row],[Avalúo Exento Dic-2025]]-OTROS[[#This Row],[Avalúo Exento Dic-2024]]</f>
        <v>14723367</v>
      </c>
      <c r="V2" s="35">
        <v>64474.400000000001</v>
      </c>
      <c r="W2" s="35" t="s">
        <v>1165</v>
      </c>
      <c r="X2" s="35">
        <v>44043</v>
      </c>
      <c r="Y2" s="35" t="s">
        <v>1166</v>
      </c>
      <c r="Z2" s="35" t="s">
        <v>1167</v>
      </c>
      <c r="AA2" s="35" t="s">
        <v>1168</v>
      </c>
      <c r="AB2" s="35" t="s">
        <v>1169</v>
      </c>
      <c r="AC2" s="35" t="s">
        <v>1168</v>
      </c>
      <c r="AD2" s="35" t="s">
        <v>1170</v>
      </c>
      <c r="AE2" s="35">
        <v>45611</v>
      </c>
      <c r="AF2" s="35"/>
      <c r="AG2" s="35"/>
      <c r="AH2" s="35"/>
      <c r="AI2" s="35"/>
      <c r="AJ2" s="35">
        <v>0.4198187978982254</v>
      </c>
      <c r="AK2" s="142">
        <v>27067.565103209345</v>
      </c>
      <c r="AL2" s="35">
        <v>0.4198187978982254</v>
      </c>
      <c r="AM2" s="142">
        <v>27067.565103209345</v>
      </c>
      <c r="AN2" s="35"/>
      <c r="AO2" s="36">
        <v>44221</v>
      </c>
      <c r="AP2" s="35" t="s">
        <v>805</v>
      </c>
      <c r="AQ2" s="35">
        <v>27067.565103209345</v>
      </c>
      <c r="AR2" s="35" t="s">
        <v>805</v>
      </c>
      <c r="AS2" s="37" t="s">
        <v>155</v>
      </c>
    </row>
    <row r="3" spans="1:45" x14ac:dyDescent="0.3">
      <c r="A3" s="34" t="s">
        <v>70</v>
      </c>
      <c r="B3" s="35" t="s">
        <v>169</v>
      </c>
      <c r="C3" s="35" t="s">
        <v>1171</v>
      </c>
      <c r="D3" s="46">
        <v>152700</v>
      </c>
      <c r="E3" s="35" t="s">
        <v>1162</v>
      </c>
      <c r="F3" s="35"/>
      <c r="G3" s="35"/>
      <c r="H3" s="35">
        <v>0</v>
      </c>
      <c r="I3" s="47"/>
      <c r="J3" s="47"/>
      <c r="K3" s="47"/>
      <c r="L3" s="48"/>
      <c r="M3" s="48"/>
      <c r="N3" s="48"/>
      <c r="O3" s="49"/>
      <c r="P3" s="35"/>
      <c r="Q3" s="35"/>
      <c r="R3" s="35"/>
      <c r="S3" s="35">
        <f>+OTROS[[#This Row],[Avalúo Total 2025]]-OTROS[[#This Row],[Avalúo Diciembre 2024]]</f>
        <v>0</v>
      </c>
      <c r="T3" s="35">
        <f>+OTROS[[#This Row],[Avalúo Afecto Dic-2025]]-OTROS[[#This Row],[Avalúo Afecto Dic-2024]]</f>
        <v>0</v>
      </c>
      <c r="U3" s="35">
        <f>+OTROS[[#This Row],[Avalúo Exento Dic-2025]]-OTROS[[#This Row],[Avalúo Exento Dic-2024]]</f>
        <v>0</v>
      </c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6"/>
      <c r="AP3" s="35"/>
      <c r="AQ3" s="35"/>
      <c r="AR3" s="35"/>
      <c r="AS3" s="37"/>
    </row>
    <row r="4" spans="1:45" x14ac:dyDescent="0.3">
      <c r="A4" s="34" t="s">
        <v>70</v>
      </c>
      <c r="B4" s="35" t="s">
        <v>71</v>
      </c>
      <c r="C4" s="50" t="s">
        <v>1172</v>
      </c>
      <c r="D4" s="46">
        <v>10000</v>
      </c>
      <c r="E4" s="35" t="s">
        <v>1162</v>
      </c>
      <c r="F4" s="35"/>
      <c r="G4" s="35"/>
      <c r="H4" s="35"/>
      <c r="I4" s="47"/>
      <c r="J4" s="47"/>
      <c r="K4" s="47"/>
      <c r="L4" s="48"/>
      <c r="M4" s="48"/>
      <c r="N4" s="48"/>
      <c r="O4" s="49"/>
      <c r="P4" s="35"/>
      <c r="Q4" s="35"/>
      <c r="R4" s="35"/>
      <c r="S4" s="35">
        <f>+OTROS[[#This Row],[Avalúo Total 2025]]-OTROS[[#This Row],[Avalúo Diciembre 2024]]</f>
        <v>0</v>
      </c>
      <c r="T4" s="35">
        <f>+OTROS[[#This Row],[Avalúo Afecto Dic-2025]]-OTROS[[#This Row],[Avalúo Afecto Dic-2024]]</f>
        <v>0</v>
      </c>
      <c r="U4" s="35">
        <f>+OTROS[[#This Row],[Avalúo Exento Dic-2025]]-OTROS[[#This Row],[Avalúo Exento Dic-2024]]</f>
        <v>0</v>
      </c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6"/>
      <c r="AP4" s="35"/>
      <c r="AQ4" s="35"/>
      <c r="AR4" s="35"/>
      <c r="AS4" s="37"/>
    </row>
    <row r="5" spans="1:45" x14ac:dyDescent="0.3">
      <c r="A5" s="34" t="s">
        <v>70</v>
      </c>
      <c r="B5" s="35" t="s">
        <v>71</v>
      </c>
      <c r="C5" s="50" t="s">
        <v>1173</v>
      </c>
      <c r="D5" s="46">
        <v>10000</v>
      </c>
      <c r="E5" s="35" t="s">
        <v>1162</v>
      </c>
      <c r="F5" s="35"/>
      <c r="G5" s="35"/>
      <c r="H5" s="35"/>
      <c r="I5" s="47"/>
      <c r="J5" s="47"/>
      <c r="K5" s="47"/>
      <c r="L5" s="48"/>
      <c r="M5" s="48"/>
      <c r="N5" s="48"/>
      <c r="O5" s="49"/>
      <c r="P5" s="35"/>
      <c r="Q5" s="35"/>
      <c r="R5" s="35"/>
      <c r="S5" s="35">
        <f>+OTROS[[#This Row],[Avalúo Total 2025]]-OTROS[[#This Row],[Avalúo Diciembre 2024]]</f>
        <v>0</v>
      </c>
      <c r="T5" s="35">
        <f>+OTROS[[#This Row],[Avalúo Afecto Dic-2025]]-OTROS[[#This Row],[Avalúo Afecto Dic-2024]]</f>
        <v>0</v>
      </c>
      <c r="U5" s="35">
        <f>+OTROS[[#This Row],[Avalúo Exento Dic-2025]]-OTROS[[#This Row],[Avalúo Exento Dic-2024]]</f>
        <v>0</v>
      </c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6"/>
      <c r="AP5" s="35"/>
      <c r="AQ5" s="35"/>
      <c r="AR5" s="35"/>
      <c r="AS5" s="37"/>
    </row>
    <row r="6" spans="1:45" x14ac:dyDescent="0.3">
      <c r="A6" s="34" t="s">
        <v>70</v>
      </c>
      <c r="B6" s="35" t="s">
        <v>71</v>
      </c>
      <c r="C6" s="50" t="s">
        <v>1174</v>
      </c>
      <c r="D6" s="46">
        <v>10000</v>
      </c>
      <c r="E6" s="35" t="s">
        <v>1162</v>
      </c>
      <c r="F6" s="35"/>
      <c r="G6" s="35"/>
      <c r="H6" s="35"/>
      <c r="I6" s="47"/>
      <c r="J6" s="47"/>
      <c r="K6" s="47"/>
      <c r="L6" s="48"/>
      <c r="M6" s="48"/>
      <c r="N6" s="48"/>
      <c r="O6" s="49"/>
      <c r="P6" s="35"/>
      <c r="Q6" s="35"/>
      <c r="R6" s="35"/>
      <c r="S6" s="35">
        <f>+OTROS[[#This Row],[Avalúo Total 2025]]-OTROS[[#This Row],[Avalúo Diciembre 2024]]</f>
        <v>0</v>
      </c>
      <c r="T6" s="35">
        <f>+OTROS[[#This Row],[Avalúo Afecto Dic-2025]]-OTROS[[#This Row],[Avalúo Afecto Dic-2024]]</f>
        <v>0</v>
      </c>
      <c r="U6" s="35">
        <f>+OTROS[[#This Row],[Avalúo Exento Dic-2025]]-OTROS[[#This Row],[Avalúo Exento Dic-2024]]</f>
        <v>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6"/>
      <c r="AP6" s="35"/>
      <c r="AQ6" s="35"/>
      <c r="AR6" s="35"/>
      <c r="AS6" s="37"/>
    </row>
    <row r="7" spans="1:45" x14ac:dyDescent="0.3">
      <c r="A7" s="34" t="s">
        <v>70</v>
      </c>
      <c r="B7" s="35" t="s">
        <v>71</v>
      </c>
      <c r="C7" s="50" t="s">
        <v>1175</v>
      </c>
      <c r="D7" s="46">
        <v>10000</v>
      </c>
      <c r="E7" s="35" t="s">
        <v>1162</v>
      </c>
      <c r="F7" s="35"/>
      <c r="G7" s="35"/>
      <c r="H7" s="35"/>
      <c r="I7" s="47"/>
      <c r="J7" s="47"/>
      <c r="K7" s="47"/>
      <c r="L7" s="48" t="s">
        <v>1176</v>
      </c>
      <c r="M7" s="48" t="s">
        <v>1176</v>
      </c>
      <c r="N7" s="48"/>
      <c r="O7" s="49"/>
      <c r="P7" s="35"/>
      <c r="Q7" s="35"/>
      <c r="R7" s="35"/>
      <c r="S7" s="35">
        <f>+OTROS[[#This Row],[Avalúo Total 2025]]-OTROS[[#This Row],[Avalúo Diciembre 2024]]</f>
        <v>0</v>
      </c>
      <c r="T7" s="35">
        <f>+OTROS[[#This Row],[Avalúo Afecto Dic-2025]]-OTROS[[#This Row],[Avalúo Afecto Dic-2024]]</f>
        <v>0</v>
      </c>
      <c r="U7" s="35">
        <f>+OTROS[[#This Row],[Avalúo Exento Dic-2025]]-OTROS[[#This Row],[Avalúo Exento Dic-2024]]</f>
        <v>0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6"/>
      <c r="AP7" s="35"/>
      <c r="AQ7" s="35"/>
      <c r="AR7" s="35"/>
      <c r="AS7" s="37"/>
    </row>
    <row r="8" spans="1:45" x14ac:dyDescent="0.3">
      <c r="A8" s="34" t="s">
        <v>70</v>
      </c>
      <c r="B8" s="35" t="s">
        <v>71</v>
      </c>
      <c r="C8" s="35" t="s">
        <v>1177</v>
      </c>
      <c r="D8" s="46">
        <v>5976</v>
      </c>
      <c r="E8" s="35" t="s">
        <v>1162</v>
      </c>
      <c r="F8" s="35"/>
      <c r="G8" s="35"/>
      <c r="H8" s="35"/>
      <c r="I8" s="47"/>
      <c r="J8" s="47"/>
      <c r="K8" s="47"/>
      <c r="L8" s="48"/>
      <c r="M8" s="48"/>
      <c r="N8" s="48"/>
      <c r="O8" s="49"/>
      <c r="P8" s="35"/>
      <c r="Q8" s="35"/>
      <c r="R8" s="35"/>
      <c r="S8" s="35">
        <f>+OTROS[[#This Row],[Avalúo Total 2025]]-OTROS[[#This Row],[Avalúo Diciembre 2024]]</f>
        <v>0</v>
      </c>
      <c r="T8" s="35">
        <f>+OTROS[[#This Row],[Avalúo Afecto Dic-2025]]-OTROS[[#This Row],[Avalúo Afecto Dic-2024]]</f>
        <v>0</v>
      </c>
      <c r="U8" s="35">
        <f>+OTROS[[#This Row],[Avalúo Exento Dic-2025]]-OTROS[[#This Row],[Avalúo Exento Dic-2024]]</f>
        <v>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6"/>
      <c r="AP8" s="35"/>
      <c r="AQ8" s="35"/>
      <c r="AR8" s="35"/>
      <c r="AS8" s="37"/>
    </row>
    <row r="9" spans="1:45" x14ac:dyDescent="0.3">
      <c r="A9" s="34" t="s">
        <v>89</v>
      </c>
      <c r="B9" s="35" t="s">
        <v>512</v>
      </c>
      <c r="C9" s="35" t="s">
        <v>1178</v>
      </c>
      <c r="D9" s="46">
        <v>1273.99</v>
      </c>
      <c r="E9" s="35" t="s">
        <v>1179</v>
      </c>
      <c r="F9" s="64"/>
      <c r="G9" s="64"/>
      <c r="H9" s="64"/>
      <c r="I9" s="47"/>
      <c r="J9" s="47"/>
      <c r="K9" s="47"/>
      <c r="L9" s="48" t="s">
        <v>141</v>
      </c>
      <c r="M9" s="48" t="s">
        <v>1180</v>
      </c>
      <c r="N9" s="48"/>
      <c r="O9" s="49"/>
      <c r="P9" s="35"/>
      <c r="Q9" s="35"/>
      <c r="R9" s="35"/>
      <c r="S9" s="35">
        <v>0</v>
      </c>
      <c r="T9" s="35">
        <v>0</v>
      </c>
      <c r="U9" s="35">
        <v>0</v>
      </c>
      <c r="V9" s="35"/>
      <c r="W9" s="35"/>
      <c r="X9" s="35"/>
      <c r="Y9" s="35" t="s">
        <v>1181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6"/>
      <c r="AP9" s="35"/>
      <c r="AQ9" s="35"/>
      <c r="AR9" s="35"/>
      <c r="AS9" s="37"/>
    </row>
    <row r="10" spans="1:45" x14ac:dyDescent="0.3">
      <c r="A10" s="34" t="s">
        <v>70</v>
      </c>
      <c r="B10" s="35" t="s">
        <v>169</v>
      </c>
      <c r="C10" s="35" t="s">
        <v>461</v>
      </c>
      <c r="D10" s="46">
        <v>249500</v>
      </c>
      <c r="E10" s="35" t="s">
        <v>1182</v>
      </c>
      <c r="F10" s="64"/>
      <c r="G10" s="64"/>
      <c r="H10" s="64"/>
      <c r="I10" s="47"/>
      <c r="J10" s="47"/>
      <c r="K10" s="47"/>
      <c r="L10" s="48"/>
      <c r="M10" s="48"/>
      <c r="N10" s="48"/>
      <c r="O10" s="49"/>
      <c r="P10" s="35"/>
      <c r="Q10" s="35"/>
      <c r="R10" s="35"/>
      <c r="S10" s="35">
        <f>+OTROS[[#This Row],[Avalúo Total 2025]]-OTROS[[#This Row],[Avalúo Diciembre 2024]]</f>
        <v>0</v>
      </c>
      <c r="T10" s="35">
        <f>+OTROS[[#This Row],[Avalúo Afecto Dic-2025]]-OTROS[[#This Row],[Avalúo Afecto Dic-2024]]</f>
        <v>0</v>
      </c>
      <c r="U10" s="35">
        <f>+OTROS[[#This Row],[Avalúo Exento Dic-2025]]-OTROS[[#This Row],[Avalúo Exento Dic-2024]]</f>
        <v>0</v>
      </c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6"/>
      <c r="AP10" s="35"/>
      <c r="AQ10" s="35"/>
      <c r="AR10" s="35"/>
      <c r="AS10" s="37"/>
    </row>
    <row r="11" spans="1:45" x14ac:dyDescent="0.3">
      <c r="A11" s="34" t="s">
        <v>168</v>
      </c>
      <c r="B11" s="35" t="s">
        <v>80</v>
      </c>
      <c r="C11" s="35" t="s">
        <v>1183</v>
      </c>
      <c r="D11" s="46">
        <v>1930.03</v>
      </c>
      <c r="E11" s="35" t="s">
        <v>1179</v>
      </c>
      <c r="F11" s="64"/>
      <c r="G11" s="64"/>
      <c r="H11" s="64"/>
      <c r="I11" s="47"/>
      <c r="J11" s="47"/>
      <c r="K11" s="47"/>
      <c r="L11" s="48"/>
      <c r="M11" s="48"/>
      <c r="N11" s="48"/>
      <c r="O11" s="49"/>
      <c r="P11" s="35"/>
      <c r="Q11" s="35"/>
      <c r="R11" s="35"/>
      <c r="S11" s="35">
        <f>+OTROS[[#This Row],[Avalúo Total 2025]]-OTROS[[#This Row],[Avalúo Diciembre 2024]]</f>
        <v>0</v>
      </c>
      <c r="T11" s="35">
        <f>+OTROS[[#This Row],[Avalúo Afecto Dic-2025]]-OTROS[[#This Row],[Avalúo Afecto Dic-2024]]</f>
        <v>0</v>
      </c>
      <c r="U11" s="35">
        <f>+OTROS[[#This Row],[Avalúo Exento Dic-2025]]-OTROS[[#This Row],[Avalúo Exento Dic-2024]]</f>
        <v>0</v>
      </c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6"/>
      <c r="AP11" s="35"/>
      <c r="AQ11" s="35"/>
      <c r="AR11" s="35"/>
      <c r="AS11" s="37"/>
    </row>
    <row r="12" spans="1:45" x14ac:dyDescent="0.3">
      <c r="A12" s="34" t="s">
        <v>168</v>
      </c>
      <c r="B12" s="35" t="s">
        <v>80</v>
      </c>
      <c r="C12" s="31" t="s">
        <v>1184</v>
      </c>
      <c r="D12" s="46">
        <v>1930.3</v>
      </c>
      <c r="E12" s="35" t="s">
        <v>1179</v>
      </c>
      <c r="F12" s="64"/>
      <c r="G12" s="64"/>
      <c r="H12" s="64"/>
      <c r="I12" s="43"/>
      <c r="J12" s="43"/>
      <c r="K12" s="43"/>
      <c r="L12" s="44"/>
      <c r="M12" s="44"/>
      <c r="N12" s="44"/>
      <c r="O12" s="55"/>
      <c r="P12" s="31"/>
      <c r="Q12" s="31"/>
      <c r="R12" s="31"/>
      <c r="S12" s="31">
        <f>+OTROS[[#This Row],[Avalúo Total 2025]]-OTROS[[#This Row],[Avalúo Diciembre 2024]]</f>
        <v>0</v>
      </c>
      <c r="T12" s="31">
        <f>+OTROS[[#This Row],[Avalúo Afecto Dic-2025]]-OTROS[[#This Row],[Avalúo Afecto Dic-2024]]</f>
        <v>0</v>
      </c>
      <c r="U12" s="31">
        <f>+OTROS[[#This Row],[Avalúo Exento Dic-2025]]-OTROS[[#This Row],[Avalúo Exento Dic-2024]]</f>
        <v>0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2"/>
      <c r="AP12" s="31"/>
      <c r="AQ12" s="31"/>
      <c r="AR12" s="31"/>
      <c r="AS12" s="33"/>
    </row>
    <row r="13" spans="1:45" x14ac:dyDescent="0.3">
      <c r="A13" s="30" t="s">
        <v>79</v>
      </c>
      <c r="B13" s="31" t="s">
        <v>80</v>
      </c>
      <c r="C13" s="31" t="s">
        <v>1185</v>
      </c>
      <c r="D13" s="46"/>
      <c r="E13" s="31" t="s">
        <v>1179</v>
      </c>
      <c r="F13" s="64"/>
      <c r="G13" s="64"/>
      <c r="H13" s="64"/>
      <c r="I13" s="43"/>
      <c r="J13" s="43"/>
      <c r="K13" s="43"/>
      <c r="L13" s="44" t="s">
        <v>931</v>
      </c>
      <c r="M13" s="44" t="s">
        <v>931</v>
      </c>
      <c r="N13" s="44"/>
      <c r="O13" s="55"/>
      <c r="P13" s="31"/>
      <c r="Q13" s="31"/>
      <c r="R13" s="31"/>
      <c r="S13" s="31">
        <f>+OTROS[[#This Row],[Avalúo Total 2025]]-OTROS[[#This Row],[Avalúo Diciembre 2024]]</f>
        <v>0</v>
      </c>
      <c r="T13" s="31">
        <f>+OTROS[[#This Row],[Avalúo Afecto Dic-2025]]-OTROS[[#This Row],[Avalúo Afecto Dic-2024]]</f>
        <v>0</v>
      </c>
      <c r="U13" s="31">
        <f>+OTROS[[#This Row],[Avalúo Exento Dic-2025]]-OTROS[[#This Row],[Avalúo Exento Dic-2024]]</f>
        <v>0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2"/>
      <c r="AP13" s="31"/>
      <c r="AQ13" s="31"/>
      <c r="AR13" s="31"/>
      <c r="AS13" s="33"/>
    </row>
    <row r="14" spans="1:45" x14ac:dyDescent="0.3">
      <c r="A14" s="34" t="s">
        <v>79</v>
      </c>
      <c r="B14" s="35" t="s">
        <v>80</v>
      </c>
      <c r="C14" s="35" t="s">
        <v>1186</v>
      </c>
      <c r="D14" s="46"/>
      <c r="E14" s="35" t="s">
        <v>1179</v>
      </c>
      <c r="F14" s="64"/>
      <c r="G14" s="64"/>
      <c r="H14" s="64"/>
      <c r="I14" s="47"/>
      <c r="J14" s="47"/>
      <c r="K14" s="47"/>
      <c r="L14" s="48" t="s">
        <v>1187</v>
      </c>
      <c r="M14" s="48" t="s">
        <v>1187</v>
      </c>
      <c r="N14" s="48"/>
      <c r="O14" s="49"/>
      <c r="P14" s="35"/>
      <c r="Q14" s="35"/>
      <c r="R14" s="35"/>
      <c r="S14" s="35">
        <f>+OTROS[[#This Row],[Avalúo Total 2025]]-OTROS[[#This Row],[Avalúo Diciembre 2024]]</f>
        <v>0</v>
      </c>
      <c r="T14" s="35">
        <f>+OTROS[[#This Row],[Avalúo Afecto Dic-2025]]-OTROS[[#This Row],[Avalúo Afecto Dic-2024]]</f>
        <v>0</v>
      </c>
      <c r="U14" s="35">
        <f>+OTROS[[#This Row],[Avalúo Exento Dic-2025]]-OTROS[[#This Row],[Avalúo Exento Dic-2024]]</f>
        <v>0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6"/>
      <c r="AP14" s="35"/>
      <c r="AQ14" s="35"/>
      <c r="AR14" s="35"/>
      <c r="AS14" s="37"/>
    </row>
    <row r="15" spans="1:45" x14ac:dyDescent="0.3">
      <c r="A15" s="30" t="s">
        <v>79</v>
      </c>
      <c r="B15" s="31" t="s">
        <v>512</v>
      </c>
      <c r="C15" s="31" t="s">
        <v>1188</v>
      </c>
      <c r="D15" s="46">
        <v>91338.55</v>
      </c>
      <c r="E15" s="31" t="s">
        <v>1189</v>
      </c>
      <c r="F15" s="64"/>
      <c r="G15" s="64"/>
      <c r="H15" s="64"/>
      <c r="I15" s="43"/>
      <c r="J15" s="43"/>
      <c r="K15" s="43"/>
      <c r="L15" s="44" t="s">
        <v>719</v>
      </c>
      <c r="M15" s="44"/>
      <c r="N15" s="44"/>
      <c r="O15" s="55"/>
      <c r="P15" s="31"/>
      <c r="Q15" s="31"/>
      <c r="R15" s="31"/>
      <c r="S15" s="31">
        <f>+OTROS[[#This Row],[Avalúo Total 2025]]-OTROS[[#This Row],[Avalúo Diciembre 2024]]</f>
        <v>0</v>
      </c>
      <c r="T15" s="31">
        <f>+OTROS[[#This Row],[Avalúo Afecto Dic-2025]]-OTROS[[#This Row],[Avalúo Afecto Dic-2024]]</f>
        <v>0</v>
      </c>
      <c r="U15" s="31">
        <f>+OTROS[[#This Row],[Avalúo Exento Dic-2025]]-OTROS[[#This Row],[Avalúo Exento Dic-2024]]</f>
        <v>0</v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2"/>
      <c r="AP15" s="31"/>
      <c r="AQ15" s="31"/>
      <c r="AR15" s="31"/>
      <c r="AS15" s="33"/>
    </row>
    <row r="16" spans="1:45" x14ac:dyDescent="0.3">
      <c r="A16" s="34" t="s">
        <v>79</v>
      </c>
      <c r="B16" s="35" t="s">
        <v>512</v>
      </c>
      <c r="C16" s="35" t="s">
        <v>1190</v>
      </c>
      <c r="D16" s="46">
        <v>17999.099999999999</v>
      </c>
      <c r="E16" s="35" t="s">
        <v>1189</v>
      </c>
      <c r="F16" s="64"/>
      <c r="G16" s="64"/>
      <c r="H16" s="64"/>
      <c r="I16" s="47"/>
      <c r="J16" s="47"/>
      <c r="K16" s="47"/>
      <c r="L16" s="48" t="s">
        <v>149</v>
      </c>
      <c r="M16" s="48"/>
      <c r="N16" s="48"/>
      <c r="O16" s="49"/>
      <c r="P16" s="35"/>
      <c r="Q16" s="35"/>
      <c r="R16" s="35"/>
      <c r="S16" s="35">
        <f>+OTROS[[#This Row],[Avalúo Total 2025]]-OTROS[[#This Row],[Avalúo Diciembre 2024]]</f>
        <v>0</v>
      </c>
      <c r="T16" s="35">
        <f>+OTROS[[#This Row],[Avalúo Afecto Dic-2025]]-OTROS[[#This Row],[Avalúo Afecto Dic-2024]]</f>
        <v>0</v>
      </c>
      <c r="U16" s="35">
        <f>+OTROS[[#This Row],[Avalúo Exento Dic-2025]]-OTROS[[#This Row],[Avalúo Exento Dic-2024]]</f>
        <v>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6"/>
      <c r="AP16" s="35"/>
      <c r="AQ16" s="35"/>
      <c r="AR16" s="35"/>
      <c r="AS16" s="37"/>
    </row>
    <row r="17" spans="1:45" x14ac:dyDescent="0.3">
      <c r="A17" s="34" t="s">
        <v>89</v>
      </c>
      <c r="B17" s="35" t="s">
        <v>380</v>
      </c>
      <c r="C17" s="35" t="s">
        <v>1191</v>
      </c>
      <c r="D17" s="46">
        <v>154800</v>
      </c>
      <c r="E17" s="35" t="s">
        <v>1162</v>
      </c>
      <c r="F17" s="64"/>
      <c r="G17" s="64"/>
      <c r="H17" s="64"/>
      <c r="I17" s="47"/>
      <c r="J17" s="47"/>
      <c r="K17" s="47"/>
      <c r="L17" s="48"/>
      <c r="M17" s="48"/>
      <c r="N17" s="48"/>
      <c r="O17" s="49"/>
      <c r="P17" s="35"/>
      <c r="Q17" s="35"/>
      <c r="R17" s="35"/>
      <c r="S17" s="35">
        <f>+OTROS[[#This Row],[Avalúo Total 2025]]-OTROS[[#This Row],[Avalúo Diciembre 2024]]</f>
        <v>0</v>
      </c>
      <c r="T17" s="35">
        <f>+OTROS[[#This Row],[Avalúo Afecto Dic-2025]]-OTROS[[#This Row],[Avalúo Afecto Dic-2024]]</f>
        <v>0</v>
      </c>
      <c r="U17" s="35">
        <f>+OTROS[[#This Row],[Avalúo Exento Dic-2025]]-OTROS[[#This Row],[Avalúo Exento Dic-2024]]</f>
        <v>0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6"/>
      <c r="AP17" s="35"/>
      <c r="AQ17" s="35"/>
      <c r="AR17" s="35"/>
      <c r="AS17" s="37"/>
    </row>
    <row r="18" spans="1:45" x14ac:dyDescent="0.3">
      <c r="A18" s="137" t="s">
        <v>1192</v>
      </c>
      <c r="B18" s="138" t="s">
        <v>80</v>
      </c>
      <c r="C18" s="138" t="s">
        <v>1193</v>
      </c>
      <c r="D18" s="139">
        <v>20266</v>
      </c>
      <c r="E18" s="138" t="s">
        <v>1194</v>
      </c>
      <c r="F18" s="64"/>
      <c r="G18" s="64"/>
      <c r="H18" s="64"/>
      <c r="I18" s="47"/>
      <c r="J18" s="47"/>
      <c r="K18" s="47"/>
      <c r="L18" s="48" t="s">
        <v>1195</v>
      </c>
      <c r="M18" s="48" t="s">
        <v>1195</v>
      </c>
      <c r="N18" s="48"/>
      <c r="O18" s="49"/>
      <c r="P18" s="35"/>
      <c r="Q18" s="35"/>
      <c r="R18" s="35"/>
      <c r="S18" s="35">
        <f>+OTROS[[#This Row],[Avalúo Total 2025]]-OTROS[[#This Row],[Avalúo Diciembre 2024]]</f>
        <v>0</v>
      </c>
      <c r="T18" s="35">
        <f>+OTROS[[#This Row],[Avalúo Afecto Dic-2025]]-OTROS[[#This Row],[Avalúo Afecto Dic-2024]]</f>
        <v>0</v>
      </c>
      <c r="U18" s="35">
        <f>+OTROS[[#This Row],[Avalúo Exento Dic-2025]]-OTROS[[#This Row],[Avalúo Exento Dic-2024]]</f>
        <v>0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>
        <v>3.4</v>
      </c>
      <c r="AM18" s="142">
        <v>68904</v>
      </c>
      <c r="AN18" s="35"/>
      <c r="AO18" s="36">
        <v>45610</v>
      </c>
      <c r="AP18" s="35" t="s">
        <v>108</v>
      </c>
      <c r="AQ18" s="35"/>
      <c r="AR18" s="35" t="s">
        <v>108</v>
      </c>
      <c r="AS18" s="37" t="s">
        <v>1196</v>
      </c>
    </row>
    <row r="19" spans="1:45" x14ac:dyDescent="0.3">
      <c r="A19" s="140" t="s">
        <v>168</v>
      </c>
      <c r="B19" s="141" t="s">
        <v>169</v>
      </c>
      <c r="C19" s="141" t="s">
        <v>1197</v>
      </c>
      <c r="D19" s="139">
        <v>18177.7</v>
      </c>
      <c r="E19" s="138" t="s">
        <v>1194</v>
      </c>
      <c r="F19" s="64"/>
      <c r="G19" s="64"/>
      <c r="H19" s="64"/>
      <c r="I19" s="43"/>
      <c r="J19" s="43"/>
      <c r="K19" s="43"/>
      <c r="L19" s="44"/>
      <c r="M19" s="44"/>
      <c r="N19" s="44"/>
      <c r="O19" s="55"/>
      <c r="P19" s="31"/>
      <c r="Q19" s="31"/>
      <c r="R19" s="31"/>
      <c r="S19" s="31">
        <f>+OTROS[[#This Row],[Avalúo Total 2025]]-OTROS[[#This Row],[Avalúo Diciembre 2024]]</f>
        <v>0</v>
      </c>
      <c r="T19" s="31">
        <f>+OTROS[[#This Row],[Avalúo Afecto Dic-2025]]-OTROS[[#This Row],[Avalúo Afecto Dic-2024]]</f>
        <v>0</v>
      </c>
      <c r="U19" s="31">
        <f>+OTROS[[#This Row],[Avalúo Exento Dic-2025]]-OTROS[[#This Row],[Avalúo Exento Dic-2024]]</f>
        <v>0</v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2"/>
      <c r="AP19" s="31"/>
      <c r="AQ19" s="31"/>
      <c r="AR19" s="31" t="s">
        <v>88</v>
      </c>
      <c r="AS19" s="33"/>
    </row>
    <row r="20" spans="1:45" x14ac:dyDescent="0.3">
      <c r="A20" s="137" t="s">
        <v>168</v>
      </c>
      <c r="B20" s="138" t="s">
        <v>169</v>
      </c>
      <c r="C20" s="138" t="s">
        <v>1198</v>
      </c>
      <c r="D20" s="139">
        <v>840</v>
      </c>
      <c r="E20" s="138" t="s">
        <v>1194</v>
      </c>
      <c r="F20" s="64"/>
      <c r="G20" s="64"/>
      <c r="H20" s="64"/>
      <c r="I20" s="47"/>
      <c r="J20" s="47"/>
      <c r="K20" s="47"/>
      <c r="L20" s="48"/>
      <c r="M20" s="48"/>
      <c r="N20" s="48"/>
      <c r="O20" s="49"/>
      <c r="P20" s="35"/>
      <c r="Q20" s="35"/>
      <c r="R20" s="35"/>
      <c r="S20" s="35">
        <f>+OTROS[[#This Row],[Avalúo Total 2025]]-OTROS[[#This Row],[Avalúo Diciembre 2024]]</f>
        <v>0</v>
      </c>
      <c r="T20" s="35">
        <f>+OTROS[[#This Row],[Avalúo Afecto Dic-2025]]-OTROS[[#This Row],[Avalúo Afecto Dic-2024]]</f>
        <v>0</v>
      </c>
      <c r="U20" s="35">
        <f>+OTROS[[#This Row],[Avalúo Exento Dic-2025]]-OTROS[[#This Row],[Avalúo Exento Dic-2024]]</f>
        <v>0</v>
      </c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>
        <v>2.5</v>
      </c>
      <c r="AK20" s="35">
        <v>2100</v>
      </c>
      <c r="AL20" s="35">
        <v>0.3</v>
      </c>
      <c r="AM20" s="35">
        <v>252</v>
      </c>
      <c r="AN20" s="35"/>
      <c r="AO20" s="36">
        <v>43525</v>
      </c>
      <c r="AP20" s="35" t="s">
        <v>101</v>
      </c>
      <c r="AQ20" s="35">
        <v>252</v>
      </c>
      <c r="AR20" s="35" t="s">
        <v>101</v>
      </c>
      <c r="AS20" s="37"/>
    </row>
    <row r="21" spans="1:45" x14ac:dyDescent="0.3">
      <c r="A21" s="30" t="s">
        <v>793</v>
      </c>
      <c r="B21" s="31" t="s">
        <v>1199</v>
      </c>
      <c r="C21" s="31" t="s">
        <v>1200</v>
      </c>
      <c r="D21" s="46">
        <v>114</v>
      </c>
      <c r="E21" s="31" t="s">
        <v>1162</v>
      </c>
      <c r="F21" s="64"/>
      <c r="G21" s="64"/>
      <c r="H21" s="64"/>
      <c r="I21" s="43"/>
      <c r="J21" s="43"/>
      <c r="K21" s="43"/>
      <c r="L21" s="44"/>
      <c r="M21" s="44"/>
      <c r="N21" s="44"/>
      <c r="O21" s="55"/>
      <c r="P21" s="31"/>
      <c r="Q21" s="31"/>
      <c r="R21" s="31"/>
      <c r="S21" s="31">
        <f>+OTROS[[#This Row],[Avalúo Total 2025]]-OTROS[[#This Row],[Avalúo Diciembre 2024]]</f>
        <v>0</v>
      </c>
      <c r="T21" s="31">
        <f>+OTROS[[#This Row],[Avalúo Afecto Dic-2025]]-OTROS[[#This Row],[Avalúo Afecto Dic-2024]]</f>
        <v>0</v>
      </c>
      <c r="U21" s="31">
        <f>+OTROS[[#This Row],[Avalúo Exento Dic-2025]]-OTROS[[#This Row],[Avalúo Exento Dic-2024]]</f>
        <v>0</v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2"/>
      <c r="AP21" s="31"/>
      <c r="AQ21" s="31"/>
      <c r="AR21" s="31"/>
      <c r="AS21" s="33"/>
    </row>
    <row r="22" spans="1:45" x14ac:dyDescent="0.3">
      <c r="A22" s="30" t="s">
        <v>793</v>
      </c>
      <c r="B22" s="31" t="s">
        <v>1199</v>
      </c>
      <c r="C22" s="31" t="s">
        <v>1201</v>
      </c>
      <c r="D22" s="46">
        <v>123</v>
      </c>
      <c r="E22" s="31" t="s">
        <v>1162</v>
      </c>
      <c r="F22" s="64"/>
      <c r="G22" s="64"/>
      <c r="H22" s="64"/>
      <c r="I22" s="43"/>
      <c r="J22" s="43"/>
      <c r="K22" s="43"/>
      <c r="L22" s="44"/>
      <c r="M22" s="44"/>
      <c r="N22" s="44"/>
      <c r="O22" s="55"/>
      <c r="P22" s="31"/>
      <c r="Q22" s="31"/>
      <c r="R22" s="31"/>
      <c r="S22" s="31">
        <f>+OTROS[[#This Row],[Avalúo Total 2025]]-OTROS[[#This Row],[Avalúo Diciembre 2024]]</f>
        <v>0</v>
      </c>
      <c r="T22" s="31">
        <f>+OTROS[[#This Row],[Avalúo Afecto Dic-2025]]-OTROS[[#This Row],[Avalúo Afecto Dic-2024]]</f>
        <v>0</v>
      </c>
      <c r="U22" s="31">
        <f>+OTROS[[#This Row],[Avalúo Exento Dic-2025]]-OTROS[[#This Row],[Avalúo Exento Dic-2024]]</f>
        <v>0</v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2"/>
      <c r="AP22" s="31"/>
      <c r="AQ22" s="31"/>
      <c r="AR22" s="31"/>
      <c r="AS22" s="33"/>
    </row>
    <row r="23" spans="1:45" x14ac:dyDescent="0.3">
      <c r="A23" s="30" t="s">
        <v>793</v>
      </c>
      <c r="B23" s="31" t="s">
        <v>71</v>
      </c>
      <c r="C23" s="31" t="s">
        <v>1202</v>
      </c>
      <c r="D23" s="46">
        <v>142</v>
      </c>
      <c r="E23" s="31" t="s">
        <v>1162</v>
      </c>
      <c r="F23" s="64"/>
      <c r="G23" s="64"/>
      <c r="H23" s="64"/>
      <c r="I23" s="43"/>
      <c r="J23" s="43"/>
      <c r="K23" s="43"/>
      <c r="L23" s="44"/>
      <c r="M23" s="44"/>
      <c r="N23" s="44"/>
      <c r="O23" s="55"/>
      <c r="P23" s="31"/>
      <c r="Q23" s="31"/>
      <c r="R23" s="31"/>
      <c r="S23" s="31">
        <f>+OTROS[[#This Row],[Avalúo Total 2025]]-OTROS[[#This Row],[Avalúo Diciembre 2024]]</f>
        <v>0</v>
      </c>
      <c r="T23" s="31">
        <f>+OTROS[[#This Row],[Avalúo Afecto Dic-2025]]-OTROS[[#This Row],[Avalúo Afecto Dic-2024]]</f>
        <v>0</v>
      </c>
      <c r="U23" s="31">
        <f>+OTROS[[#This Row],[Avalúo Exento Dic-2025]]-OTROS[[#This Row],[Avalúo Exento Dic-2024]]</f>
        <v>0</v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2"/>
      <c r="AP23" s="31"/>
      <c r="AQ23" s="31"/>
      <c r="AR23" s="31"/>
      <c r="AS23" s="33"/>
    </row>
    <row r="24" spans="1:45" x14ac:dyDescent="0.3">
      <c r="A24" s="30" t="s">
        <v>793</v>
      </c>
      <c r="B24" s="31" t="s">
        <v>71</v>
      </c>
      <c r="C24" s="31" t="s">
        <v>1203</v>
      </c>
      <c r="D24" s="46">
        <v>130</v>
      </c>
      <c r="E24" s="31" t="s">
        <v>1162</v>
      </c>
      <c r="F24" s="64"/>
      <c r="G24" s="64"/>
      <c r="H24" s="64"/>
      <c r="I24" s="43"/>
      <c r="J24" s="43"/>
      <c r="K24" s="43"/>
      <c r="L24" s="44"/>
      <c r="M24" s="44"/>
      <c r="N24" s="44"/>
      <c r="O24" s="55"/>
      <c r="P24" s="31"/>
      <c r="Q24" s="31"/>
      <c r="R24" s="31"/>
      <c r="S24" s="31">
        <f>+OTROS[[#This Row],[Avalúo Total 2025]]-OTROS[[#This Row],[Avalúo Diciembre 2024]]</f>
        <v>0</v>
      </c>
      <c r="T24" s="31">
        <f>+OTROS[[#This Row],[Avalúo Afecto Dic-2025]]-OTROS[[#This Row],[Avalúo Afecto Dic-2024]]</f>
        <v>0</v>
      </c>
      <c r="U24" s="31">
        <f>+OTROS[[#This Row],[Avalúo Exento Dic-2025]]-OTROS[[#This Row],[Avalúo Exento Dic-2024]]</f>
        <v>0</v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2"/>
      <c r="AP24" s="31"/>
      <c r="AQ24" s="31"/>
      <c r="AR24" s="31"/>
      <c r="AS24" s="33"/>
    </row>
    <row r="25" spans="1:45" x14ac:dyDescent="0.3">
      <c r="A25" s="34" t="s">
        <v>793</v>
      </c>
      <c r="B25" s="35" t="s">
        <v>71</v>
      </c>
      <c r="C25" s="35" t="s">
        <v>1204</v>
      </c>
      <c r="D25" s="46">
        <v>137</v>
      </c>
      <c r="E25" s="31" t="s">
        <v>1162</v>
      </c>
      <c r="F25" s="64"/>
      <c r="G25" s="64"/>
      <c r="H25" s="64"/>
      <c r="I25" s="47"/>
      <c r="J25" s="47"/>
      <c r="K25" s="47"/>
      <c r="L25" s="48"/>
      <c r="M25" s="48"/>
      <c r="N25" s="48"/>
      <c r="O25" s="49"/>
      <c r="P25" s="35"/>
      <c r="Q25" s="35"/>
      <c r="R25" s="35"/>
      <c r="S25" s="35">
        <f>+OTROS[[#This Row],[Avalúo Total 2025]]-OTROS[[#This Row],[Avalúo Diciembre 2024]]</f>
        <v>0</v>
      </c>
      <c r="T25" s="35">
        <f>+OTROS[[#This Row],[Avalúo Afecto Dic-2025]]-OTROS[[#This Row],[Avalúo Afecto Dic-2024]]</f>
        <v>0</v>
      </c>
      <c r="U25" s="35">
        <f>+OTROS[[#This Row],[Avalúo Exento Dic-2025]]-OTROS[[#This Row],[Avalúo Exento Dic-2024]]</f>
        <v>0</v>
      </c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6"/>
      <c r="AP25" s="35"/>
      <c r="AQ25" s="35"/>
      <c r="AR25" s="35"/>
      <c r="AS25" s="37"/>
    </row>
    <row r="26" spans="1:45" x14ac:dyDescent="0.3">
      <c r="A26" s="66" t="s">
        <v>89</v>
      </c>
      <c r="B26" s="67" t="s">
        <v>80</v>
      </c>
      <c r="C26" s="67" t="s">
        <v>1205</v>
      </c>
      <c r="D26" s="46">
        <v>59459.28</v>
      </c>
      <c r="E26" s="68" t="s">
        <v>1182</v>
      </c>
      <c r="F26" s="62"/>
      <c r="G26" s="62"/>
      <c r="H26" s="62"/>
      <c r="I26" s="47"/>
      <c r="J26" s="47"/>
      <c r="K26" s="47"/>
      <c r="L26" s="48"/>
      <c r="M26" s="48"/>
      <c r="N26" s="48"/>
      <c r="O26" s="49"/>
      <c r="P26" s="35"/>
      <c r="Q26" s="35"/>
      <c r="R26" s="35"/>
      <c r="S26" s="35">
        <f>+OTROS[[#This Row],[Avalúo Total 2025]]-OTROS[[#This Row],[Avalúo Diciembre 2024]]</f>
        <v>0</v>
      </c>
      <c r="T26" s="35">
        <f>+OTROS[[#This Row],[Avalúo Afecto Dic-2025]]-OTROS[[#This Row],[Avalúo Afecto Dic-2024]]</f>
        <v>0</v>
      </c>
      <c r="U26" s="35">
        <f>+OTROS[[#This Row],[Avalúo Exento Dic-2025]]-OTROS[[#This Row],[Avalúo Exento Dic-2024]]</f>
        <v>0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6"/>
      <c r="AP26" s="35"/>
      <c r="AQ26" s="35"/>
      <c r="AR26" s="35"/>
      <c r="AS26" s="37"/>
    </row>
    <row r="27" spans="1:45" x14ac:dyDescent="0.3">
      <c r="A27" s="69" t="s">
        <v>89</v>
      </c>
      <c r="B27" s="60" t="s">
        <v>80</v>
      </c>
      <c r="C27" s="60" t="s">
        <v>1206</v>
      </c>
      <c r="D27" s="58">
        <v>9649</v>
      </c>
      <c r="E27" s="61" t="s">
        <v>1189</v>
      </c>
      <c r="F27" s="64"/>
      <c r="G27" s="64"/>
      <c r="H27" s="64"/>
      <c r="I27" s="43"/>
      <c r="J27" s="43"/>
      <c r="K27" s="43"/>
      <c r="L27" s="44"/>
      <c r="M27" s="44"/>
      <c r="N27" s="44"/>
      <c r="O27" s="55"/>
      <c r="P27" s="31"/>
      <c r="Q27" s="31"/>
      <c r="R27" s="31"/>
      <c r="S27" s="31">
        <f>+OTROS[[#This Row],[Avalúo Total 2025]]-OTROS[[#This Row],[Avalúo Diciembre 2024]]</f>
        <v>0</v>
      </c>
      <c r="T27" s="31">
        <f>+OTROS[[#This Row],[Avalúo Afecto Dic-2025]]-OTROS[[#This Row],[Avalúo Afecto Dic-2024]]</f>
        <v>0</v>
      </c>
      <c r="U27" s="31">
        <f>+OTROS[[#This Row],[Avalúo Exento Dic-2025]]-OTROS[[#This Row],[Avalúo Exento Dic-2024]]</f>
        <v>0</v>
      </c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2"/>
      <c r="AP27" s="31"/>
      <c r="AQ27" s="31"/>
      <c r="AR27" s="31"/>
      <c r="AS27" s="33"/>
    </row>
    <row r="28" spans="1:45" x14ac:dyDescent="0.3">
      <c r="A28" s="71" t="s">
        <v>89</v>
      </c>
      <c r="B28" s="72" t="s">
        <v>80</v>
      </c>
      <c r="C28" s="72" t="s">
        <v>1207</v>
      </c>
      <c r="D28" s="70">
        <v>9661</v>
      </c>
      <c r="E28" s="73" t="s">
        <v>1189</v>
      </c>
      <c r="F28" s="64"/>
      <c r="G28" s="64"/>
      <c r="H28" s="64"/>
      <c r="I28" s="47"/>
      <c r="J28" s="47"/>
      <c r="K28" s="47"/>
      <c r="L28" s="48"/>
      <c r="M28" s="48"/>
      <c r="N28" s="48"/>
      <c r="O28" s="49"/>
      <c r="P28" s="35"/>
      <c r="Q28" s="35"/>
      <c r="R28" s="35"/>
      <c r="S28" s="35">
        <f>+OTROS[[#This Row],[Avalúo Total 2025]]-OTROS[[#This Row],[Avalúo Diciembre 2024]]</f>
        <v>0</v>
      </c>
      <c r="T28" s="35">
        <f>+OTROS[[#This Row],[Avalúo Afecto Dic-2025]]-OTROS[[#This Row],[Avalúo Afecto Dic-2024]]</f>
        <v>0</v>
      </c>
      <c r="U28" s="35">
        <f>+OTROS[[#This Row],[Avalúo Exento Dic-2025]]-OTROS[[#This Row],[Avalúo Exento Dic-2024]]</f>
        <v>0</v>
      </c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6"/>
      <c r="AP28" s="35"/>
      <c r="AQ28" s="35"/>
      <c r="AR28" s="35"/>
      <c r="AS28" s="37"/>
    </row>
    <row r="29" spans="1:45" x14ac:dyDescent="0.3">
      <c r="A29" s="66" t="s">
        <v>70</v>
      </c>
      <c r="B29" s="67" t="s">
        <v>71</v>
      </c>
      <c r="C29" s="76" t="s">
        <v>1208</v>
      </c>
      <c r="D29" s="46">
        <v>5900</v>
      </c>
      <c r="E29" s="51" t="s">
        <v>1189</v>
      </c>
      <c r="F29" s="62"/>
      <c r="G29" s="62"/>
      <c r="H29" s="62"/>
      <c r="I29" s="47"/>
      <c r="J29" s="47"/>
      <c r="K29" s="47"/>
      <c r="L29" s="48"/>
      <c r="M29" s="48"/>
      <c r="N29" s="48"/>
      <c r="O29" s="49"/>
      <c r="P29" s="35"/>
      <c r="Q29" s="35"/>
      <c r="R29" s="35"/>
      <c r="S29" s="35">
        <f>+OTROS[[#This Row],[Avalúo Total 2025]]-OTROS[[#This Row],[Avalúo Diciembre 2024]]</f>
        <v>0</v>
      </c>
      <c r="T29" s="35">
        <f>+OTROS[[#This Row],[Avalúo Afecto Dic-2025]]-OTROS[[#This Row],[Avalúo Afecto Dic-2024]]</f>
        <v>0</v>
      </c>
      <c r="U29" s="35">
        <f>+OTROS[[#This Row],[Avalúo Exento Dic-2025]]-OTROS[[#This Row],[Avalúo Exento Dic-2024]]</f>
        <v>0</v>
      </c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6"/>
      <c r="AP29" s="35"/>
      <c r="AQ29" s="35"/>
      <c r="AR29" s="35"/>
      <c r="AS29" s="37"/>
    </row>
    <row r="30" spans="1:45" x14ac:dyDescent="0.3">
      <c r="A30" s="65" t="s">
        <v>70</v>
      </c>
      <c r="B30" s="59" t="s">
        <v>71</v>
      </c>
      <c r="C30" s="77" t="s">
        <v>1209</v>
      </c>
      <c r="D30" s="42">
        <v>4956.5</v>
      </c>
      <c r="E30" s="56" t="s">
        <v>1189</v>
      </c>
      <c r="F30" s="62"/>
      <c r="G30" s="62"/>
      <c r="H30" s="62"/>
      <c r="I30" s="43"/>
      <c r="J30" s="43"/>
      <c r="K30" s="43"/>
      <c r="L30" s="44"/>
      <c r="M30" s="44"/>
      <c r="N30" s="44"/>
      <c r="O30" s="55"/>
      <c r="P30" s="31"/>
      <c r="Q30" s="31"/>
      <c r="R30" s="31"/>
      <c r="S30" s="31">
        <f>+OTROS[[#This Row],[Avalúo Total 2025]]-OTROS[[#This Row],[Avalúo Diciembre 2024]]</f>
        <v>0</v>
      </c>
      <c r="T30" s="31">
        <f>+OTROS[[#This Row],[Avalúo Afecto Dic-2025]]-OTROS[[#This Row],[Avalúo Afecto Dic-2024]]</f>
        <v>0</v>
      </c>
      <c r="U30" s="31">
        <f>+OTROS[[#This Row],[Avalúo Exento Dic-2025]]-OTROS[[#This Row],[Avalúo Exento Dic-2024]]</f>
        <v>0</v>
      </c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2"/>
      <c r="AP30" s="31"/>
      <c r="AQ30" s="31"/>
      <c r="AR30" s="31"/>
      <c r="AS30" s="33"/>
    </row>
    <row r="31" spans="1:45" x14ac:dyDescent="0.3">
      <c r="A31" s="34" t="s">
        <v>70</v>
      </c>
      <c r="B31" s="35" t="s">
        <v>71</v>
      </c>
      <c r="C31" s="78" t="s">
        <v>1210</v>
      </c>
      <c r="D31" s="46">
        <v>5000</v>
      </c>
      <c r="E31" s="51" t="s">
        <v>1189</v>
      </c>
      <c r="F31" s="63"/>
      <c r="G31" s="63"/>
      <c r="H31" s="63"/>
      <c r="I31" s="47"/>
      <c r="J31" s="47"/>
      <c r="K31" s="47"/>
      <c r="L31" s="48"/>
      <c r="M31" s="48"/>
      <c r="N31" s="48"/>
      <c r="O31" s="49"/>
      <c r="P31" s="35"/>
      <c r="Q31" s="35"/>
      <c r="R31" s="35"/>
      <c r="S31" s="35">
        <f>+OTROS[[#This Row],[Avalúo Total 2025]]-OTROS[[#This Row],[Avalúo Diciembre 2024]]</f>
        <v>0</v>
      </c>
      <c r="T31" s="35">
        <f>+OTROS[[#This Row],[Avalúo Afecto Dic-2025]]-OTROS[[#This Row],[Avalúo Afecto Dic-2024]]</f>
        <v>0</v>
      </c>
      <c r="U31" s="35">
        <f>+OTROS[[#This Row],[Avalúo Exento Dic-2025]]-OTROS[[#This Row],[Avalúo Exento Dic-2024]]</f>
        <v>0</v>
      </c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6"/>
      <c r="AP31" s="35"/>
      <c r="AQ31" s="35"/>
      <c r="AR31" s="35"/>
      <c r="AS31" s="37"/>
    </row>
    <row r="32" spans="1:45" x14ac:dyDescent="0.3">
      <c r="A32" s="66" t="s">
        <v>168</v>
      </c>
      <c r="B32" s="67" t="s">
        <v>169</v>
      </c>
      <c r="C32" s="67" t="s">
        <v>1211</v>
      </c>
      <c r="D32" s="46">
        <v>59351.93</v>
      </c>
      <c r="E32" s="68" t="s">
        <v>1182</v>
      </c>
      <c r="F32" s="62"/>
      <c r="G32" s="62"/>
      <c r="H32" s="62"/>
      <c r="I32" s="47"/>
      <c r="J32" s="47"/>
      <c r="K32" s="47"/>
      <c r="L32" s="48"/>
      <c r="M32" s="48"/>
      <c r="N32" s="48"/>
      <c r="O32" s="49"/>
      <c r="P32" s="35"/>
      <c r="Q32" s="35"/>
      <c r="R32" s="35"/>
      <c r="S32" s="35">
        <f>+OTROS[[#This Row],[Avalúo Total 2025]]-OTROS[[#This Row],[Avalúo Diciembre 2024]]</f>
        <v>0</v>
      </c>
      <c r="T32" s="35">
        <f>+OTROS[[#This Row],[Avalúo Afecto Dic-2025]]-OTROS[[#This Row],[Avalúo Afecto Dic-2024]]</f>
        <v>0</v>
      </c>
      <c r="U32" s="35">
        <f>+OTROS[[#This Row],[Avalúo Exento Dic-2025]]-OTROS[[#This Row],[Avalúo Exento Dic-2024]]</f>
        <v>0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6"/>
      <c r="AP32" s="35"/>
      <c r="AQ32" s="35"/>
      <c r="AR32" s="35"/>
      <c r="AS32" s="37"/>
    </row>
    <row r="33" spans="1:45" x14ac:dyDescent="0.3">
      <c r="A33" s="65" t="s">
        <v>89</v>
      </c>
      <c r="B33" s="59" t="s">
        <v>80</v>
      </c>
      <c r="C33" s="57" t="s">
        <v>1212</v>
      </c>
      <c r="D33" s="42">
        <v>2255.6869999999999</v>
      </c>
      <c r="E33" s="56" t="s">
        <v>1189</v>
      </c>
      <c r="F33" s="64"/>
      <c r="G33" s="64"/>
      <c r="H33" s="64"/>
      <c r="I33" s="43"/>
      <c r="J33" s="43"/>
      <c r="K33" s="43"/>
      <c r="L33" s="44"/>
      <c r="M33" s="44"/>
      <c r="N33" s="44"/>
      <c r="O33" s="55"/>
      <c r="P33" s="31"/>
      <c r="Q33" s="31"/>
      <c r="R33" s="31"/>
      <c r="S33" s="31">
        <f>+OTROS[[#This Row],[Avalúo Total 2025]]-OTROS[[#This Row],[Avalúo Diciembre 2024]]</f>
        <v>0</v>
      </c>
      <c r="T33" s="31">
        <f>+OTROS[[#This Row],[Avalúo Afecto Dic-2025]]-OTROS[[#This Row],[Avalúo Afecto Dic-2024]]</f>
        <v>0</v>
      </c>
      <c r="U33" s="31">
        <f>+OTROS[[#This Row],[Avalúo Exento Dic-2025]]-OTROS[[#This Row],[Avalúo Exento Dic-2024]]</f>
        <v>0</v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2"/>
      <c r="AP33" s="31"/>
      <c r="AQ33" s="31"/>
      <c r="AR33" s="31"/>
      <c r="AS33" s="33"/>
    </row>
    <row r="34" spans="1:45" x14ac:dyDescent="0.3">
      <c r="A34" s="30" t="s">
        <v>89</v>
      </c>
      <c r="B34" s="31" t="s">
        <v>80</v>
      </c>
      <c r="C34" s="57" t="s">
        <v>1213</v>
      </c>
      <c r="D34" s="42">
        <v>5249.01</v>
      </c>
      <c r="E34" s="56" t="s">
        <v>1189</v>
      </c>
      <c r="F34" s="64"/>
      <c r="G34" s="64"/>
      <c r="H34" s="64"/>
      <c r="I34" s="43"/>
      <c r="J34" s="43"/>
      <c r="K34" s="43"/>
      <c r="L34" s="44"/>
      <c r="M34" s="44"/>
      <c r="N34" s="44"/>
      <c r="O34" s="55"/>
      <c r="P34" s="31"/>
      <c r="Q34" s="31"/>
      <c r="R34" s="31"/>
      <c r="S34" s="31">
        <f>+OTROS[[#This Row],[Avalúo Total 2025]]-OTROS[[#This Row],[Avalúo Diciembre 2024]]</f>
        <v>0</v>
      </c>
      <c r="T34" s="31">
        <f>+OTROS[[#This Row],[Avalúo Afecto Dic-2025]]-OTROS[[#This Row],[Avalúo Afecto Dic-2024]]</f>
        <v>0</v>
      </c>
      <c r="U34" s="31">
        <f>+OTROS[[#This Row],[Avalúo Exento Dic-2025]]-OTROS[[#This Row],[Avalúo Exento Dic-2024]]</f>
        <v>0</v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2"/>
      <c r="AP34" s="31"/>
      <c r="AQ34" s="31"/>
      <c r="AR34" s="31"/>
      <c r="AS34" s="33"/>
    </row>
    <row r="35" spans="1:45" x14ac:dyDescent="0.3">
      <c r="A35" s="66" t="s">
        <v>89</v>
      </c>
      <c r="B35" s="67" t="s">
        <v>80</v>
      </c>
      <c r="C35" s="75" t="s">
        <v>1214</v>
      </c>
      <c r="D35" s="46">
        <v>2188.252</v>
      </c>
      <c r="E35" s="51" t="s">
        <v>1189</v>
      </c>
      <c r="F35" s="62"/>
      <c r="G35" s="62"/>
      <c r="H35" s="62"/>
      <c r="I35" s="47"/>
      <c r="J35" s="47"/>
      <c r="K35" s="47"/>
      <c r="L35" s="48"/>
      <c r="M35" s="48"/>
      <c r="N35" s="48"/>
      <c r="O35" s="49"/>
      <c r="P35" s="35"/>
      <c r="Q35" s="35"/>
      <c r="R35" s="35"/>
      <c r="S35" s="35">
        <f>+OTROS[[#This Row],[Avalúo Total 2025]]-OTROS[[#This Row],[Avalúo Diciembre 2024]]</f>
        <v>0</v>
      </c>
      <c r="T35" s="35">
        <f>+OTROS[[#This Row],[Avalúo Afecto Dic-2025]]-OTROS[[#This Row],[Avalúo Afecto Dic-2024]]</f>
        <v>0</v>
      </c>
      <c r="U35" s="35">
        <f>+OTROS[[#This Row],[Avalúo Exento Dic-2025]]-OTROS[[#This Row],[Avalúo Exento Dic-2024]]</f>
        <v>0</v>
      </c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6"/>
      <c r="AP35" s="35"/>
      <c r="AQ35" s="35"/>
      <c r="AR35" s="35"/>
      <c r="AS35" s="37"/>
    </row>
    <row r="36" spans="1:45" x14ac:dyDescent="0.3">
      <c r="A36" s="34" t="s">
        <v>89</v>
      </c>
      <c r="B36" s="35" t="s">
        <v>80</v>
      </c>
      <c r="C36" s="35" t="s">
        <v>1215</v>
      </c>
      <c r="D36" s="46">
        <v>121044.88</v>
      </c>
      <c r="E36" s="74" t="s">
        <v>1182</v>
      </c>
      <c r="F36" s="62"/>
      <c r="G36" s="62"/>
      <c r="H36" s="62"/>
      <c r="I36" s="47"/>
      <c r="J36" s="47"/>
      <c r="K36" s="47"/>
      <c r="L36" s="48"/>
      <c r="M36" s="48"/>
      <c r="N36" s="48"/>
      <c r="O36" s="49"/>
      <c r="P36" s="35"/>
      <c r="Q36" s="35"/>
      <c r="R36" s="35"/>
      <c r="S36" s="35">
        <f>+OTROS[[#This Row],[Avalúo Total 2025]]-OTROS[[#This Row],[Avalúo Diciembre 2024]]</f>
        <v>0</v>
      </c>
      <c r="T36" s="35">
        <f>+OTROS[[#This Row],[Avalúo Afecto Dic-2025]]-OTROS[[#This Row],[Avalúo Afecto Dic-2024]]</f>
        <v>0</v>
      </c>
      <c r="U36" s="35">
        <f>+OTROS[[#This Row],[Avalúo Exento Dic-2025]]-OTROS[[#This Row],[Avalúo Exento Dic-2024]]</f>
        <v>0</v>
      </c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6"/>
      <c r="AP36" s="35"/>
      <c r="AQ36" s="35"/>
      <c r="AR36" s="35"/>
      <c r="AS36" s="37"/>
    </row>
    <row r="37" spans="1:45" x14ac:dyDescent="0.3">
      <c r="A37" s="34" t="s">
        <v>382</v>
      </c>
      <c r="B37" s="35" t="s">
        <v>80</v>
      </c>
      <c r="C37" s="35" t="s">
        <v>374</v>
      </c>
      <c r="D37" s="46">
        <v>154938.49</v>
      </c>
      <c r="E37" s="74" t="s">
        <v>1216</v>
      </c>
      <c r="F37" s="62"/>
      <c r="G37" s="62"/>
      <c r="H37" s="62"/>
      <c r="I37" s="47"/>
      <c r="J37" s="47"/>
      <c r="K37" s="47"/>
      <c r="L37" s="48"/>
      <c r="M37" s="48"/>
      <c r="N37" s="48"/>
      <c r="O37" s="49"/>
      <c r="P37" s="35"/>
      <c r="Q37" s="35"/>
      <c r="R37" s="35"/>
      <c r="S37" s="35">
        <f>+OTROS[[#This Row],[Avalúo Total 2025]]-OTROS[[#This Row],[Avalúo Diciembre 2024]]</f>
        <v>0</v>
      </c>
      <c r="T37" s="35">
        <f>+OTROS[[#This Row],[Avalúo Afecto Dic-2025]]-OTROS[[#This Row],[Avalúo Afecto Dic-2024]]</f>
        <v>0</v>
      </c>
      <c r="U37" s="35">
        <f>+OTROS[[#This Row],[Avalúo Exento Dic-2025]]-OTROS[[#This Row],[Avalúo Exento Dic-2024]]</f>
        <v>0</v>
      </c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6"/>
      <c r="AP37" s="35"/>
      <c r="AQ37" s="35"/>
      <c r="AR37" s="35"/>
      <c r="AS37" s="37"/>
    </row>
    <row r="38" spans="1:45" x14ac:dyDescent="0.3">
      <c r="A38" s="30" t="s">
        <v>1160</v>
      </c>
      <c r="B38" s="31" t="s">
        <v>383</v>
      </c>
      <c r="C38" s="80" t="s">
        <v>1161</v>
      </c>
      <c r="D38" s="42">
        <v>64474.400000000001</v>
      </c>
      <c r="E38" s="31" t="s">
        <v>1189</v>
      </c>
      <c r="F38" s="81"/>
      <c r="G38" s="81"/>
      <c r="H38" s="81"/>
      <c r="I38" s="43"/>
      <c r="J38" s="43"/>
      <c r="K38" s="43"/>
      <c r="L38" s="44"/>
      <c r="M38" s="44"/>
      <c r="N38" s="44"/>
      <c r="O38" s="55"/>
      <c r="P38" s="31"/>
      <c r="Q38" s="31"/>
      <c r="R38" s="31"/>
      <c r="S38" s="31">
        <f>+DISPONIBLES[[#This Row],[Avalúo Total 2025]]-DISPONIBLES[[#This Row],[Avalúo Total 2024]]</f>
        <v>-2172994797</v>
      </c>
      <c r="T38" s="31">
        <f>+DISPONIBLES[[#This Row],[Avalúo Afecto Dic-2025]]-DISPONIBLES[[#This Row],[Avalúo Afecto Dic-2024]]</f>
        <v>-2186711013</v>
      </c>
      <c r="U38" s="31">
        <f>+DISPONIBLES[[#This Row],[Avalúo Exento Dic-2025]]-DISPONIBLES[[#This Row],[Avalúo Exento Dic-2024]]</f>
        <v>13716216</v>
      </c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2"/>
      <c r="AP38" s="31"/>
      <c r="AQ38" s="31"/>
      <c r="AR38" s="31"/>
      <c r="AS38" s="33"/>
    </row>
    <row r="39" spans="1:45" x14ac:dyDescent="0.3">
      <c r="A39" s="30" t="s">
        <v>906</v>
      </c>
      <c r="B39" s="31" t="s">
        <v>383</v>
      </c>
      <c r="C39" s="80" t="s">
        <v>1217</v>
      </c>
      <c r="D39" s="42">
        <v>16695.8</v>
      </c>
      <c r="E39" s="31" t="s">
        <v>1189</v>
      </c>
      <c r="F39" s="82"/>
      <c r="G39" s="82"/>
      <c r="H39" s="82"/>
      <c r="I39" s="43"/>
      <c r="J39" s="43"/>
      <c r="K39" s="43"/>
      <c r="L39" s="44"/>
      <c r="M39" s="44"/>
      <c r="N39" s="44"/>
      <c r="O39" s="55"/>
      <c r="P39" s="31"/>
      <c r="Q39" s="31"/>
      <c r="R39" s="31"/>
      <c r="S39" s="31">
        <f>+DISPONIBLES[[#This Row],[Avalúo Total 2025]]-DISPONIBLES[[#This Row],[Avalúo Total 2024]]</f>
        <v>7962284</v>
      </c>
      <c r="T39" s="31">
        <f>+DISPONIBLES[[#This Row],[Avalúo Afecto Dic-2025]]-DISPONIBLES[[#This Row],[Avalúo Afecto Dic-2024]]</f>
        <v>7962284</v>
      </c>
      <c r="U39" s="31">
        <f>+DISPONIBLES[[#This Row],[Avalúo Exento Dic-2025]]-DISPONIBLES[[#This Row],[Avalúo Exento Dic-2024]]</f>
        <v>0</v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2"/>
      <c r="AP39" s="31"/>
      <c r="AQ39" s="31"/>
      <c r="AR39" s="31"/>
      <c r="AS39" s="33"/>
    </row>
    <row r="40" spans="1:45" x14ac:dyDescent="0.3">
      <c r="A40" s="30" t="s">
        <v>906</v>
      </c>
      <c r="B40" s="31" t="s">
        <v>383</v>
      </c>
      <c r="C40" s="80" t="s">
        <v>1218</v>
      </c>
      <c r="D40" s="42">
        <v>17855.900000000001</v>
      </c>
      <c r="E40" s="31" t="s">
        <v>1189</v>
      </c>
      <c r="F40" s="82"/>
      <c r="G40" s="82"/>
      <c r="H40" s="82"/>
      <c r="I40" s="43"/>
      <c r="J40" s="43"/>
      <c r="K40" s="43"/>
      <c r="L40" s="44"/>
      <c r="M40" s="44"/>
      <c r="N40" s="44"/>
      <c r="O40" s="55"/>
      <c r="P40" s="31"/>
      <c r="Q40" s="31"/>
      <c r="R40" s="31"/>
      <c r="S40" s="31">
        <f>+DISPONIBLES[[#This Row],[Avalúo Total 2025]]-DISPONIBLES[[#This Row],[Avalúo Total 2024]]</f>
        <v>6665683</v>
      </c>
      <c r="T40" s="31">
        <f>+DISPONIBLES[[#This Row],[Avalúo Afecto Dic-2025]]-DISPONIBLES[[#This Row],[Avalúo Afecto Dic-2024]]</f>
        <v>5422989</v>
      </c>
      <c r="U40" s="31">
        <f>+DISPONIBLES[[#This Row],[Avalúo Exento Dic-2025]]-DISPONIBLES[[#This Row],[Avalúo Exento Dic-2024]]</f>
        <v>1242694</v>
      </c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2"/>
      <c r="AP40" s="31"/>
      <c r="AQ40" s="31"/>
      <c r="AR40" s="31"/>
      <c r="AS40" s="33"/>
    </row>
    <row r="41" spans="1:45" x14ac:dyDescent="0.3">
      <c r="A41" s="30" t="s">
        <v>906</v>
      </c>
      <c r="B41" s="31" t="s">
        <v>383</v>
      </c>
      <c r="C41" s="80" t="s">
        <v>1219</v>
      </c>
      <c r="D41" s="42">
        <v>17260.61</v>
      </c>
      <c r="E41" s="31" t="s">
        <v>1189</v>
      </c>
      <c r="F41" s="82"/>
      <c r="G41" s="82"/>
      <c r="H41" s="82"/>
      <c r="I41" s="43"/>
      <c r="J41" s="43"/>
      <c r="K41" s="43"/>
      <c r="L41" s="44"/>
      <c r="M41" s="44"/>
      <c r="N41" s="44"/>
      <c r="O41" s="55"/>
      <c r="P41" s="31"/>
      <c r="Q41" s="31"/>
      <c r="R41" s="31"/>
      <c r="S41" s="31">
        <f>+DISPONIBLES[[#This Row],[Avalúo Total 2025]]-DISPONIBLES[[#This Row],[Avalúo Total 2024]]</f>
        <v>160397782</v>
      </c>
      <c r="T41" s="31">
        <f>+DISPONIBLES[[#This Row],[Avalúo Afecto Dic-2025]]-DISPONIBLES[[#This Row],[Avalúo Afecto Dic-2024]]</f>
        <v>160397782</v>
      </c>
      <c r="U41" s="31">
        <f>+DISPONIBLES[[#This Row],[Avalúo Exento Dic-2025]]-DISPONIBLES[[#This Row],[Avalúo Exento Dic-2024]]</f>
        <v>0</v>
      </c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2"/>
      <c r="AP41" s="31"/>
      <c r="AQ41" s="31"/>
      <c r="AR41" s="31"/>
      <c r="AS41" s="33"/>
    </row>
    <row r="42" spans="1:45" x14ac:dyDescent="0.3">
      <c r="A42" s="30" t="s">
        <v>906</v>
      </c>
      <c r="B42" s="31" t="s">
        <v>383</v>
      </c>
      <c r="C42" s="80" t="s">
        <v>1220</v>
      </c>
      <c r="D42" s="42">
        <v>14955.29</v>
      </c>
      <c r="E42" s="31" t="s">
        <v>1189</v>
      </c>
      <c r="F42" s="82"/>
      <c r="G42" s="82"/>
      <c r="H42" s="82"/>
      <c r="I42" s="43"/>
      <c r="J42" s="43"/>
      <c r="K42" s="43"/>
      <c r="L42" s="44"/>
      <c r="M42" s="44"/>
      <c r="N42" s="44"/>
      <c r="O42" s="55"/>
      <c r="P42" s="31"/>
      <c r="Q42" s="31"/>
      <c r="R42" s="31"/>
      <c r="S42" s="31">
        <f>+DISPONIBLES[[#This Row],[Avalúo Total 2025]]-DISPONIBLES[[#This Row],[Avalúo Total 2024]]</f>
        <v>66428218</v>
      </c>
      <c r="T42" s="31">
        <f>+DISPONIBLES[[#This Row],[Avalúo Afecto Dic-2025]]-DISPONIBLES[[#This Row],[Avalúo Afecto Dic-2024]]</f>
        <v>-113549014</v>
      </c>
      <c r="U42" s="31">
        <f>+DISPONIBLES[[#This Row],[Avalúo Exento Dic-2025]]-DISPONIBLES[[#This Row],[Avalúo Exento Dic-2024]]</f>
        <v>179977232</v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2"/>
      <c r="AP42" s="31"/>
      <c r="AQ42" s="31"/>
      <c r="AR42" s="31"/>
      <c r="AS42" s="33"/>
    </row>
    <row r="43" spans="1:45" x14ac:dyDescent="0.3">
      <c r="A43" s="30" t="s">
        <v>906</v>
      </c>
      <c r="B43" s="31" t="s">
        <v>383</v>
      </c>
      <c r="C43" s="80" t="s">
        <v>1221</v>
      </c>
      <c r="D43" s="42">
        <v>13977.95</v>
      </c>
      <c r="E43" s="31" t="s">
        <v>1189</v>
      </c>
      <c r="F43" s="82"/>
      <c r="G43" s="82"/>
      <c r="H43" s="82"/>
      <c r="I43" s="43"/>
      <c r="J43" s="43"/>
      <c r="K43" s="43"/>
      <c r="L43" s="44"/>
      <c r="M43" s="44"/>
      <c r="N43" s="44"/>
      <c r="O43" s="55"/>
      <c r="P43" s="31"/>
      <c r="Q43" s="31"/>
      <c r="R43" s="31"/>
      <c r="S43" s="31">
        <f>+DISPONIBLES[[#This Row],[Avalúo Total 2025]]-DISPONIBLES[[#This Row],[Avalúo Total 2024]]</f>
        <v>-1858584810</v>
      </c>
      <c r="T43" s="31">
        <f>+DISPONIBLES[[#This Row],[Avalúo Afecto Dic-2025]]-DISPONIBLES[[#This Row],[Avalúo Afecto Dic-2024]]</f>
        <v>-1493150672</v>
      </c>
      <c r="U43" s="31">
        <f>+DISPONIBLES[[#This Row],[Avalúo Exento Dic-2025]]-DISPONIBLES[[#This Row],[Avalúo Exento Dic-2024]]</f>
        <v>-365434138</v>
      </c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2"/>
      <c r="AP43" s="31"/>
      <c r="AQ43" s="31"/>
      <c r="AR43" s="31"/>
      <c r="AS43" s="33"/>
    </row>
    <row r="44" spans="1:45" x14ac:dyDescent="0.3">
      <c r="A44" s="30" t="s">
        <v>906</v>
      </c>
      <c r="B44" s="31" t="s">
        <v>383</v>
      </c>
      <c r="C44" s="80" t="s">
        <v>1222</v>
      </c>
      <c r="D44" s="42">
        <v>14504.81</v>
      </c>
      <c r="E44" s="31" t="s">
        <v>1189</v>
      </c>
      <c r="F44" s="82"/>
      <c r="G44" s="82"/>
      <c r="H44" s="82"/>
      <c r="I44" s="43"/>
      <c r="J44" s="43"/>
      <c r="K44" s="43"/>
      <c r="L44" s="44"/>
      <c r="M44" s="44"/>
      <c r="N44" s="44"/>
      <c r="O44" s="55"/>
      <c r="P44" s="31"/>
      <c r="Q44" s="31"/>
      <c r="R44" s="31"/>
      <c r="S44" s="31">
        <f>+DISPONIBLES[[#This Row],[Avalúo Total 2025]]-DISPONIBLES[[#This Row],[Avalúo Total 2024]]</f>
        <v>33366555</v>
      </c>
      <c r="T44" s="31">
        <f>+DISPONIBLES[[#This Row],[Avalúo Afecto Dic-2025]]-DISPONIBLES[[#This Row],[Avalúo Afecto Dic-2024]]</f>
        <v>33366555</v>
      </c>
      <c r="U44" s="31">
        <f>+DISPONIBLES[[#This Row],[Avalúo Exento Dic-2025]]-DISPONIBLES[[#This Row],[Avalúo Exento Dic-2024]]</f>
        <v>0</v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2"/>
      <c r="AP44" s="31"/>
      <c r="AQ44" s="31"/>
      <c r="AR44" s="31"/>
      <c r="AS44" s="33"/>
    </row>
    <row r="45" spans="1:45" x14ac:dyDescent="0.3">
      <c r="A45" s="30" t="s">
        <v>906</v>
      </c>
      <c r="B45" s="31" t="s">
        <v>383</v>
      </c>
      <c r="C45" s="80" t="s">
        <v>1223</v>
      </c>
      <c r="D45" s="42">
        <v>51704.22</v>
      </c>
      <c r="E45" s="31" t="s">
        <v>1189</v>
      </c>
      <c r="F45" s="82"/>
      <c r="G45" s="82"/>
      <c r="H45" s="82"/>
      <c r="I45" s="43"/>
      <c r="J45" s="43"/>
      <c r="K45" s="43"/>
      <c r="L45" s="44"/>
      <c r="M45" s="44"/>
      <c r="N45" s="44"/>
      <c r="O45" s="55"/>
      <c r="P45" s="31"/>
      <c r="Q45" s="31"/>
      <c r="R45" s="31"/>
      <c r="S45" s="31">
        <f>+DISPONIBLES[[#This Row],[Avalúo Total 2025]]-DISPONIBLES[[#This Row],[Avalúo Total 2024]]</f>
        <v>7357276</v>
      </c>
      <c r="T45" s="31">
        <f>+DISPONIBLES[[#This Row],[Avalúo Afecto Dic-2025]]-DISPONIBLES[[#This Row],[Avalúo Afecto Dic-2024]]</f>
        <v>7357276</v>
      </c>
      <c r="U45" s="31">
        <f>+DISPONIBLES[[#This Row],[Avalúo Exento Dic-2025]]-DISPONIBLES[[#This Row],[Avalúo Exento Dic-2024]]</f>
        <v>0</v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2"/>
      <c r="AP45" s="31"/>
      <c r="AQ45" s="31"/>
      <c r="AR45" s="31"/>
      <c r="AS45" s="33"/>
    </row>
    <row r="46" spans="1:45" x14ac:dyDescent="0.3">
      <c r="A46" s="30" t="s">
        <v>906</v>
      </c>
      <c r="B46" s="31" t="s">
        <v>383</v>
      </c>
      <c r="C46" s="80" t="s">
        <v>1224</v>
      </c>
      <c r="D46" s="42">
        <v>22346.32</v>
      </c>
      <c r="E46" s="31" t="s">
        <v>1189</v>
      </c>
      <c r="F46" s="82"/>
      <c r="G46" s="82"/>
      <c r="H46" s="82"/>
      <c r="I46" s="43"/>
      <c r="J46" s="43"/>
      <c r="K46" s="43"/>
      <c r="L46" s="44"/>
      <c r="M46" s="44"/>
      <c r="N46" s="44"/>
      <c r="O46" s="55"/>
      <c r="P46" s="31"/>
      <c r="Q46" s="31"/>
      <c r="R46" s="31"/>
      <c r="S46" s="31">
        <f>+DISPONIBLES[[#This Row],[Avalúo Total 2025]]-DISPONIBLES[[#This Row],[Avalúo Total 2024]]</f>
        <v>2560246</v>
      </c>
      <c r="T46" s="31">
        <f>+DISPONIBLES[[#This Row],[Avalúo Afecto Dic-2025]]-DISPONIBLES[[#This Row],[Avalúo Afecto Dic-2024]]</f>
        <v>2348956</v>
      </c>
      <c r="U46" s="31">
        <f>+DISPONIBLES[[#This Row],[Avalúo Exento Dic-2025]]-DISPONIBLES[[#This Row],[Avalúo Exento Dic-2024]]</f>
        <v>211290</v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2"/>
      <c r="AP46" s="31"/>
      <c r="AQ46" s="31"/>
      <c r="AR46" s="31"/>
      <c r="AS46" s="33"/>
    </row>
    <row r="47" spans="1:45" x14ac:dyDescent="0.3">
      <c r="A47" s="30" t="s">
        <v>906</v>
      </c>
      <c r="B47" s="31" t="s">
        <v>383</v>
      </c>
      <c r="C47" s="80" t="s">
        <v>1225</v>
      </c>
      <c r="D47" s="42">
        <v>21178.02</v>
      </c>
      <c r="E47" s="31" t="s">
        <v>1189</v>
      </c>
      <c r="F47" s="82"/>
      <c r="G47" s="82"/>
      <c r="H47" s="82"/>
      <c r="I47" s="43"/>
      <c r="J47" s="43"/>
      <c r="K47" s="43"/>
      <c r="L47" s="44"/>
      <c r="M47" s="44"/>
      <c r="N47" s="44"/>
      <c r="O47" s="55"/>
      <c r="P47" s="31"/>
      <c r="Q47" s="31"/>
      <c r="R47" s="31"/>
      <c r="S47" s="31">
        <f>+DISPONIBLES[[#This Row],[Avalúo Total 2025]]-DISPONIBLES[[#This Row],[Avalúo Total 2024]]</f>
        <v>2641043</v>
      </c>
      <c r="T47" s="31">
        <f>+DISPONIBLES[[#This Row],[Avalúo Afecto Dic-2025]]-DISPONIBLES[[#This Row],[Avalúo Afecto Dic-2024]]</f>
        <v>2334456</v>
      </c>
      <c r="U47" s="31">
        <f>+DISPONIBLES[[#This Row],[Avalúo Exento Dic-2025]]-DISPONIBLES[[#This Row],[Avalúo Exento Dic-2024]]</f>
        <v>306587</v>
      </c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2"/>
      <c r="AP47" s="31"/>
      <c r="AQ47" s="31"/>
      <c r="AR47" s="31"/>
      <c r="AS47" s="33"/>
    </row>
    <row r="48" spans="1:45" x14ac:dyDescent="0.3">
      <c r="A48" s="30" t="s">
        <v>906</v>
      </c>
      <c r="B48" s="31" t="s">
        <v>383</v>
      </c>
      <c r="C48" s="80" t="s">
        <v>1226</v>
      </c>
      <c r="D48" s="42">
        <v>19579.12</v>
      </c>
      <c r="E48" s="31" t="s">
        <v>1189</v>
      </c>
      <c r="F48" s="82"/>
      <c r="G48" s="82"/>
      <c r="H48" s="82"/>
      <c r="I48" s="43"/>
      <c r="J48" s="43"/>
      <c r="K48" s="43"/>
      <c r="L48" s="44"/>
      <c r="M48" s="44"/>
      <c r="N48" s="44"/>
      <c r="O48" s="55"/>
      <c r="P48" s="31"/>
      <c r="Q48" s="31"/>
      <c r="R48" s="31"/>
      <c r="S48" s="31">
        <f>+DISPONIBLES[[#This Row],[Avalúo Total 2025]]-DISPONIBLES[[#This Row],[Avalúo Total 2024]]</f>
        <v>7224068</v>
      </c>
      <c r="T48" s="31">
        <f>+DISPONIBLES[[#This Row],[Avalúo Afecto Dic-2025]]-DISPONIBLES[[#This Row],[Avalúo Afecto Dic-2024]]</f>
        <v>7224068</v>
      </c>
      <c r="U48" s="31">
        <f>+DISPONIBLES[[#This Row],[Avalúo Exento Dic-2025]]-DISPONIBLES[[#This Row],[Avalúo Exento Dic-2024]]</f>
        <v>0</v>
      </c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2"/>
      <c r="AP48" s="31"/>
      <c r="AQ48" s="31"/>
      <c r="AR48" s="31"/>
      <c r="AS48" s="33"/>
    </row>
    <row r="49" spans="1:45" x14ac:dyDescent="0.3">
      <c r="A49" s="30" t="s">
        <v>906</v>
      </c>
      <c r="B49" s="31" t="s">
        <v>383</v>
      </c>
      <c r="C49" s="80" t="s">
        <v>1227</v>
      </c>
      <c r="D49" s="42">
        <v>20352.68</v>
      </c>
      <c r="E49" s="31" t="s">
        <v>1189</v>
      </c>
      <c r="F49" s="82"/>
      <c r="G49" s="82"/>
      <c r="H49" s="82"/>
      <c r="I49" s="43"/>
      <c r="J49" s="43"/>
      <c r="K49" s="43"/>
      <c r="L49" s="44"/>
      <c r="M49" s="44"/>
      <c r="N49" s="44"/>
      <c r="O49" s="55"/>
      <c r="P49" s="31"/>
      <c r="Q49" s="31"/>
      <c r="R49" s="31"/>
      <c r="S49" s="31">
        <f>+DISPONIBLES[[#This Row],[Avalúo Total 2025]]-DISPONIBLES[[#This Row],[Avalúo Total 2024]]</f>
        <v>27053599</v>
      </c>
      <c r="T49" s="31">
        <f>+DISPONIBLES[[#This Row],[Avalúo Afecto Dic-2025]]-DISPONIBLES[[#This Row],[Avalúo Afecto Dic-2024]]</f>
        <v>27053599</v>
      </c>
      <c r="U49" s="31">
        <f>+DISPONIBLES[[#This Row],[Avalúo Exento Dic-2025]]-DISPONIBLES[[#This Row],[Avalúo Exento Dic-2024]]</f>
        <v>0</v>
      </c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2"/>
      <c r="AP49" s="31"/>
      <c r="AQ49" s="31"/>
      <c r="AR49" s="31"/>
      <c r="AS49" s="33"/>
    </row>
    <row r="50" spans="1:45" x14ac:dyDescent="0.3">
      <c r="A50" s="30" t="s">
        <v>906</v>
      </c>
      <c r="B50" s="31" t="s">
        <v>383</v>
      </c>
      <c r="C50" s="80" t="s">
        <v>1228</v>
      </c>
      <c r="D50" s="42">
        <v>14224.92</v>
      </c>
      <c r="E50" s="31" t="s">
        <v>1189</v>
      </c>
      <c r="F50" s="82"/>
      <c r="G50" s="82"/>
      <c r="H50" s="82"/>
      <c r="I50" s="43"/>
      <c r="J50" s="43"/>
      <c r="K50" s="43"/>
      <c r="L50" s="44"/>
      <c r="M50" s="44"/>
      <c r="N50" s="44"/>
      <c r="O50" s="55"/>
      <c r="P50" s="31"/>
      <c r="Q50" s="31"/>
      <c r="R50" s="31"/>
      <c r="S50" s="31">
        <f>+DISPONIBLES[[#This Row],[Avalúo Total 2025]]-DISPONIBLES[[#This Row],[Avalúo Total 2024]]</f>
        <v>11516351</v>
      </c>
      <c r="T50" s="31">
        <f>+DISPONIBLES[[#This Row],[Avalúo Afecto Dic-2025]]-DISPONIBLES[[#This Row],[Avalúo Afecto Dic-2024]]</f>
        <v>11516351</v>
      </c>
      <c r="U50" s="31">
        <f>+DISPONIBLES[[#This Row],[Avalúo Exento Dic-2025]]-DISPONIBLES[[#This Row],[Avalúo Exento Dic-2024]]</f>
        <v>0</v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2"/>
      <c r="AP50" s="31"/>
      <c r="AQ50" s="31"/>
      <c r="AR50" s="31"/>
      <c r="AS50" s="33"/>
    </row>
    <row r="51" spans="1:45" x14ac:dyDescent="0.3">
      <c r="A51" s="30" t="s">
        <v>906</v>
      </c>
      <c r="B51" s="31" t="s">
        <v>383</v>
      </c>
      <c r="C51" s="80" t="s">
        <v>1229</v>
      </c>
      <c r="D51" s="42">
        <v>16713.89</v>
      </c>
      <c r="E51" s="31" t="s">
        <v>1189</v>
      </c>
      <c r="F51" s="82"/>
      <c r="G51" s="82"/>
      <c r="H51" s="82"/>
      <c r="I51" s="43"/>
      <c r="J51" s="43"/>
      <c r="K51" s="43"/>
      <c r="L51" s="44"/>
      <c r="M51" s="44"/>
      <c r="N51" s="44"/>
      <c r="O51" s="55"/>
      <c r="P51" s="31"/>
      <c r="Q51" s="31"/>
      <c r="R51" s="31"/>
      <c r="S51" s="31">
        <f>+DISPONIBLES[[#This Row],[Avalúo Total 2025]]-DISPONIBLES[[#This Row],[Avalúo Total 2024]]</f>
        <v>0</v>
      </c>
      <c r="T51" s="31">
        <f>+DISPONIBLES[[#This Row],[Avalúo Afecto Dic-2025]]-DISPONIBLES[[#This Row],[Avalúo Afecto Dic-2024]]</f>
        <v>0</v>
      </c>
      <c r="U51" s="31">
        <f>+DISPONIBLES[[#This Row],[Avalúo Exento Dic-2025]]-DISPONIBLES[[#This Row],[Avalúo Exento Dic-2024]]</f>
        <v>0</v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2"/>
      <c r="AP51" s="31"/>
      <c r="AQ51" s="31"/>
      <c r="AR51" s="31"/>
      <c r="AS51" s="33"/>
    </row>
    <row r="52" spans="1:45" x14ac:dyDescent="0.3">
      <c r="A52" s="30" t="s">
        <v>906</v>
      </c>
      <c r="B52" s="31" t="s">
        <v>383</v>
      </c>
      <c r="C52" s="80" t="s">
        <v>1230</v>
      </c>
      <c r="D52" s="42">
        <v>15874.55</v>
      </c>
      <c r="E52" s="31" t="s">
        <v>1189</v>
      </c>
      <c r="F52" s="82"/>
      <c r="G52" s="82"/>
      <c r="H52" s="82"/>
      <c r="I52" s="43"/>
      <c r="J52" s="43"/>
      <c r="K52" s="43"/>
      <c r="L52" s="44"/>
      <c r="M52" s="44"/>
      <c r="N52" s="44"/>
      <c r="O52" s="55"/>
      <c r="P52" s="31"/>
      <c r="Q52" s="31"/>
      <c r="R52" s="31"/>
      <c r="S52" s="31">
        <f>+DISPONIBLES[[#This Row],[Avalúo Total 2025]]-DISPONIBLES[[#This Row],[Avalúo Total 2024]]</f>
        <v>3122721</v>
      </c>
      <c r="T52" s="31">
        <f>+DISPONIBLES[[#This Row],[Avalúo Afecto Dic-2025]]-DISPONIBLES[[#This Row],[Avalúo Afecto Dic-2024]]</f>
        <v>3122721</v>
      </c>
      <c r="U52" s="31">
        <f>+DISPONIBLES[[#This Row],[Avalúo Exento Dic-2025]]-DISPONIBLES[[#This Row],[Avalúo Exento Dic-2024]]</f>
        <v>0</v>
      </c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2"/>
      <c r="AP52" s="31"/>
      <c r="AQ52" s="31"/>
      <c r="AR52" s="31"/>
      <c r="AS52" s="33"/>
    </row>
    <row r="53" spans="1:45" x14ac:dyDescent="0.3">
      <c r="A53" s="30" t="s">
        <v>906</v>
      </c>
      <c r="B53" s="31" t="s">
        <v>383</v>
      </c>
      <c r="C53" s="80" t="s">
        <v>1231</v>
      </c>
      <c r="D53" s="42">
        <v>24987.59</v>
      </c>
      <c r="E53" s="31" t="s">
        <v>1189</v>
      </c>
      <c r="F53" s="82"/>
      <c r="G53" s="82"/>
      <c r="H53" s="82"/>
      <c r="I53" s="43"/>
      <c r="J53" s="43"/>
      <c r="K53" s="43"/>
      <c r="L53" s="44"/>
      <c r="M53" s="44"/>
      <c r="N53" s="44"/>
      <c r="O53" s="55"/>
      <c r="P53" s="31"/>
      <c r="Q53" s="31"/>
      <c r="R53" s="31"/>
      <c r="S53" s="31">
        <f>+DISPONIBLES[[#This Row],[Avalúo Total 2025]]-DISPONIBLES[[#This Row],[Avalúo Total 2024]]</f>
        <v>873767118</v>
      </c>
      <c r="T53" s="31">
        <f>+DISPONIBLES[[#This Row],[Avalúo Afecto Dic-2025]]-DISPONIBLES[[#This Row],[Avalúo Afecto Dic-2024]]</f>
        <v>873767118</v>
      </c>
      <c r="U53" s="31">
        <f>+DISPONIBLES[[#This Row],[Avalúo Exento Dic-2025]]-DISPONIBLES[[#This Row],[Avalúo Exento Dic-2024]]</f>
        <v>0</v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2"/>
      <c r="AP53" s="31"/>
      <c r="AQ53" s="31"/>
      <c r="AR53" s="31"/>
      <c r="AS53" s="33"/>
    </row>
    <row r="54" spans="1:45" x14ac:dyDescent="0.3">
      <c r="A54" s="30" t="s">
        <v>906</v>
      </c>
      <c r="B54" s="31" t="s">
        <v>383</v>
      </c>
      <c r="C54" s="80" t="s">
        <v>1232</v>
      </c>
      <c r="D54" s="42">
        <v>20823.98</v>
      </c>
      <c r="E54" s="31" t="s">
        <v>1189</v>
      </c>
      <c r="F54" s="82"/>
      <c r="G54" s="82"/>
      <c r="H54" s="82"/>
      <c r="I54" s="43"/>
      <c r="J54" s="43"/>
      <c r="K54" s="43"/>
      <c r="L54" s="44"/>
      <c r="M54" s="44"/>
      <c r="N54" s="44"/>
      <c r="O54" s="55"/>
      <c r="P54" s="31"/>
      <c r="Q54" s="31"/>
      <c r="R54" s="31"/>
      <c r="S54" s="31">
        <f>+DISPONIBLES[[#This Row],[Avalúo Total 2025]]-DISPONIBLES[[#This Row],[Avalúo Total 2024]]</f>
        <v>-169932667</v>
      </c>
      <c r="T54" s="31">
        <f>+DISPONIBLES[[#This Row],[Avalúo Afecto Dic-2025]]-DISPONIBLES[[#This Row],[Avalúo Afecto Dic-2024]]</f>
        <v>-169932667</v>
      </c>
      <c r="U54" s="31">
        <f>+DISPONIBLES[[#This Row],[Avalúo Exento Dic-2025]]-DISPONIBLES[[#This Row],[Avalúo Exento Dic-2024]]</f>
        <v>0</v>
      </c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2"/>
      <c r="AP54" s="31"/>
      <c r="AQ54" s="31"/>
      <c r="AR54" s="31"/>
      <c r="AS54" s="33"/>
    </row>
    <row r="55" spans="1:45" x14ac:dyDescent="0.3">
      <c r="A55" s="30" t="s">
        <v>906</v>
      </c>
      <c r="B55" s="31" t="s">
        <v>383</v>
      </c>
      <c r="C55" s="80" t="s">
        <v>1233</v>
      </c>
      <c r="D55" s="42">
        <v>19459.61</v>
      </c>
      <c r="E55" s="31" t="s">
        <v>1189</v>
      </c>
      <c r="F55" s="82"/>
      <c r="G55" s="82"/>
      <c r="H55" s="82"/>
      <c r="I55" s="43"/>
      <c r="J55" s="43"/>
      <c r="K55" s="43"/>
      <c r="L55" s="44"/>
      <c r="M55" s="44"/>
      <c r="N55" s="44"/>
      <c r="O55" s="55"/>
      <c r="P55" s="31"/>
      <c r="Q55" s="31"/>
      <c r="R55" s="31"/>
      <c r="S55" s="31">
        <f>+DISPONIBLES[[#This Row],[Avalúo Total 2025]]-DISPONIBLES[[#This Row],[Avalúo Total 2024]]</f>
        <v>44727300</v>
      </c>
      <c r="T55" s="31">
        <f>+DISPONIBLES[[#This Row],[Avalúo Afecto Dic-2025]]-DISPONIBLES[[#This Row],[Avalúo Afecto Dic-2024]]</f>
        <v>0</v>
      </c>
      <c r="U55" s="31">
        <f>+DISPONIBLES[[#This Row],[Avalúo Exento Dic-2025]]-DISPONIBLES[[#This Row],[Avalúo Exento Dic-2024]]</f>
        <v>44727300</v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2"/>
      <c r="AP55" s="31"/>
      <c r="AQ55" s="31"/>
      <c r="AR55" s="31"/>
      <c r="AS55" s="33"/>
    </row>
    <row r="56" spans="1:45" x14ac:dyDescent="0.3">
      <c r="A56" s="30" t="s">
        <v>906</v>
      </c>
      <c r="B56" s="31" t="s">
        <v>383</v>
      </c>
      <c r="C56" s="80" t="s">
        <v>1234</v>
      </c>
      <c r="D56" s="42">
        <v>30221.06</v>
      </c>
      <c r="E56" s="31" t="s">
        <v>1189</v>
      </c>
      <c r="F56" s="82"/>
      <c r="G56" s="82"/>
      <c r="H56" s="82"/>
      <c r="I56" s="43"/>
      <c r="J56" s="43"/>
      <c r="K56" s="43"/>
      <c r="L56" s="44"/>
      <c r="M56" s="44"/>
      <c r="N56" s="44"/>
      <c r="O56" s="55"/>
      <c r="P56" s="31"/>
      <c r="Q56" s="31"/>
      <c r="R56" s="31"/>
      <c r="S56" s="31">
        <f>+DISPONIBLES[[#This Row],[Avalúo Total 2025]]-DISPONIBLES[[#This Row],[Avalúo Total 2024]]</f>
        <v>1044267</v>
      </c>
      <c r="T56" s="31">
        <f>+DISPONIBLES[[#This Row],[Avalúo Afecto Dic-2025]]-DISPONIBLES[[#This Row],[Avalúo Afecto Dic-2024]]</f>
        <v>1044267</v>
      </c>
      <c r="U56" s="31">
        <f>+DISPONIBLES[[#This Row],[Avalúo Exento Dic-2025]]-DISPONIBLES[[#This Row],[Avalúo Exento Dic-2024]]</f>
        <v>0</v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2"/>
      <c r="AP56" s="31"/>
      <c r="AQ56" s="31"/>
      <c r="AR56" s="31"/>
      <c r="AS56" s="33"/>
    </row>
    <row r="57" spans="1:45" x14ac:dyDescent="0.3">
      <c r="A57" s="30" t="s">
        <v>906</v>
      </c>
      <c r="B57" s="31" t="s">
        <v>383</v>
      </c>
      <c r="C57" s="80" t="s">
        <v>1235</v>
      </c>
      <c r="D57" s="42">
        <v>33701.25</v>
      </c>
      <c r="E57" s="31" t="s">
        <v>1189</v>
      </c>
      <c r="F57" s="82"/>
      <c r="G57" s="82"/>
      <c r="H57" s="82"/>
      <c r="I57" s="43"/>
      <c r="J57" s="43"/>
      <c r="K57" s="43"/>
      <c r="L57" s="44"/>
      <c r="M57" s="44"/>
      <c r="N57" s="44"/>
      <c r="O57" s="55"/>
      <c r="P57" s="31"/>
      <c r="Q57" s="31"/>
      <c r="R57" s="31"/>
      <c r="S57" s="31">
        <f>+DISPONIBLES[[#This Row],[Avalúo Total 2025]]-DISPONIBLES[[#This Row],[Avalúo Total 2024]]</f>
        <v>1048279</v>
      </c>
      <c r="T57" s="31">
        <f>+DISPONIBLES[[#This Row],[Avalúo Afecto Dic-2025]]-DISPONIBLES[[#This Row],[Avalúo Afecto Dic-2024]]</f>
        <v>1048279</v>
      </c>
      <c r="U57" s="31">
        <f>+DISPONIBLES[[#This Row],[Avalúo Exento Dic-2025]]-DISPONIBLES[[#This Row],[Avalúo Exento Dic-2024]]</f>
        <v>0</v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2"/>
      <c r="AP57" s="31"/>
      <c r="AQ57" s="31"/>
      <c r="AR57" s="31"/>
      <c r="AS57" s="33"/>
    </row>
    <row r="58" spans="1:45" x14ac:dyDescent="0.3">
      <c r="A58" s="30" t="s">
        <v>906</v>
      </c>
      <c r="B58" s="31" t="s">
        <v>383</v>
      </c>
      <c r="C58" s="80" t="s">
        <v>1236</v>
      </c>
      <c r="D58" s="42">
        <v>34121.15</v>
      </c>
      <c r="E58" s="31" t="s">
        <v>1189</v>
      </c>
      <c r="F58" s="82"/>
      <c r="G58" s="82"/>
      <c r="H58" s="82"/>
      <c r="I58" s="43"/>
      <c r="J58" s="43"/>
      <c r="K58" s="43"/>
      <c r="L58" s="44"/>
      <c r="M58" s="44"/>
      <c r="N58" s="44"/>
      <c r="O58" s="55"/>
      <c r="P58" s="31"/>
      <c r="Q58" s="31"/>
      <c r="R58" s="31"/>
      <c r="S58" s="31">
        <f>+DISPONIBLES[[#This Row],[Avalúo Total 2025]]-DISPONIBLES[[#This Row],[Avalúo Total 2024]]</f>
        <v>1053024</v>
      </c>
      <c r="T58" s="31">
        <f>+DISPONIBLES[[#This Row],[Avalúo Afecto Dic-2025]]-DISPONIBLES[[#This Row],[Avalúo Afecto Dic-2024]]</f>
        <v>1053024</v>
      </c>
      <c r="U58" s="31">
        <f>+DISPONIBLES[[#This Row],[Avalúo Exento Dic-2025]]-DISPONIBLES[[#This Row],[Avalúo Exento Dic-2024]]</f>
        <v>0</v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2"/>
      <c r="AP58" s="31"/>
      <c r="AQ58" s="31"/>
      <c r="AR58" s="31"/>
      <c r="AS58" s="33"/>
    </row>
    <row r="59" spans="1:45" x14ac:dyDescent="0.3">
      <c r="A59" s="30" t="s">
        <v>906</v>
      </c>
      <c r="B59" s="31" t="s">
        <v>383</v>
      </c>
      <c r="C59" s="80" t="s">
        <v>1237</v>
      </c>
      <c r="D59" s="42">
        <v>23972.31</v>
      </c>
      <c r="E59" s="31" t="s">
        <v>1189</v>
      </c>
      <c r="F59" s="82"/>
      <c r="G59" s="82"/>
      <c r="H59" s="82"/>
      <c r="I59" s="43"/>
      <c r="J59" s="43"/>
      <c r="K59" s="43"/>
      <c r="L59" s="44"/>
      <c r="M59" s="44"/>
      <c r="N59" s="44"/>
      <c r="O59" s="55"/>
      <c r="P59" s="31"/>
      <c r="Q59" s="31"/>
      <c r="R59" s="31"/>
      <c r="S59" s="31">
        <f>+DISPONIBLES[[#This Row],[Avalúo Total 2025]]-DISPONIBLES[[#This Row],[Avalúo Total 2024]]</f>
        <v>1055762</v>
      </c>
      <c r="T59" s="31">
        <f>+DISPONIBLES[[#This Row],[Avalúo Afecto Dic-2025]]-DISPONIBLES[[#This Row],[Avalúo Afecto Dic-2024]]</f>
        <v>1055762</v>
      </c>
      <c r="U59" s="31">
        <f>+DISPONIBLES[[#This Row],[Avalúo Exento Dic-2025]]-DISPONIBLES[[#This Row],[Avalúo Exento Dic-2024]]</f>
        <v>0</v>
      </c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2"/>
      <c r="AP59" s="31"/>
      <c r="AQ59" s="31"/>
      <c r="AR59" s="31"/>
      <c r="AS59" s="33"/>
    </row>
    <row r="60" spans="1:45" x14ac:dyDescent="0.3">
      <c r="A60" s="30" t="s">
        <v>906</v>
      </c>
      <c r="B60" s="31" t="s">
        <v>383</v>
      </c>
      <c r="C60" s="80" t="s">
        <v>1238</v>
      </c>
      <c r="D60" s="42">
        <v>14612.98</v>
      </c>
      <c r="E60" s="31" t="s">
        <v>1189</v>
      </c>
      <c r="F60" s="82"/>
      <c r="G60" s="82"/>
      <c r="H60" s="82"/>
      <c r="I60" s="43"/>
      <c r="J60" s="43"/>
      <c r="K60" s="43"/>
      <c r="L60" s="44"/>
      <c r="M60" s="44"/>
      <c r="N60" s="44"/>
      <c r="O60" s="55"/>
      <c r="P60" s="31"/>
      <c r="Q60" s="31"/>
      <c r="R60" s="31"/>
      <c r="S60" s="31">
        <f>+DISPONIBLES[[#This Row],[Avalúo Total 2025]]-DISPONIBLES[[#This Row],[Avalúo Total 2024]]</f>
        <v>1055031</v>
      </c>
      <c r="T60" s="31">
        <f>+DISPONIBLES[[#This Row],[Avalúo Afecto Dic-2025]]-DISPONIBLES[[#This Row],[Avalúo Afecto Dic-2024]]</f>
        <v>1055031</v>
      </c>
      <c r="U60" s="31">
        <f>+DISPONIBLES[[#This Row],[Avalúo Exento Dic-2025]]-DISPONIBLES[[#This Row],[Avalúo Exento Dic-2024]]</f>
        <v>0</v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2"/>
      <c r="AP60" s="31"/>
      <c r="AQ60" s="31"/>
      <c r="AR60" s="31"/>
      <c r="AS60" s="33"/>
    </row>
    <row r="61" spans="1:45" x14ac:dyDescent="0.3">
      <c r="A61" s="30" t="s">
        <v>906</v>
      </c>
      <c r="B61" s="31" t="s">
        <v>383</v>
      </c>
      <c r="C61" s="80" t="s">
        <v>1239</v>
      </c>
      <c r="D61" s="42">
        <v>293333.76000000001</v>
      </c>
      <c r="E61" s="31" t="s">
        <v>1189</v>
      </c>
      <c r="F61" s="82"/>
      <c r="G61" s="82"/>
      <c r="H61" s="82"/>
      <c r="I61" s="43"/>
      <c r="J61" s="43"/>
      <c r="K61" s="43"/>
      <c r="L61" s="44"/>
      <c r="M61" s="44"/>
      <c r="N61" s="44"/>
      <c r="O61" s="55"/>
      <c r="P61" s="31"/>
      <c r="Q61" s="31"/>
      <c r="R61" s="31"/>
      <c r="S61" s="31">
        <f>+DISPONIBLES[[#This Row],[Avalúo Total 2025]]-DISPONIBLES[[#This Row],[Avalúo Total 2024]]</f>
        <v>1057036</v>
      </c>
      <c r="T61" s="31">
        <f>+DISPONIBLES[[#This Row],[Avalúo Afecto Dic-2025]]-DISPONIBLES[[#This Row],[Avalúo Afecto Dic-2024]]</f>
        <v>1057036</v>
      </c>
      <c r="U61" s="31">
        <f>+DISPONIBLES[[#This Row],[Avalúo Exento Dic-2025]]-DISPONIBLES[[#This Row],[Avalúo Exento Dic-2024]]</f>
        <v>0</v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2"/>
      <c r="AP61" s="31"/>
      <c r="AQ61" s="31"/>
      <c r="AR61" s="31"/>
      <c r="AS61" s="33"/>
    </row>
    <row r="62" spans="1:45" x14ac:dyDescent="0.3">
      <c r="A62" s="30" t="s">
        <v>906</v>
      </c>
      <c r="B62" s="31" t="s">
        <v>383</v>
      </c>
      <c r="C62" s="80" t="s">
        <v>1240</v>
      </c>
      <c r="D62" s="42">
        <v>1673.05</v>
      </c>
      <c r="E62" s="31" t="s">
        <v>1189</v>
      </c>
      <c r="F62" s="82"/>
      <c r="G62" s="82"/>
      <c r="H62" s="82"/>
      <c r="I62" s="43"/>
      <c r="J62" s="43"/>
      <c r="K62" s="43"/>
      <c r="L62" s="44"/>
      <c r="M62" s="44"/>
      <c r="N62" s="44"/>
      <c r="O62" s="55"/>
      <c r="P62" s="31"/>
      <c r="Q62" s="31"/>
      <c r="R62" s="31"/>
      <c r="S62" s="31">
        <f>+DISPONIBLES[[#This Row],[Avalúo Total 2025]]-DISPONIBLES[[#This Row],[Avalúo Total 2024]]</f>
        <v>1057673</v>
      </c>
      <c r="T62" s="31">
        <f>+DISPONIBLES[[#This Row],[Avalúo Afecto Dic-2025]]-DISPONIBLES[[#This Row],[Avalúo Afecto Dic-2024]]</f>
        <v>1057673</v>
      </c>
      <c r="U62" s="31">
        <f>+DISPONIBLES[[#This Row],[Avalúo Exento Dic-2025]]-DISPONIBLES[[#This Row],[Avalúo Exento Dic-2024]]</f>
        <v>0</v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2"/>
      <c r="AP62" s="31"/>
      <c r="AQ62" s="31"/>
      <c r="AR62" s="31"/>
      <c r="AS62" s="33"/>
    </row>
    <row r="63" spans="1:45" x14ac:dyDescent="0.3">
      <c r="A63" s="30" t="s">
        <v>906</v>
      </c>
      <c r="B63" s="31" t="s">
        <v>383</v>
      </c>
      <c r="C63" s="80" t="s">
        <v>1241</v>
      </c>
      <c r="D63" s="42">
        <v>14049.62</v>
      </c>
      <c r="E63" s="31" t="s">
        <v>1189</v>
      </c>
      <c r="F63" s="82"/>
      <c r="G63" s="82"/>
      <c r="H63" s="82"/>
      <c r="I63" s="43"/>
      <c r="J63" s="43"/>
      <c r="K63" s="43"/>
      <c r="L63" s="44"/>
      <c r="M63" s="44"/>
      <c r="N63" s="44"/>
      <c r="O63" s="55"/>
      <c r="P63" s="31"/>
      <c r="Q63" s="31"/>
      <c r="R63" s="31"/>
      <c r="S63" s="31">
        <f>+DISPONIBLES[[#This Row],[Avalúo Total 2025]]-DISPONIBLES[[#This Row],[Avalúo Total 2024]]</f>
        <v>1059043</v>
      </c>
      <c r="T63" s="31">
        <f>+DISPONIBLES[[#This Row],[Avalúo Afecto Dic-2025]]-DISPONIBLES[[#This Row],[Avalúo Afecto Dic-2024]]</f>
        <v>1059043</v>
      </c>
      <c r="U63" s="31">
        <f>+DISPONIBLES[[#This Row],[Avalúo Exento Dic-2025]]-DISPONIBLES[[#This Row],[Avalúo Exento Dic-2024]]</f>
        <v>0</v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2"/>
      <c r="AP63" s="31"/>
      <c r="AQ63" s="31"/>
      <c r="AR63" s="31"/>
      <c r="AS63" s="33"/>
    </row>
    <row r="64" spans="1:45" x14ac:dyDescent="0.3">
      <c r="A64" s="30" t="s">
        <v>906</v>
      </c>
      <c r="B64" s="31" t="s">
        <v>383</v>
      </c>
      <c r="C64" s="80" t="s">
        <v>1242</v>
      </c>
      <c r="D64" s="42">
        <v>10609.73</v>
      </c>
      <c r="E64" s="31" t="s">
        <v>1189</v>
      </c>
      <c r="F64" s="82"/>
      <c r="G64" s="82"/>
      <c r="H64" s="82"/>
      <c r="I64" s="43"/>
      <c r="J64" s="43"/>
      <c r="K64" s="43"/>
      <c r="L64" s="44"/>
      <c r="M64" s="44"/>
      <c r="N64" s="44"/>
      <c r="O64" s="55"/>
      <c r="P64" s="31"/>
      <c r="Q64" s="31"/>
      <c r="R64" s="31"/>
      <c r="S64" s="31">
        <f>+DISPONIBLES[[#This Row],[Avalúo Total 2025]]-DISPONIBLES[[#This Row],[Avalúo Total 2024]]</f>
        <v>1059680</v>
      </c>
      <c r="T64" s="31">
        <f>+DISPONIBLES[[#This Row],[Avalúo Afecto Dic-2025]]-DISPONIBLES[[#This Row],[Avalúo Afecto Dic-2024]]</f>
        <v>1059680</v>
      </c>
      <c r="U64" s="31">
        <f>+DISPONIBLES[[#This Row],[Avalúo Exento Dic-2025]]-DISPONIBLES[[#This Row],[Avalúo Exento Dic-2024]]</f>
        <v>0</v>
      </c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2"/>
      <c r="AP64" s="31"/>
      <c r="AQ64" s="31"/>
      <c r="AR64" s="31"/>
      <c r="AS64" s="33"/>
    </row>
    <row r="65" spans="1:45" x14ac:dyDescent="0.3">
      <c r="A65" s="30" t="s">
        <v>906</v>
      </c>
      <c r="B65" s="31" t="s">
        <v>383</v>
      </c>
      <c r="C65" s="80" t="s">
        <v>1243</v>
      </c>
      <c r="D65" s="42">
        <v>13342.24</v>
      </c>
      <c r="E65" s="31" t="s">
        <v>1189</v>
      </c>
      <c r="F65" s="82"/>
      <c r="G65" s="82"/>
      <c r="H65" s="82"/>
      <c r="I65" s="43"/>
      <c r="J65" s="43"/>
      <c r="K65" s="43"/>
      <c r="L65" s="44"/>
      <c r="M65" s="44"/>
      <c r="N65" s="44"/>
      <c r="O65" s="55"/>
      <c r="P65" s="31"/>
      <c r="Q65" s="31"/>
      <c r="R65" s="31"/>
      <c r="S65" s="31">
        <f>+DISPONIBLES[[#This Row],[Avalúo Total 2025]]-DISPONIBLES[[#This Row],[Avalúo Total 2024]]</f>
        <v>1062418</v>
      </c>
      <c r="T65" s="31">
        <f>+DISPONIBLES[[#This Row],[Avalúo Afecto Dic-2025]]-DISPONIBLES[[#This Row],[Avalúo Afecto Dic-2024]]</f>
        <v>1062418</v>
      </c>
      <c r="U65" s="31">
        <f>+DISPONIBLES[[#This Row],[Avalúo Exento Dic-2025]]-DISPONIBLES[[#This Row],[Avalúo Exento Dic-2024]]</f>
        <v>0</v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2"/>
      <c r="AP65" s="31"/>
      <c r="AQ65" s="31"/>
      <c r="AR65" s="31"/>
      <c r="AS65" s="33"/>
    </row>
    <row r="66" spans="1:45" x14ac:dyDescent="0.3">
      <c r="A66" s="30" t="s">
        <v>906</v>
      </c>
      <c r="B66" s="31" t="s">
        <v>383</v>
      </c>
      <c r="C66" s="80" t="s">
        <v>1244</v>
      </c>
      <c r="D66" s="42">
        <v>19501.38</v>
      </c>
      <c r="E66" s="31" t="s">
        <v>1189</v>
      </c>
      <c r="F66" s="82"/>
      <c r="G66" s="82"/>
      <c r="H66" s="82"/>
      <c r="I66" s="43"/>
      <c r="J66" s="43"/>
      <c r="K66" s="43"/>
      <c r="L66" s="44"/>
      <c r="M66" s="44"/>
      <c r="N66" s="44"/>
      <c r="O66" s="55"/>
      <c r="P66" s="31"/>
      <c r="Q66" s="31"/>
      <c r="R66" s="31"/>
      <c r="S66" s="31">
        <f>+DISPONIBLES[[#This Row],[Avalúo Total 2025]]-DISPONIBLES[[#This Row],[Avalúo Total 2024]]</f>
        <v>1064425</v>
      </c>
      <c r="T66" s="31">
        <f>+DISPONIBLES[[#This Row],[Avalúo Afecto Dic-2025]]-DISPONIBLES[[#This Row],[Avalúo Afecto Dic-2024]]</f>
        <v>1064425</v>
      </c>
      <c r="U66" s="31">
        <f>+DISPONIBLES[[#This Row],[Avalúo Exento Dic-2025]]-DISPONIBLES[[#This Row],[Avalúo Exento Dic-2024]]</f>
        <v>0</v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2"/>
      <c r="AP66" s="31"/>
      <c r="AQ66" s="31"/>
      <c r="AR66" s="31"/>
      <c r="AS66" s="33"/>
    </row>
    <row r="67" spans="1:45" x14ac:dyDescent="0.3">
      <c r="A67" s="30" t="s">
        <v>906</v>
      </c>
      <c r="B67" s="31" t="s">
        <v>383</v>
      </c>
      <c r="C67" s="80" t="s">
        <v>1245</v>
      </c>
      <c r="D67" s="42">
        <v>17482.689999999999</v>
      </c>
      <c r="E67" s="31" t="s">
        <v>1189</v>
      </c>
      <c r="F67" s="82"/>
      <c r="G67" s="82"/>
      <c r="H67" s="82"/>
      <c r="I67" s="43"/>
      <c r="J67" s="43"/>
      <c r="K67" s="43"/>
      <c r="L67" s="44"/>
      <c r="M67" s="44"/>
      <c r="N67" s="44"/>
      <c r="O67" s="55"/>
      <c r="P67" s="31"/>
      <c r="Q67" s="31"/>
      <c r="R67" s="31"/>
      <c r="S67" s="31">
        <f>+DISPONIBLES[[#This Row],[Avalúo Total 2025]]-DISPONIBLES[[#This Row],[Avalúo Total 2024]]</f>
        <v>1065062</v>
      </c>
      <c r="T67" s="31">
        <f>+DISPONIBLES[[#This Row],[Avalúo Afecto Dic-2025]]-DISPONIBLES[[#This Row],[Avalúo Afecto Dic-2024]]</f>
        <v>1065062</v>
      </c>
      <c r="U67" s="31">
        <f>+DISPONIBLES[[#This Row],[Avalúo Exento Dic-2025]]-DISPONIBLES[[#This Row],[Avalúo Exento Dic-2024]]</f>
        <v>0</v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2"/>
      <c r="AP67" s="31"/>
      <c r="AQ67" s="31"/>
      <c r="AR67" s="31"/>
      <c r="AS67" s="33"/>
    </row>
    <row r="68" spans="1:45" x14ac:dyDescent="0.3">
      <c r="A68" s="30" t="s">
        <v>906</v>
      </c>
      <c r="B68" s="31" t="s">
        <v>383</v>
      </c>
      <c r="C68" s="80" t="s">
        <v>1246</v>
      </c>
      <c r="D68" s="42">
        <v>62371.38</v>
      </c>
      <c r="E68" s="31" t="s">
        <v>1189</v>
      </c>
      <c r="F68" s="82"/>
      <c r="G68" s="82"/>
      <c r="H68" s="82"/>
      <c r="I68" s="43"/>
      <c r="J68" s="43"/>
      <c r="K68" s="43"/>
      <c r="L68" s="44"/>
      <c r="M68" s="44"/>
      <c r="N68" s="44"/>
      <c r="O68" s="55"/>
      <c r="P68" s="31"/>
      <c r="Q68" s="31"/>
      <c r="R68" s="31"/>
      <c r="S68" s="31">
        <f>+DISPONIBLES[[#This Row],[Avalúo Total 2025]]-DISPONIBLES[[#This Row],[Avalúo Total 2024]]</f>
        <v>1066431</v>
      </c>
      <c r="T68" s="31">
        <f>+DISPONIBLES[[#This Row],[Avalúo Afecto Dic-2025]]-DISPONIBLES[[#This Row],[Avalúo Afecto Dic-2024]]</f>
        <v>1066431</v>
      </c>
      <c r="U68" s="31">
        <f>+DISPONIBLES[[#This Row],[Avalúo Exento Dic-2025]]-DISPONIBLES[[#This Row],[Avalúo Exento Dic-2024]]</f>
        <v>0</v>
      </c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2"/>
      <c r="AP68" s="31"/>
      <c r="AQ68" s="31"/>
      <c r="AR68" s="31"/>
      <c r="AS68" s="33"/>
    </row>
    <row r="69" spans="1:45" x14ac:dyDescent="0.3">
      <c r="A69" s="30" t="s">
        <v>906</v>
      </c>
      <c r="B69" s="31" t="s">
        <v>383</v>
      </c>
      <c r="C69" s="80" t="s">
        <v>1247</v>
      </c>
      <c r="D69" s="42">
        <v>18759.27</v>
      </c>
      <c r="E69" s="31" t="s">
        <v>1189</v>
      </c>
      <c r="F69" s="82"/>
      <c r="G69" s="82"/>
      <c r="H69" s="82"/>
      <c r="I69" s="43"/>
      <c r="J69" s="43"/>
      <c r="K69" s="43"/>
      <c r="L69" s="44"/>
      <c r="M69" s="44"/>
      <c r="N69" s="44"/>
      <c r="O69" s="55"/>
      <c r="P69" s="31"/>
      <c r="Q69" s="31"/>
      <c r="R69" s="31"/>
      <c r="S69" s="31">
        <f>+DISPONIBLES[[#This Row],[Avalúo Total 2025]]-DISPONIBLES[[#This Row],[Avalúo Total 2024]]</f>
        <v>1073181</v>
      </c>
      <c r="T69" s="31">
        <f>+DISPONIBLES[[#This Row],[Avalúo Afecto Dic-2025]]-DISPONIBLES[[#This Row],[Avalúo Afecto Dic-2024]]</f>
        <v>1073181</v>
      </c>
      <c r="U69" s="31">
        <f>+DISPONIBLES[[#This Row],[Avalúo Exento Dic-2025]]-DISPONIBLES[[#This Row],[Avalúo Exento Dic-2024]]</f>
        <v>0</v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2"/>
      <c r="AP69" s="31"/>
      <c r="AQ69" s="31"/>
      <c r="AR69" s="31"/>
      <c r="AS69" s="33"/>
    </row>
    <row r="70" spans="1:45" x14ac:dyDescent="0.3">
      <c r="A70" s="30" t="s">
        <v>906</v>
      </c>
      <c r="B70" s="31" t="s">
        <v>383</v>
      </c>
      <c r="C70" s="80" t="s">
        <v>1248</v>
      </c>
      <c r="D70" s="42">
        <v>5761.52</v>
      </c>
      <c r="E70" s="31" t="s">
        <v>1189</v>
      </c>
      <c r="F70" s="82"/>
      <c r="G70" s="82"/>
      <c r="H70" s="82"/>
      <c r="I70" s="43"/>
      <c r="J70" s="43"/>
      <c r="K70" s="43"/>
      <c r="L70" s="44"/>
      <c r="M70" s="44"/>
      <c r="N70" s="44"/>
      <c r="O70" s="55"/>
      <c r="P70" s="31"/>
      <c r="Q70" s="31"/>
      <c r="R70" s="31"/>
      <c r="S70" s="31">
        <f>+DISPONIBLES[[#This Row],[Avalúo Total 2025]]-DISPONIBLES[[#This Row],[Avalúo Total 2024]]</f>
        <v>1072449</v>
      </c>
      <c r="T70" s="31">
        <f>+DISPONIBLES[[#This Row],[Avalúo Afecto Dic-2025]]-DISPONIBLES[[#This Row],[Avalúo Afecto Dic-2024]]</f>
        <v>1072449</v>
      </c>
      <c r="U70" s="31">
        <f>+DISPONIBLES[[#This Row],[Avalúo Exento Dic-2025]]-DISPONIBLES[[#This Row],[Avalúo Exento Dic-2024]]</f>
        <v>0</v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2"/>
      <c r="AP70" s="31"/>
      <c r="AQ70" s="31"/>
      <c r="AR70" s="31"/>
      <c r="AS70" s="33"/>
    </row>
    <row r="71" spans="1:45" x14ac:dyDescent="0.3">
      <c r="A71" s="30" t="s">
        <v>906</v>
      </c>
      <c r="B71" s="31" t="s">
        <v>383</v>
      </c>
      <c r="C71" s="80" t="s">
        <v>1249</v>
      </c>
      <c r="D71" s="42">
        <v>19057.509999999998</v>
      </c>
      <c r="E71" s="31" t="s">
        <v>1189</v>
      </c>
      <c r="F71" s="82"/>
      <c r="G71" s="82"/>
      <c r="H71" s="82"/>
      <c r="I71" s="43"/>
      <c r="J71" s="43"/>
      <c r="K71" s="43"/>
      <c r="L71" s="44"/>
      <c r="M71" s="44"/>
      <c r="N71" s="44"/>
      <c r="O71" s="55"/>
      <c r="P71" s="31"/>
      <c r="Q71" s="31"/>
      <c r="R71" s="31"/>
      <c r="S71" s="31">
        <f>+DISPONIBLES[[#This Row],[Avalúo Total 2025]]-DISPONIBLES[[#This Row],[Avalúo Total 2024]]</f>
        <v>2421156</v>
      </c>
      <c r="T71" s="31">
        <f>+DISPONIBLES[[#This Row],[Avalúo Afecto Dic-2025]]-DISPONIBLES[[#This Row],[Avalúo Afecto Dic-2024]]</f>
        <v>553841</v>
      </c>
      <c r="U71" s="31">
        <f>+DISPONIBLES[[#This Row],[Avalúo Exento Dic-2025]]-DISPONIBLES[[#This Row],[Avalúo Exento Dic-2024]]</f>
        <v>1867315</v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2"/>
      <c r="AP71" s="31"/>
      <c r="AQ71" s="31"/>
      <c r="AR71" s="31"/>
      <c r="AS71" s="33"/>
    </row>
    <row r="72" spans="1:45" x14ac:dyDescent="0.3">
      <c r="A72" s="30" t="s">
        <v>906</v>
      </c>
      <c r="B72" s="31" t="s">
        <v>383</v>
      </c>
      <c r="C72" s="80" t="s">
        <v>1250</v>
      </c>
      <c r="D72" s="42">
        <v>31291.35</v>
      </c>
      <c r="E72" s="31" t="s">
        <v>1189</v>
      </c>
      <c r="F72" s="82"/>
      <c r="G72" s="82"/>
      <c r="H72" s="82"/>
      <c r="I72" s="43"/>
      <c r="J72" s="43"/>
      <c r="K72" s="43"/>
      <c r="L72" s="44"/>
      <c r="M72" s="44"/>
      <c r="N72" s="44"/>
      <c r="O72" s="55"/>
      <c r="P72" s="31"/>
      <c r="Q72" s="31"/>
      <c r="R72" s="31"/>
      <c r="S72" s="31">
        <f>+DISPONIBLES[[#This Row],[Avalúo Total 2025]]-DISPONIBLES[[#This Row],[Avalúo Total 2024]]</f>
        <v>178486</v>
      </c>
      <c r="T72" s="31">
        <f>+DISPONIBLES[[#This Row],[Avalúo Afecto Dic-2025]]-DISPONIBLES[[#This Row],[Avalúo Afecto Dic-2024]]</f>
        <v>0</v>
      </c>
      <c r="U72" s="31">
        <f>+DISPONIBLES[[#This Row],[Avalúo Exento Dic-2025]]-DISPONIBLES[[#This Row],[Avalúo Exento Dic-2024]]</f>
        <v>178486</v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2"/>
      <c r="AP72" s="31"/>
      <c r="AQ72" s="31"/>
      <c r="AR72" s="31"/>
      <c r="AS72" s="33"/>
    </row>
    <row r="73" spans="1:45" x14ac:dyDescent="0.3">
      <c r="A73" s="30" t="s">
        <v>906</v>
      </c>
      <c r="B73" s="31" t="s">
        <v>383</v>
      </c>
      <c r="C73" s="80" t="s">
        <v>1251</v>
      </c>
      <c r="D73" s="42">
        <v>19104.09</v>
      </c>
      <c r="E73" s="31" t="s">
        <v>1189</v>
      </c>
      <c r="F73" s="82"/>
      <c r="G73" s="82"/>
      <c r="H73" s="82"/>
      <c r="I73" s="43"/>
      <c r="J73" s="43"/>
      <c r="K73" s="43"/>
      <c r="L73" s="44"/>
      <c r="M73" s="44"/>
      <c r="N73" s="44"/>
      <c r="O73" s="55"/>
      <c r="P73" s="31"/>
      <c r="Q73" s="31"/>
      <c r="R73" s="31"/>
      <c r="S73" s="31">
        <f>+DISPONIBLES[[#This Row],[Avalúo Total 2025]]-DISPONIBLES[[#This Row],[Avalúo Total 2024]]</f>
        <v>546009</v>
      </c>
      <c r="T73" s="31">
        <f>+DISPONIBLES[[#This Row],[Avalúo Afecto Dic-2025]]-DISPONIBLES[[#This Row],[Avalúo Afecto Dic-2024]]</f>
        <v>546009</v>
      </c>
      <c r="U73" s="31">
        <f>+DISPONIBLES[[#This Row],[Avalúo Exento Dic-2025]]-DISPONIBLES[[#This Row],[Avalúo Exento Dic-2024]]</f>
        <v>0</v>
      </c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2"/>
      <c r="AP73" s="31"/>
      <c r="AQ73" s="31"/>
      <c r="AR73" s="31"/>
      <c r="AS73" s="33"/>
    </row>
    <row r="74" spans="1:45" x14ac:dyDescent="0.3">
      <c r="A74" s="30" t="s">
        <v>906</v>
      </c>
      <c r="B74" s="31" t="s">
        <v>383</v>
      </c>
      <c r="C74" s="80" t="s">
        <v>1252</v>
      </c>
      <c r="D74" s="42">
        <v>14766.61</v>
      </c>
      <c r="E74" s="31" t="s">
        <v>1189</v>
      </c>
      <c r="F74" s="82"/>
      <c r="G74" s="82"/>
      <c r="H74" s="82"/>
      <c r="I74" s="43"/>
      <c r="J74" s="43"/>
      <c r="K74" s="43"/>
      <c r="L74" s="44"/>
      <c r="M74" s="44"/>
      <c r="N74" s="44"/>
      <c r="O74" s="55"/>
      <c r="P74" s="31"/>
      <c r="Q74" s="31"/>
      <c r="R74" s="31"/>
      <c r="S74" s="31">
        <f>+DISPONIBLES[[#This Row],[Avalúo Total 2025]]-DISPONIBLES[[#This Row],[Avalúo Total 2024]]</f>
        <v>546009</v>
      </c>
      <c r="T74" s="31">
        <f>+DISPONIBLES[[#This Row],[Avalúo Afecto Dic-2025]]-DISPONIBLES[[#This Row],[Avalúo Afecto Dic-2024]]</f>
        <v>546009</v>
      </c>
      <c r="U74" s="31">
        <f>+DISPONIBLES[[#This Row],[Avalúo Exento Dic-2025]]-DISPONIBLES[[#This Row],[Avalúo Exento Dic-2024]]</f>
        <v>0</v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2"/>
      <c r="AP74" s="31"/>
      <c r="AQ74" s="31"/>
      <c r="AR74" s="31"/>
      <c r="AS74" s="33"/>
    </row>
    <row r="75" spans="1:45" x14ac:dyDescent="0.3">
      <c r="A75" s="30" t="s">
        <v>906</v>
      </c>
      <c r="B75" s="31" t="s">
        <v>383</v>
      </c>
      <c r="C75" s="80" t="s">
        <v>1253</v>
      </c>
      <c r="D75" s="42">
        <v>18665.810000000001</v>
      </c>
      <c r="E75" s="31" t="s">
        <v>1189</v>
      </c>
      <c r="F75" s="82"/>
      <c r="G75" s="82"/>
      <c r="H75" s="82"/>
      <c r="I75" s="43"/>
      <c r="J75" s="43"/>
      <c r="K75" s="43"/>
      <c r="L75" s="44"/>
      <c r="M75" s="44"/>
      <c r="N75" s="44"/>
      <c r="O75" s="55"/>
      <c r="P75" s="31"/>
      <c r="Q75" s="31"/>
      <c r="R75" s="31"/>
      <c r="S75" s="31">
        <f>+DISPONIBLES[[#This Row],[Avalúo Total 2025]]-DISPONIBLES[[#This Row],[Avalúo Total 2024]]</f>
        <v>52045389</v>
      </c>
      <c r="T75" s="31">
        <f>+DISPONIBLES[[#This Row],[Avalúo Afecto Dic-2025]]-DISPONIBLES[[#This Row],[Avalúo Afecto Dic-2024]]</f>
        <v>52045389</v>
      </c>
      <c r="U75" s="31">
        <f>+DISPONIBLES[[#This Row],[Avalúo Exento Dic-2025]]-DISPONIBLES[[#This Row],[Avalúo Exento Dic-2024]]</f>
        <v>0</v>
      </c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2"/>
      <c r="AP75" s="31"/>
      <c r="AQ75" s="31"/>
      <c r="AR75" s="31"/>
      <c r="AS75" s="33"/>
    </row>
    <row r="76" spans="1:45" x14ac:dyDescent="0.3">
      <c r="A76" s="30" t="s">
        <v>906</v>
      </c>
      <c r="B76" s="31" t="s">
        <v>383</v>
      </c>
      <c r="C76" s="80" t="s">
        <v>1254</v>
      </c>
      <c r="D76" s="42">
        <v>25553.08</v>
      </c>
      <c r="E76" s="31" t="s">
        <v>1189</v>
      </c>
      <c r="F76" s="82"/>
      <c r="G76" s="82"/>
      <c r="H76" s="82"/>
      <c r="I76" s="43"/>
      <c r="J76" s="43"/>
      <c r="K76" s="43"/>
      <c r="L76" s="44"/>
      <c r="M76" s="44"/>
      <c r="N76" s="44"/>
      <c r="O76" s="55"/>
      <c r="P76" s="31"/>
      <c r="Q76" s="31"/>
      <c r="R76" s="31"/>
      <c r="S76" s="31">
        <f>+DISPONIBLES[[#This Row],[Avalúo Total 2025]]-DISPONIBLES[[#This Row],[Avalúo Total 2024]]</f>
        <v>70649626</v>
      </c>
      <c r="T76" s="31">
        <f>+DISPONIBLES[[#This Row],[Avalúo Afecto Dic-2025]]-DISPONIBLES[[#This Row],[Avalúo Afecto Dic-2024]]</f>
        <v>62188593</v>
      </c>
      <c r="U76" s="31">
        <f>+DISPONIBLES[[#This Row],[Avalúo Exento Dic-2025]]-DISPONIBLES[[#This Row],[Avalúo Exento Dic-2024]]</f>
        <v>8461033</v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2"/>
      <c r="AP76" s="31"/>
      <c r="AQ76" s="31"/>
      <c r="AR76" s="31"/>
      <c r="AS76" s="33"/>
    </row>
    <row r="77" spans="1:45" x14ac:dyDescent="0.3">
      <c r="A77" s="30" t="s">
        <v>906</v>
      </c>
      <c r="B77" s="31" t="s">
        <v>383</v>
      </c>
      <c r="C77" s="80" t="s">
        <v>1255</v>
      </c>
      <c r="D77" s="42">
        <v>24891.7</v>
      </c>
      <c r="E77" s="31" t="s">
        <v>1189</v>
      </c>
      <c r="F77" s="82"/>
      <c r="G77" s="82"/>
      <c r="H77" s="82"/>
      <c r="I77" s="43"/>
      <c r="J77" s="43"/>
      <c r="K77" s="43"/>
      <c r="L77" s="44"/>
      <c r="M77" s="44"/>
      <c r="N77" s="44"/>
      <c r="O77" s="55"/>
      <c r="P77" s="31"/>
      <c r="Q77" s="31"/>
      <c r="R77" s="31"/>
      <c r="S77" s="31">
        <f>+DISPONIBLES[[#This Row],[Avalúo Total 2025]]-DISPONIBLES[[#This Row],[Avalúo Total 2024]]</f>
        <v>1578535</v>
      </c>
      <c r="T77" s="31">
        <f>+DISPONIBLES[[#This Row],[Avalúo Afecto Dic-2025]]-DISPONIBLES[[#This Row],[Avalúo Afecto Dic-2024]]</f>
        <v>1375559</v>
      </c>
      <c r="U77" s="31">
        <f>+DISPONIBLES[[#This Row],[Avalúo Exento Dic-2025]]-DISPONIBLES[[#This Row],[Avalúo Exento Dic-2024]]</f>
        <v>202976</v>
      </c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2"/>
      <c r="AP77" s="31"/>
      <c r="AQ77" s="31"/>
      <c r="AR77" s="31"/>
      <c r="AS77" s="33"/>
    </row>
    <row r="78" spans="1:45" x14ac:dyDescent="0.3">
      <c r="A78" s="30" t="s">
        <v>906</v>
      </c>
      <c r="B78" s="31" t="s">
        <v>383</v>
      </c>
      <c r="C78" s="80" t="s">
        <v>1256</v>
      </c>
      <c r="D78" s="42">
        <v>27870.54</v>
      </c>
      <c r="E78" s="31" t="s">
        <v>1189</v>
      </c>
      <c r="F78" s="82"/>
      <c r="G78" s="82"/>
      <c r="H78" s="82"/>
      <c r="I78" s="43"/>
      <c r="J78" s="43"/>
      <c r="K78" s="43"/>
      <c r="L78" s="44"/>
      <c r="M78" s="44"/>
      <c r="N78" s="44"/>
      <c r="O78" s="55"/>
      <c r="P78" s="31"/>
      <c r="Q78" s="31"/>
      <c r="R78" s="31"/>
      <c r="S78" s="31">
        <f>+DISPONIBLES[[#This Row],[Avalúo Total 2025]]-DISPONIBLES[[#This Row],[Avalúo Total 2024]]</f>
        <v>5781235</v>
      </c>
      <c r="T78" s="31">
        <f>+DISPONIBLES[[#This Row],[Avalúo Afecto Dic-2025]]-DISPONIBLES[[#This Row],[Avalúo Afecto Dic-2024]]</f>
        <v>4298115</v>
      </c>
      <c r="U78" s="31">
        <f>+DISPONIBLES[[#This Row],[Avalúo Exento Dic-2025]]-DISPONIBLES[[#This Row],[Avalúo Exento Dic-2024]]</f>
        <v>1483120</v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2"/>
      <c r="AP78" s="31"/>
      <c r="AQ78" s="31"/>
      <c r="AR78" s="31"/>
      <c r="AS78" s="33"/>
    </row>
    <row r="79" spans="1:45" x14ac:dyDescent="0.3">
      <c r="A79" s="30" t="s">
        <v>906</v>
      </c>
      <c r="B79" s="31" t="s">
        <v>383</v>
      </c>
      <c r="C79" s="80" t="s">
        <v>1257</v>
      </c>
      <c r="D79" s="42">
        <v>24355.43</v>
      </c>
      <c r="E79" s="31" t="s">
        <v>1189</v>
      </c>
      <c r="F79" s="82"/>
      <c r="G79" s="82"/>
      <c r="H79" s="82"/>
      <c r="I79" s="43"/>
      <c r="J79" s="43"/>
      <c r="K79" s="43"/>
      <c r="L79" s="44"/>
      <c r="M79" s="44"/>
      <c r="N79" s="44"/>
      <c r="O79" s="55"/>
      <c r="P79" s="31"/>
      <c r="Q79" s="31"/>
      <c r="R79" s="31"/>
      <c r="S79" s="31">
        <f>+DISPONIBLES[[#This Row],[Avalúo Total 2025]]-DISPONIBLES[[#This Row],[Avalúo Total 2024]]</f>
        <v>28574344</v>
      </c>
      <c r="T79" s="31">
        <f>+DISPONIBLES[[#This Row],[Avalúo Afecto Dic-2025]]-DISPONIBLES[[#This Row],[Avalúo Afecto Dic-2024]]</f>
        <v>26707029</v>
      </c>
      <c r="U79" s="31">
        <f>+DISPONIBLES[[#This Row],[Avalúo Exento Dic-2025]]-DISPONIBLES[[#This Row],[Avalúo Exento Dic-2024]]</f>
        <v>1867315</v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2"/>
      <c r="AP79" s="31"/>
      <c r="AQ79" s="31"/>
      <c r="AR79" s="31"/>
      <c r="AS79" s="33"/>
    </row>
    <row r="80" spans="1:45" x14ac:dyDescent="0.3">
      <c r="A80" s="30" t="s">
        <v>906</v>
      </c>
      <c r="B80" s="31" t="s">
        <v>383</v>
      </c>
      <c r="C80" s="80" t="s">
        <v>1258</v>
      </c>
      <c r="D80" s="42">
        <v>21946.97</v>
      </c>
      <c r="E80" s="31" t="s">
        <v>1189</v>
      </c>
      <c r="F80" s="82"/>
      <c r="G80" s="82"/>
      <c r="H80" s="82"/>
      <c r="I80" s="43"/>
      <c r="J80" s="43"/>
      <c r="K80" s="43"/>
      <c r="L80" s="44"/>
      <c r="M80" s="44"/>
      <c r="N80" s="44"/>
      <c r="O80" s="55"/>
      <c r="P80" s="31"/>
      <c r="Q80" s="31"/>
      <c r="R80" s="31"/>
      <c r="S80" s="31">
        <f>+DISPONIBLES[[#This Row],[Avalúo Total 2025]]-DISPONIBLES[[#This Row],[Avalúo Total 2024]]</f>
        <v>28574344</v>
      </c>
      <c r="T80" s="31">
        <f>+DISPONIBLES[[#This Row],[Avalúo Afecto Dic-2025]]-DISPONIBLES[[#This Row],[Avalúo Afecto Dic-2024]]</f>
        <v>26707029</v>
      </c>
      <c r="U80" s="31">
        <f>+DISPONIBLES[[#This Row],[Avalúo Exento Dic-2025]]-DISPONIBLES[[#This Row],[Avalúo Exento Dic-2024]]</f>
        <v>1867315</v>
      </c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2"/>
      <c r="AP80" s="31"/>
      <c r="AQ80" s="31"/>
      <c r="AR80" s="31"/>
      <c r="AS80" s="33"/>
    </row>
    <row r="81" spans="1:45" x14ac:dyDescent="0.3">
      <c r="A81" s="34" t="s">
        <v>906</v>
      </c>
      <c r="B81" s="35" t="s">
        <v>383</v>
      </c>
      <c r="C81" s="79" t="s">
        <v>1259</v>
      </c>
      <c r="D81" s="46">
        <v>19218.66</v>
      </c>
      <c r="E81" s="31" t="s">
        <v>1189</v>
      </c>
      <c r="F81" s="81"/>
      <c r="G81" s="81"/>
      <c r="H81" s="81"/>
      <c r="I81" s="47"/>
      <c r="J81" s="47"/>
      <c r="K81" s="47"/>
      <c r="L81" s="48"/>
      <c r="M81" s="48"/>
      <c r="N81" s="48"/>
      <c r="O81" s="49"/>
      <c r="P81" s="35"/>
      <c r="Q81" s="35"/>
      <c r="R81" s="35"/>
      <c r="S81" s="35">
        <f>+DISPONIBLES[[#This Row],[Avalúo Total 2025]]-DISPONIBLES[[#This Row],[Avalúo Total 2024]]</f>
        <v>28574344</v>
      </c>
      <c r="T81" s="35">
        <f>+DISPONIBLES[[#This Row],[Avalúo Afecto Dic-2025]]-DISPONIBLES[[#This Row],[Avalúo Afecto Dic-2024]]</f>
        <v>26707029</v>
      </c>
      <c r="U81" s="35">
        <f>+DISPONIBLES[[#This Row],[Avalúo Exento Dic-2025]]-DISPONIBLES[[#This Row],[Avalúo Exento Dic-2024]]</f>
        <v>1867315</v>
      </c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6"/>
      <c r="AP81" s="35"/>
      <c r="AQ81" s="35"/>
      <c r="AR81" s="35"/>
      <c r="AS81" s="37"/>
    </row>
    <row r="82" spans="1:45" x14ac:dyDescent="0.3">
      <c r="A82" s="34" t="s">
        <v>70</v>
      </c>
      <c r="B82" s="35" t="s">
        <v>169</v>
      </c>
      <c r="C82" s="35" t="s">
        <v>461</v>
      </c>
      <c r="D82" s="46">
        <v>249500</v>
      </c>
      <c r="E82" s="35" t="s">
        <v>1162</v>
      </c>
      <c r="F82" s="81"/>
      <c r="G82" s="81"/>
      <c r="H82" s="81"/>
      <c r="I82" s="47"/>
      <c r="J82" s="47"/>
      <c r="K82" s="47"/>
      <c r="L82" s="48"/>
      <c r="M82" s="48"/>
      <c r="N82" s="48"/>
      <c r="O82" s="49"/>
      <c r="P82" s="35"/>
      <c r="Q82" s="35"/>
      <c r="R82" s="35"/>
      <c r="S82" s="35">
        <v>0</v>
      </c>
      <c r="T82" s="35">
        <v>0</v>
      </c>
      <c r="U82" s="35">
        <v>0</v>
      </c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6"/>
      <c r="AP82" s="35"/>
      <c r="AQ82" s="35"/>
      <c r="AR82" s="35"/>
      <c r="AS82" s="37"/>
    </row>
  </sheetData>
  <conditionalFormatting sqref="E1 E26:E37">
    <cfRule type="cellIs" dxfId="1" priority="5" operator="equal">
      <formula>"Disponible"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036D-B477-4BD0-9841-A89B3551C559}">
  <dimension ref="A1:AS83"/>
  <sheetViews>
    <sheetView workbookViewId="0">
      <selection activeCell="AA17" sqref="AA17"/>
    </sheetView>
  </sheetViews>
  <sheetFormatPr baseColWidth="10" defaultColWidth="11.44140625" defaultRowHeight="14.4" x14ac:dyDescent="0.3"/>
  <cols>
    <col min="1" max="1" width="36.6640625" bestFit="1" customWidth="1"/>
    <col min="3" max="3" width="23.44140625" customWidth="1"/>
    <col min="4" max="4" width="15.6640625" customWidth="1"/>
    <col min="6" max="6" width="21.88671875" customWidth="1"/>
    <col min="7" max="7" width="22.109375" customWidth="1"/>
    <col min="8" max="8" width="21.88671875" customWidth="1"/>
    <col min="9" max="9" width="17.33203125" customWidth="1"/>
    <col min="10" max="10" width="22.109375" customWidth="1"/>
    <col min="11" max="11" width="21.88671875" customWidth="1"/>
    <col min="13" max="15" width="14.109375" customWidth="1"/>
    <col min="16" max="16" width="24.6640625" customWidth="1"/>
    <col min="17" max="17" width="15" customWidth="1"/>
    <col min="18" max="18" width="11.6640625" customWidth="1"/>
    <col min="19" max="19" width="22.33203125" customWidth="1"/>
    <col min="20" max="20" width="30.109375" customWidth="1"/>
    <col min="21" max="21" width="31.33203125" customWidth="1"/>
    <col min="22" max="22" width="31.5546875" customWidth="1"/>
    <col min="23" max="23" width="19.6640625" customWidth="1"/>
    <col min="24" max="24" width="12" customWidth="1"/>
    <col min="25" max="25" width="17.33203125" customWidth="1"/>
    <col min="27" max="27" width="20.88671875" customWidth="1"/>
    <col min="28" max="28" width="21" customWidth="1"/>
    <col min="29" max="29" width="18.109375" customWidth="1"/>
    <col min="31" max="31" width="19.5546875" customWidth="1"/>
    <col min="32" max="32" width="25.33203125" customWidth="1"/>
    <col min="33" max="33" width="24.6640625" customWidth="1"/>
    <col min="34" max="34" width="17.109375" customWidth="1"/>
    <col min="35" max="35" width="17.5546875" customWidth="1"/>
    <col min="37" max="37" width="18.6640625" customWidth="1"/>
    <col min="38" max="38" width="19.88671875" customWidth="1"/>
    <col min="39" max="39" width="18.6640625" customWidth="1"/>
    <col min="40" max="40" width="18.5546875" customWidth="1"/>
    <col min="41" max="41" width="21" customWidth="1"/>
    <col min="42" max="42" width="15.5546875" customWidth="1"/>
    <col min="44" max="44" width="15" customWidth="1"/>
    <col min="45" max="45" width="13.33203125" customWidth="1"/>
    <col min="46" max="46" width="14.6640625" customWidth="1"/>
  </cols>
  <sheetData>
    <row r="1" spans="1:45" x14ac:dyDescent="0.3">
      <c r="A1" s="19" t="s">
        <v>3</v>
      </c>
      <c r="B1" s="20" t="s">
        <v>13</v>
      </c>
      <c r="C1" s="20" t="s">
        <v>19</v>
      </c>
      <c r="D1" s="20" t="s">
        <v>27</v>
      </c>
      <c r="E1" s="20" t="s">
        <v>30</v>
      </c>
      <c r="F1" s="21" t="s">
        <v>33</v>
      </c>
      <c r="G1" s="21" t="s">
        <v>36</v>
      </c>
      <c r="H1" s="21" t="s">
        <v>39</v>
      </c>
      <c r="I1" s="38" t="s">
        <v>41</v>
      </c>
      <c r="J1" s="38" t="s">
        <v>43</v>
      </c>
      <c r="K1" s="38" t="s">
        <v>45</v>
      </c>
      <c r="L1" s="20" t="s">
        <v>47</v>
      </c>
      <c r="M1" s="20" t="s">
        <v>49</v>
      </c>
      <c r="N1" s="20" t="s">
        <v>65</v>
      </c>
      <c r="O1" s="20" t="s">
        <v>52</v>
      </c>
      <c r="P1" s="20" t="s">
        <v>53</v>
      </c>
      <c r="Q1" s="20" t="s">
        <v>54</v>
      </c>
      <c r="R1" s="39" t="s">
        <v>55</v>
      </c>
      <c r="S1" s="22" t="s">
        <v>11</v>
      </c>
      <c r="T1" s="22" t="s">
        <v>17</v>
      </c>
      <c r="U1" s="22" t="s">
        <v>22</v>
      </c>
      <c r="V1" s="23" t="s">
        <v>9</v>
      </c>
      <c r="W1" s="24" t="s">
        <v>16</v>
      </c>
      <c r="X1" s="24" t="s">
        <v>21</v>
      </c>
      <c r="Y1" s="24" t="s">
        <v>26</v>
      </c>
      <c r="Z1" s="24" t="s">
        <v>29</v>
      </c>
      <c r="AA1" s="24" t="s">
        <v>32</v>
      </c>
      <c r="AB1" s="24" t="s">
        <v>35</v>
      </c>
      <c r="AC1" s="24" t="s">
        <v>38</v>
      </c>
      <c r="AD1" s="24" t="s">
        <v>40</v>
      </c>
      <c r="AE1" s="24" t="s">
        <v>42</v>
      </c>
      <c r="AF1" s="24" t="s">
        <v>44</v>
      </c>
      <c r="AG1" s="24" t="s">
        <v>46</v>
      </c>
      <c r="AH1" s="24" t="s">
        <v>48</v>
      </c>
      <c r="AI1" s="24" t="s">
        <v>50</v>
      </c>
      <c r="AJ1" s="25" t="s">
        <v>7</v>
      </c>
      <c r="AK1" s="25" t="s">
        <v>15</v>
      </c>
      <c r="AL1" s="26" t="s">
        <v>5</v>
      </c>
      <c r="AM1" s="27" t="s">
        <v>14</v>
      </c>
      <c r="AN1" s="27" t="s">
        <v>20</v>
      </c>
      <c r="AO1" s="28" t="s">
        <v>25</v>
      </c>
      <c r="AP1" s="27" t="s">
        <v>28</v>
      </c>
      <c r="AQ1" s="27" t="s">
        <v>31</v>
      </c>
      <c r="AR1" s="27" t="s">
        <v>34</v>
      </c>
      <c r="AS1" s="40" t="s">
        <v>37</v>
      </c>
    </row>
    <row r="2" spans="1:45" x14ac:dyDescent="0.3">
      <c r="A2" s="30" t="s">
        <v>70</v>
      </c>
      <c r="B2" s="31" t="s">
        <v>380</v>
      </c>
      <c r="C2" s="31" t="s">
        <v>537</v>
      </c>
      <c r="D2" s="117">
        <v>10000</v>
      </c>
      <c r="E2" s="31" t="s">
        <v>538</v>
      </c>
      <c r="F2" s="83">
        <v>2736357</v>
      </c>
      <c r="G2" s="83">
        <v>2736357</v>
      </c>
      <c r="H2" s="83">
        <v>0</v>
      </c>
      <c r="I2" s="83">
        <v>2793821</v>
      </c>
      <c r="J2" s="83">
        <v>2793821</v>
      </c>
      <c r="K2" s="83">
        <v>0</v>
      </c>
      <c r="L2" s="31" t="s">
        <v>539</v>
      </c>
      <c r="M2" s="31" t="s">
        <v>539</v>
      </c>
      <c r="N2" s="31" t="e">
        <f>_xlfn.XLOOKUP(FAMILIA[[#This Row],[Identificacion Propiedad]],[1]!BBDD_Terrenos[Identificacion Propiedad],[1]!BBDD_Terrenos[Rol Pagador2],"no")</f>
        <v>#REF!</v>
      </c>
      <c r="O2" s="31" t="s">
        <v>540</v>
      </c>
      <c r="P2" s="31" t="s">
        <v>492</v>
      </c>
      <c r="Q2" s="31" t="s">
        <v>98</v>
      </c>
      <c r="R2" s="117">
        <v>1545.702171438001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>
        <v>0.2</v>
      </c>
      <c r="AK2" s="117">
        <v>2000</v>
      </c>
      <c r="AL2" s="31">
        <v>0.2</v>
      </c>
      <c r="AM2" s="117">
        <v>2000</v>
      </c>
      <c r="AN2" s="31"/>
      <c r="AO2" s="31"/>
      <c r="AP2" s="31"/>
      <c r="AQ2" s="31"/>
      <c r="AR2" s="31" t="s">
        <v>88</v>
      </c>
      <c r="AS2" s="33"/>
    </row>
    <row r="3" spans="1:45" x14ac:dyDescent="0.3">
      <c r="A3" s="30" t="s">
        <v>70</v>
      </c>
      <c r="B3" s="31" t="s">
        <v>380</v>
      </c>
      <c r="C3" s="31" t="s">
        <v>541</v>
      </c>
      <c r="D3" s="117">
        <v>10000</v>
      </c>
      <c r="E3" s="31" t="s">
        <v>538</v>
      </c>
      <c r="F3" s="83">
        <v>2736357</v>
      </c>
      <c r="G3" s="83">
        <v>2736357</v>
      </c>
      <c r="H3" s="83">
        <v>0</v>
      </c>
      <c r="I3" s="83">
        <v>2793821</v>
      </c>
      <c r="J3" s="83">
        <v>2793821</v>
      </c>
      <c r="K3" s="83">
        <v>0</v>
      </c>
      <c r="L3" s="31" t="s">
        <v>542</v>
      </c>
      <c r="M3" s="31" t="s">
        <v>542</v>
      </c>
      <c r="N3" s="31" t="e">
        <f>_xlfn.XLOOKUP(FAMILIA[[#This Row],[Identificacion Propiedad]],[1]!BBDD_Terrenos[Identificacion Propiedad],[1]!BBDD_Terrenos[Rol Pagador2],"no")</f>
        <v>#REF!</v>
      </c>
      <c r="O3" s="31" t="s">
        <v>540</v>
      </c>
      <c r="P3" s="31" t="s">
        <v>492</v>
      </c>
      <c r="Q3" s="31" t="s">
        <v>98</v>
      </c>
      <c r="R3" s="117">
        <v>1545.702171438001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>
        <v>0.2</v>
      </c>
      <c r="AK3" s="117">
        <v>2000</v>
      </c>
      <c r="AL3" s="31">
        <v>0.2</v>
      </c>
      <c r="AM3" s="117">
        <v>2000</v>
      </c>
      <c r="AN3" s="31"/>
      <c r="AO3" s="31"/>
      <c r="AP3" s="31"/>
      <c r="AQ3" s="31"/>
      <c r="AR3" s="31" t="s">
        <v>88</v>
      </c>
      <c r="AS3" s="33"/>
    </row>
    <row r="4" spans="1:45" x14ac:dyDescent="0.3">
      <c r="A4" s="30" t="s">
        <v>543</v>
      </c>
      <c r="B4" s="31" t="s">
        <v>380</v>
      </c>
      <c r="C4" s="31" t="s">
        <v>544</v>
      </c>
      <c r="D4" s="117">
        <v>13400</v>
      </c>
      <c r="E4" s="31" t="s">
        <v>538</v>
      </c>
      <c r="F4" s="83"/>
      <c r="G4" s="83"/>
      <c r="H4" s="83"/>
      <c r="I4" s="83"/>
      <c r="J4" s="83"/>
      <c r="K4" s="83"/>
      <c r="L4" s="31" t="e">
        <f>_xlfn.XLOOKUP(FAMILIA[[#This Row],[Identificacion Propiedad]],[1]!BBDD_Terrenos[Identificacion Propiedad],[1]!BBDD_Terrenos[Rol Matriz],"no")</f>
        <v>#REF!</v>
      </c>
      <c r="M4" s="31"/>
      <c r="N4" s="31" t="e">
        <f>_xlfn.XLOOKUP(FAMILIA[[#This Row],[Identificacion Propiedad]],[1]!BBDD_Terrenos[Identificacion Propiedad],[1]!BBDD_Terrenos[Rol Pagador2],"no")</f>
        <v>#REF!</v>
      </c>
      <c r="O4" s="31"/>
      <c r="P4" s="31"/>
      <c r="Q4" s="31"/>
      <c r="R4" s="117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117"/>
      <c r="AL4" s="31"/>
      <c r="AM4" s="31"/>
      <c r="AN4" s="31"/>
      <c r="AO4" s="31"/>
      <c r="AP4" s="31"/>
      <c r="AQ4" s="31"/>
      <c r="AR4" s="31"/>
      <c r="AS4" s="33"/>
    </row>
    <row r="5" spans="1:45" x14ac:dyDescent="0.3">
      <c r="A5" s="30" t="s">
        <v>543</v>
      </c>
      <c r="B5" s="31" t="s">
        <v>380</v>
      </c>
      <c r="C5" s="31" t="s">
        <v>545</v>
      </c>
      <c r="D5" s="117">
        <v>13437.5</v>
      </c>
      <c r="E5" s="31" t="s">
        <v>538</v>
      </c>
      <c r="F5" s="83"/>
      <c r="G5" s="83"/>
      <c r="H5" s="83"/>
      <c r="I5" s="83"/>
      <c r="J5" s="83"/>
      <c r="K5" s="83"/>
      <c r="L5" s="31"/>
      <c r="M5" s="31" t="s">
        <v>546</v>
      </c>
      <c r="N5" s="31" t="e">
        <f>_xlfn.XLOOKUP(FAMILIA[[#This Row],[Identificacion Propiedad]],[1]!BBDD_Terrenos[Identificacion Propiedad],[1]!BBDD_Terrenos[Rol Pagador2],"no")</f>
        <v>#REF!</v>
      </c>
      <c r="O5" s="31"/>
      <c r="P5" s="31"/>
      <c r="Q5" s="31"/>
      <c r="R5" s="117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117"/>
      <c r="AL5" s="31"/>
      <c r="AM5" s="31"/>
      <c r="AN5" s="31"/>
      <c r="AO5" s="31"/>
      <c r="AP5" s="31"/>
      <c r="AQ5" s="31"/>
      <c r="AR5" s="31"/>
      <c r="AS5" s="33"/>
    </row>
    <row r="6" spans="1:45" x14ac:dyDescent="0.3">
      <c r="A6" s="30" t="s">
        <v>543</v>
      </c>
      <c r="B6" s="31" t="s">
        <v>380</v>
      </c>
      <c r="C6" s="31" t="s">
        <v>547</v>
      </c>
      <c r="D6" s="117">
        <v>5158</v>
      </c>
      <c r="E6" s="31" t="s">
        <v>538</v>
      </c>
      <c r="F6" s="83"/>
      <c r="G6" s="83"/>
      <c r="H6" s="83"/>
      <c r="I6" s="83"/>
      <c r="J6" s="83"/>
      <c r="K6" s="83"/>
      <c r="L6" s="31"/>
      <c r="M6" s="31" t="s">
        <v>548</v>
      </c>
      <c r="N6" s="31"/>
      <c r="O6" s="31"/>
      <c r="P6" s="31"/>
      <c r="Q6" s="31"/>
      <c r="R6" s="117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117"/>
      <c r="AL6" s="31"/>
      <c r="AM6" s="31"/>
      <c r="AN6" s="31"/>
      <c r="AO6" s="31"/>
      <c r="AP6" s="31"/>
      <c r="AQ6" s="31"/>
      <c r="AR6" s="31"/>
      <c r="AS6" s="33"/>
    </row>
    <row r="7" spans="1:45" x14ac:dyDescent="0.3">
      <c r="A7" s="30" t="s">
        <v>543</v>
      </c>
      <c r="B7" s="31" t="s">
        <v>380</v>
      </c>
      <c r="C7" s="31" t="s">
        <v>549</v>
      </c>
      <c r="D7" s="117">
        <v>6172</v>
      </c>
      <c r="E7" s="31" t="s">
        <v>538</v>
      </c>
      <c r="F7" s="83"/>
      <c r="G7" s="83"/>
      <c r="H7" s="83"/>
      <c r="I7" s="83"/>
      <c r="J7" s="83"/>
      <c r="K7" s="83"/>
      <c r="L7" s="31"/>
      <c r="M7" s="31" t="s">
        <v>550</v>
      </c>
      <c r="N7" s="31"/>
      <c r="O7" s="31"/>
      <c r="P7" s="31"/>
      <c r="Q7" s="31"/>
      <c r="R7" s="117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17"/>
      <c r="AL7" s="31"/>
      <c r="AM7" s="31"/>
      <c r="AN7" s="31"/>
      <c r="AO7" s="31"/>
      <c r="AP7" s="31"/>
      <c r="AQ7" s="31"/>
      <c r="AR7" s="31"/>
      <c r="AS7" s="33"/>
    </row>
    <row r="8" spans="1:45" x14ac:dyDescent="0.3">
      <c r="A8" s="30" t="s">
        <v>543</v>
      </c>
      <c r="B8" s="31" t="s">
        <v>380</v>
      </c>
      <c r="C8" s="31" t="s">
        <v>551</v>
      </c>
      <c r="D8" s="117">
        <v>5964</v>
      </c>
      <c r="E8" s="31" t="s">
        <v>538</v>
      </c>
      <c r="F8" s="83"/>
      <c r="G8" s="83"/>
      <c r="H8" s="83"/>
      <c r="I8" s="83"/>
      <c r="J8" s="83"/>
      <c r="K8" s="83"/>
      <c r="L8" s="31"/>
      <c r="M8" s="31" t="s">
        <v>550</v>
      </c>
      <c r="N8" s="31"/>
      <c r="O8" s="31"/>
      <c r="P8" s="31"/>
      <c r="Q8" s="31"/>
      <c r="R8" s="117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17"/>
      <c r="AL8" s="31"/>
      <c r="AM8" s="31"/>
      <c r="AN8" s="31"/>
      <c r="AO8" s="31"/>
      <c r="AP8" s="31"/>
      <c r="AQ8" s="31"/>
      <c r="AR8" s="31"/>
      <c r="AS8" s="33"/>
    </row>
    <row r="9" spans="1:45" x14ac:dyDescent="0.3">
      <c r="A9" s="30" t="s">
        <v>543</v>
      </c>
      <c r="B9" s="31" t="s">
        <v>380</v>
      </c>
      <c r="C9" s="31" t="s">
        <v>552</v>
      </c>
      <c r="D9" s="117">
        <v>7245</v>
      </c>
      <c r="E9" s="31" t="s">
        <v>538</v>
      </c>
      <c r="F9" s="83"/>
      <c r="G9" s="83"/>
      <c r="H9" s="83"/>
      <c r="I9" s="83"/>
      <c r="J9" s="83"/>
      <c r="K9" s="83"/>
      <c r="L9" s="31"/>
      <c r="M9" s="31" t="s">
        <v>548</v>
      </c>
      <c r="N9" s="31"/>
      <c r="O9" s="31"/>
      <c r="P9" s="31"/>
      <c r="Q9" s="31"/>
      <c r="R9" s="117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17"/>
      <c r="AL9" s="31"/>
      <c r="AM9" s="31"/>
      <c r="AN9" s="31"/>
      <c r="AO9" s="31"/>
      <c r="AP9" s="31"/>
      <c r="AQ9" s="31"/>
      <c r="AR9" s="31"/>
      <c r="AS9" s="33"/>
    </row>
    <row r="10" spans="1:45" x14ac:dyDescent="0.3">
      <c r="A10" s="30" t="s">
        <v>543</v>
      </c>
      <c r="B10" s="31" t="s">
        <v>380</v>
      </c>
      <c r="C10" s="31" t="s">
        <v>553</v>
      </c>
      <c r="D10" s="117">
        <v>5084</v>
      </c>
      <c r="E10" s="31" t="s">
        <v>538</v>
      </c>
      <c r="F10" s="83"/>
      <c r="G10" s="83"/>
      <c r="H10" s="83"/>
      <c r="I10" s="83"/>
      <c r="J10" s="83"/>
      <c r="K10" s="83"/>
      <c r="L10" s="31"/>
      <c r="M10" s="31" t="s">
        <v>548</v>
      </c>
      <c r="N10" s="31"/>
      <c r="O10" s="31"/>
      <c r="P10" s="31"/>
      <c r="Q10" s="31"/>
      <c r="R10" s="117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7"/>
      <c r="AL10" s="31"/>
      <c r="AM10" s="31"/>
      <c r="AN10" s="31"/>
      <c r="AO10" s="31"/>
      <c r="AP10" s="31"/>
      <c r="AQ10" s="31"/>
      <c r="AR10" s="31"/>
      <c r="AS10" s="33"/>
    </row>
    <row r="11" spans="1:45" x14ac:dyDescent="0.3">
      <c r="A11" s="30" t="s">
        <v>543</v>
      </c>
      <c r="B11" s="31" t="s">
        <v>380</v>
      </c>
      <c r="C11" s="31" t="s">
        <v>554</v>
      </c>
      <c r="D11" s="117">
        <v>5066</v>
      </c>
      <c r="E11" s="31" t="s">
        <v>538</v>
      </c>
      <c r="F11" s="83"/>
      <c r="G11" s="83"/>
      <c r="H11" s="83"/>
      <c r="I11" s="83"/>
      <c r="J11" s="83"/>
      <c r="K11" s="83"/>
      <c r="L11" s="31"/>
      <c r="M11" s="31" t="s">
        <v>548</v>
      </c>
      <c r="N11" s="31"/>
      <c r="O11" s="31"/>
      <c r="P11" s="31"/>
      <c r="Q11" s="31"/>
      <c r="R11" s="117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7"/>
      <c r="AL11" s="31"/>
      <c r="AM11" s="31"/>
      <c r="AN11" s="31"/>
      <c r="AO11" s="31"/>
      <c r="AP11" s="31"/>
      <c r="AQ11" s="31"/>
      <c r="AR11" s="31"/>
      <c r="AS11" s="33"/>
    </row>
    <row r="12" spans="1:45" x14ac:dyDescent="0.3">
      <c r="A12" s="30" t="s">
        <v>543</v>
      </c>
      <c r="B12" s="31" t="s">
        <v>380</v>
      </c>
      <c r="C12" s="31" t="s">
        <v>555</v>
      </c>
      <c r="D12" s="117">
        <v>5145</v>
      </c>
      <c r="E12" s="31" t="s">
        <v>538</v>
      </c>
      <c r="F12" s="83"/>
      <c r="G12" s="83"/>
      <c r="H12" s="83"/>
      <c r="I12" s="83"/>
      <c r="J12" s="83"/>
      <c r="K12" s="83"/>
      <c r="L12" s="31"/>
      <c r="M12" s="31" t="s">
        <v>548</v>
      </c>
      <c r="N12" s="31"/>
      <c r="O12" s="31"/>
      <c r="P12" s="31"/>
      <c r="Q12" s="31"/>
      <c r="R12" s="117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7"/>
      <c r="AL12" s="31"/>
      <c r="AM12" s="31"/>
      <c r="AN12" s="31"/>
      <c r="AO12" s="31"/>
      <c r="AP12" s="31"/>
      <c r="AQ12" s="31"/>
      <c r="AR12" s="31"/>
      <c r="AS12" s="33"/>
    </row>
    <row r="13" spans="1:45" x14ac:dyDescent="0.3">
      <c r="A13" s="30" t="s">
        <v>543</v>
      </c>
      <c r="B13" s="31" t="s">
        <v>380</v>
      </c>
      <c r="C13" s="31" t="s">
        <v>556</v>
      </c>
      <c r="D13" s="117">
        <v>5080</v>
      </c>
      <c r="E13" s="31" t="s">
        <v>538</v>
      </c>
      <c r="F13" s="83"/>
      <c r="G13" s="83"/>
      <c r="H13" s="83"/>
      <c r="I13" s="83"/>
      <c r="J13" s="83"/>
      <c r="K13" s="83"/>
      <c r="L13" s="31"/>
      <c r="M13" s="31" t="s">
        <v>548</v>
      </c>
      <c r="N13" s="31"/>
      <c r="O13" s="31"/>
      <c r="P13" s="31"/>
      <c r="Q13" s="31"/>
      <c r="R13" s="117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7"/>
      <c r="AL13" s="31"/>
      <c r="AM13" s="31"/>
      <c r="AN13" s="31"/>
      <c r="AO13" s="31"/>
      <c r="AP13" s="31"/>
      <c r="AQ13" s="31"/>
      <c r="AR13" s="31"/>
      <c r="AS13" s="33"/>
    </row>
    <row r="14" spans="1:45" x14ac:dyDescent="0.3">
      <c r="A14" s="30" t="s">
        <v>543</v>
      </c>
      <c r="B14" s="31" t="s">
        <v>380</v>
      </c>
      <c r="C14" s="31" t="s">
        <v>557</v>
      </c>
      <c r="D14" s="117">
        <v>5098</v>
      </c>
      <c r="E14" s="31" t="s">
        <v>538</v>
      </c>
      <c r="F14" s="83"/>
      <c r="G14" s="83"/>
      <c r="H14" s="83"/>
      <c r="I14" s="83"/>
      <c r="J14" s="83"/>
      <c r="K14" s="83"/>
      <c r="L14" s="31"/>
      <c r="M14" s="31" t="s">
        <v>548</v>
      </c>
      <c r="N14" s="31"/>
      <c r="O14" s="31"/>
      <c r="P14" s="31"/>
      <c r="Q14" s="31"/>
      <c r="R14" s="117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17"/>
      <c r="AL14" s="31"/>
      <c r="AM14" s="31"/>
      <c r="AN14" s="31"/>
      <c r="AO14" s="31"/>
      <c r="AP14" s="31"/>
      <c r="AQ14" s="31"/>
      <c r="AR14" s="31"/>
      <c r="AS14" s="33"/>
    </row>
    <row r="15" spans="1:45" x14ac:dyDescent="0.3">
      <c r="A15" s="30" t="s">
        <v>543</v>
      </c>
      <c r="B15" s="31" t="s">
        <v>380</v>
      </c>
      <c r="C15" s="31" t="s">
        <v>558</v>
      </c>
      <c r="D15" s="117">
        <v>5065</v>
      </c>
      <c r="E15" s="31" t="s">
        <v>538</v>
      </c>
      <c r="F15" s="83"/>
      <c r="G15" s="83"/>
      <c r="H15" s="83"/>
      <c r="I15" s="83"/>
      <c r="J15" s="83"/>
      <c r="K15" s="83"/>
      <c r="L15" s="31"/>
      <c r="M15" s="31" t="s">
        <v>548</v>
      </c>
      <c r="N15" s="31"/>
      <c r="O15" s="31"/>
      <c r="P15" s="31"/>
      <c r="Q15" s="31"/>
      <c r="R15" s="117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7"/>
      <c r="AL15" s="31"/>
      <c r="AM15" s="31"/>
      <c r="AN15" s="31"/>
      <c r="AO15" s="31"/>
      <c r="AP15" s="31"/>
      <c r="AQ15" s="31"/>
      <c r="AR15" s="31"/>
      <c r="AS15" s="33"/>
    </row>
    <row r="16" spans="1:45" x14ac:dyDescent="0.3">
      <c r="A16" s="30" t="s">
        <v>543</v>
      </c>
      <c r="B16" s="31" t="s">
        <v>380</v>
      </c>
      <c r="C16" s="31" t="s">
        <v>559</v>
      </c>
      <c r="D16" s="117">
        <v>5063</v>
      </c>
      <c r="E16" s="31" t="s">
        <v>538</v>
      </c>
      <c r="F16" s="83"/>
      <c r="G16" s="83"/>
      <c r="H16" s="83"/>
      <c r="I16" s="83"/>
      <c r="J16" s="83"/>
      <c r="K16" s="83"/>
      <c r="L16" s="31"/>
      <c r="M16" s="31" t="s">
        <v>548</v>
      </c>
      <c r="N16" s="31"/>
      <c r="O16" s="31"/>
      <c r="P16" s="31"/>
      <c r="Q16" s="31"/>
      <c r="R16" s="117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7"/>
      <c r="AL16" s="31"/>
      <c r="AM16" s="31"/>
      <c r="AN16" s="31"/>
      <c r="AO16" s="31"/>
      <c r="AP16" s="31"/>
      <c r="AQ16" s="31"/>
      <c r="AR16" s="31"/>
      <c r="AS16" s="33"/>
    </row>
    <row r="17" spans="1:45" x14ac:dyDescent="0.3">
      <c r="A17" s="30" t="s">
        <v>543</v>
      </c>
      <c r="B17" s="31" t="s">
        <v>380</v>
      </c>
      <c r="C17" s="31" t="s">
        <v>560</v>
      </c>
      <c r="D17" s="117">
        <v>5087</v>
      </c>
      <c r="E17" s="31" t="s">
        <v>538</v>
      </c>
      <c r="F17" s="83"/>
      <c r="G17" s="83"/>
      <c r="H17" s="83"/>
      <c r="I17" s="83"/>
      <c r="J17" s="83"/>
      <c r="K17" s="83"/>
      <c r="L17" s="31"/>
      <c r="M17" s="31" t="s">
        <v>548</v>
      </c>
      <c r="N17" s="31"/>
      <c r="O17" s="31"/>
      <c r="P17" s="31"/>
      <c r="Q17" s="31"/>
      <c r="R17" s="117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7"/>
      <c r="AL17" s="31"/>
      <c r="AM17" s="31"/>
      <c r="AN17" s="31"/>
      <c r="AO17" s="31"/>
      <c r="AP17" s="31"/>
      <c r="AQ17" s="31"/>
      <c r="AR17" s="31"/>
      <c r="AS17" s="33"/>
    </row>
    <row r="18" spans="1:45" x14ac:dyDescent="0.3">
      <c r="A18" s="30" t="s">
        <v>543</v>
      </c>
      <c r="B18" s="31" t="s">
        <v>380</v>
      </c>
      <c r="C18" s="31" t="s">
        <v>561</v>
      </c>
      <c r="D18" s="117">
        <v>5126</v>
      </c>
      <c r="E18" s="31" t="s">
        <v>538</v>
      </c>
      <c r="F18" s="83"/>
      <c r="G18" s="83"/>
      <c r="H18" s="83"/>
      <c r="I18" s="83"/>
      <c r="J18" s="83"/>
      <c r="K18" s="83"/>
      <c r="L18" s="31"/>
      <c r="M18" s="31" t="s">
        <v>548</v>
      </c>
      <c r="N18" s="31"/>
      <c r="O18" s="31"/>
      <c r="P18" s="31"/>
      <c r="Q18" s="31"/>
      <c r="R18" s="117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7"/>
      <c r="AL18" s="31"/>
      <c r="AM18" s="31"/>
      <c r="AN18" s="31"/>
      <c r="AO18" s="31"/>
      <c r="AP18" s="31"/>
      <c r="AQ18" s="31"/>
      <c r="AR18" s="31"/>
      <c r="AS18" s="33"/>
    </row>
    <row r="19" spans="1:45" x14ac:dyDescent="0.3">
      <c r="A19" s="30" t="s">
        <v>543</v>
      </c>
      <c r="B19" s="31" t="s">
        <v>380</v>
      </c>
      <c r="C19" s="31" t="s">
        <v>562</v>
      </c>
      <c r="D19" s="117">
        <v>5069</v>
      </c>
      <c r="E19" s="31" t="s">
        <v>538</v>
      </c>
      <c r="F19" s="83"/>
      <c r="G19" s="83"/>
      <c r="H19" s="83"/>
      <c r="I19" s="83"/>
      <c r="J19" s="83"/>
      <c r="K19" s="83"/>
      <c r="L19" s="31"/>
      <c r="M19" s="31" t="s">
        <v>548</v>
      </c>
      <c r="N19" s="31"/>
      <c r="O19" s="31"/>
      <c r="P19" s="31"/>
      <c r="Q19" s="31"/>
      <c r="R19" s="117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7"/>
      <c r="AL19" s="31"/>
      <c r="AM19" s="31"/>
      <c r="AN19" s="31"/>
      <c r="AO19" s="31"/>
      <c r="AP19" s="31"/>
      <c r="AQ19" s="31"/>
      <c r="AR19" s="31"/>
      <c r="AS19" s="33"/>
    </row>
    <row r="20" spans="1:45" x14ac:dyDescent="0.3">
      <c r="A20" s="30" t="s">
        <v>543</v>
      </c>
      <c r="B20" s="31" t="s">
        <v>380</v>
      </c>
      <c r="C20" s="31" t="s">
        <v>563</v>
      </c>
      <c r="D20" s="117">
        <v>5053</v>
      </c>
      <c r="E20" s="31" t="s">
        <v>538</v>
      </c>
      <c r="F20" s="83"/>
      <c r="G20" s="83"/>
      <c r="H20" s="83"/>
      <c r="I20" s="83"/>
      <c r="J20" s="83"/>
      <c r="K20" s="83"/>
      <c r="L20" s="31"/>
      <c r="M20" s="31" t="s">
        <v>548</v>
      </c>
      <c r="N20" s="31"/>
      <c r="O20" s="31"/>
      <c r="P20" s="31"/>
      <c r="Q20" s="31"/>
      <c r="R20" s="117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7"/>
      <c r="AL20" s="31"/>
      <c r="AM20" s="31"/>
      <c r="AN20" s="31"/>
      <c r="AO20" s="31"/>
      <c r="AP20" s="31"/>
      <c r="AQ20" s="31"/>
      <c r="AR20" s="31"/>
      <c r="AS20" s="33"/>
    </row>
    <row r="21" spans="1:45" x14ac:dyDescent="0.3">
      <c r="A21" s="30" t="s">
        <v>543</v>
      </c>
      <c r="B21" s="31" t="s">
        <v>380</v>
      </c>
      <c r="C21" s="31" t="s">
        <v>564</v>
      </c>
      <c r="D21" s="117">
        <v>5008</v>
      </c>
      <c r="E21" s="31" t="s">
        <v>538</v>
      </c>
      <c r="F21" s="83"/>
      <c r="G21" s="83"/>
      <c r="H21" s="83"/>
      <c r="I21" s="83"/>
      <c r="J21" s="83"/>
      <c r="K21" s="83"/>
      <c r="L21" s="31"/>
      <c r="M21" s="31" t="s">
        <v>548</v>
      </c>
      <c r="N21" s="31"/>
      <c r="O21" s="31"/>
      <c r="P21" s="31"/>
      <c r="Q21" s="31"/>
      <c r="R21" s="117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7"/>
      <c r="AL21" s="31"/>
      <c r="AM21" s="31"/>
      <c r="AN21" s="31"/>
      <c r="AO21" s="31"/>
      <c r="AP21" s="31"/>
      <c r="AQ21" s="31"/>
      <c r="AR21" s="31"/>
      <c r="AS21" s="33"/>
    </row>
    <row r="22" spans="1:45" x14ac:dyDescent="0.3">
      <c r="A22" s="30" t="s">
        <v>543</v>
      </c>
      <c r="B22" s="31" t="s">
        <v>380</v>
      </c>
      <c r="C22" s="31" t="s">
        <v>565</v>
      </c>
      <c r="D22" s="117">
        <v>5063</v>
      </c>
      <c r="E22" s="31" t="s">
        <v>538</v>
      </c>
      <c r="F22" s="83"/>
      <c r="G22" s="83"/>
      <c r="H22" s="83"/>
      <c r="I22" s="83"/>
      <c r="J22" s="83"/>
      <c r="K22" s="83"/>
      <c r="L22" s="31"/>
      <c r="M22" s="31" t="s">
        <v>548</v>
      </c>
      <c r="N22" s="31"/>
      <c r="O22" s="31"/>
      <c r="P22" s="31"/>
      <c r="Q22" s="31"/>
      <c r="R22" s="117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17"/>
      <c r="AL22" s="31"/>
      <c r="AM22" s="31"/>
      <c r="AN22" s="31"/>
      <c r="AO22" s="31"/>
      <c r="AP22" s="31"/>
      <c r="AQ22" s="31"/>
      <c r="AR22" s="31"/>
      <c r="AS22" s="33"/>
    </row>
    <row r="23" spans="1:45" x14ac:dyDescent="0.3">
      <c r="A23" s="30" t="s">
        <v>543</v>
      </c>
      <c r="B23" s="31" t="s">
        <v>380</v>
      </c>
      <c r="C23" s="31" t="s">
        <v>566</v>
      </c>
      <c r="D23" s="117">
        <v>5046</v>
      </c>
      <c r="E23" s="31" t="s">
        <v>538</v>
      </c>
      <c r="F23" s="83"/>
      <c r="G23" s="83"/>
      <c r="H23" s="83"/>
      <c r="I23" s="83"/>
      <c r="J23" s="83"/>
      <c r="K23" s="83"/>
      <c r="L23" s="31"/>
      <c r="M23" s="31" t="s">
        <v>548</v>
      </c>
      <c r="N23" s="31"/>
      <c r="O23" s="31"/>
      <c r="P23" s="31"/>
      <c r="Q23" s="31"/>
      <c r="R23" s="117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7"/>
      <c r="AL23" s="31"/>
      <c r="AM23" s="31"/>
      <c r="AN23" s="31"/>
      <c r="AO23" s="31"/>
      <c r="AP23" s="31"/>
      <c r="AQ23" s="31"/>
      <c r="AR23" s="31"/>
      <c r="AS23" s="33"/>
    </row>
    <row r="24" spans="1:45" x14ac:dyDescent="0.3">
      <c r="A24" s="30" t="s">
        <v>543</v>
      </c>
      <c r="B24" s="31" t="s">
        <v>380</v>
      </c>
      <c r="C24" s="31" t="s">
        <v>567</v>
      </c>
      <c r="D24" s="117">
        <v>5088</v>
      </c>
      <c r="E24" s="31" t="s">
        <v>538</v>
      </c>
      <c r="F24" s="83"/>
      <c r="G24" s="83"/>
      <c r="H24" s="83"/>
      <c r="I24" s="83"/>
      <c r="J24" s="83"/>
      <c r="K24" s="83"/>
      <c r="L24" s="31"/>
      <c r="M24" s="31" t="s">
        <v>548</v>
      </c>
      <c r="N24" s="31"/>
      <c r="O24" s="31"/>
      <c r="P24" s="31"/>
      <c r="Q24" s="31"/>
      <c r="R24" s="117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7"/>
      <c r="AL24" s="31"/>
      <c r="AM24" s="31"/>
      <c r="AN24" s="31"/>
      <c r="AO24" s="31"/>
      <c r="AP24" s="31"/>
      <c r="AQ24" s="31"/>
      <c r="AR24" s="31"/>
      <c r="AS24" s="33"/>
    </row>
    <row r="25" spans="1:45" x14ac:dyDescent="0.3">
      <c r="A25" s="30" t="s">
        <v>543</v>
      </c>
      <c r="B25" s="31" t="s">
        <v>380</v>
      </c>
      <c r="C25" s="31" t="s">
        <v>568</v>
      </c>
      <c r="D25" s="117">
        <v>5164</v>
      </c>
      <c r="E25" s="31" t="s">
        <v>538</v>
      </c>
      <c r="F25" s="83"/>
      <c r="G25" s="83"/>
      <c r="H25" s="83"/>
      <c r="I25" s="83"/>
      <c r="J25" s="83"/>
      <c r="K25" s="83"/>
      <c r="L25" s="31"/>
      <c r="M25" s="31" t="s">
        <v>548</v>
      </c>
      <c r="N25" s="31"/>
      <c r="O25" s="31"/>
      <c r="P25" s="31"/>
      <c r="Q25" s="31"/>
      <c r="R25" s="117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7"/>
      <c r="AL25" s="31"/>
      <c r="AM25" s="31"/>
      <c r="AN25" s="31"/>
      <c r="AO25" s="31"/>
      <c r="AP25" s="31"/>
      <c r="AQ25" s="31"/>
      <c r="AR25" s="31"/>
      <c r="AS25" s="33"/>
    </row>
    <row r="26" spans="1:45" x14ac:dyDescent="0.3">
      <c r="A26" s="30" t="s">
        <v>543</v>
      </c>
      <c r="B26" s="31" t="s">
        <v>380</v>
      </c>
      <c r="C26" s="31" t="s">
        <v>569</v>
      </c>
      <c r="D26" s="117">
        <v>5143</v>
      </c>
      <c r="E26" s="31" t="s">
        <v>538</v>
      </c>
      <c r="F26" s="83"/>
      <c r="G26" s="83"/>
      <c r="H26" s="83"/>
      <c r="I26" s="83"/>
      <c r="J26" s="83"/>
      <c r="K26" s="83"/>
      <c r="L26" s="31"/>
      <c r="M26" s="31" t="s">
        <v>548</v>
      </c>
      <c r="N26" s="31"/>
      <c r="O26" s="31"/>
      <c r="P26" s="31"/>
      <c r="Q26" s="31"/>
      <c r="R26" s="117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7"/>
      <c r="AL26" s="31"/>
      <c r="AM26" s="31"/>
      <c r="AN26" s="31"/>
      <c r="AO26" s="31"/>
      <c r="AP26" s="31"/>
      <c r="AQ26" s="31"/>
      <c r="AR26" s="31"/>
      <c r="AS26" s="33"/>
    </row>
    <row r="27" spans="1:45" x14ac:dyDescent="0.3">
      <c r="A27" s="30" t="s">
        <v>543</v>
      </c>
      <c r="B27" s="31" t="s">
        <v>380</v>
      </c>
      <c r="C27" s="31" t="s">
        <v>570</v>
      </c>
      <c r="D27" s="117">
        <v>5057</v>
      </c>
      <c r="E27" s="31" t="s">
        <v>538</v>
      </c>
      <c r="F27" s="83"/>
      <c r="G27" s="83"/>
      <c r="H27" s="83"/>
      <c r="I27" s="83"/>
      <c r="J27" s="83"/>
      <c r="K27" s="83"/>
      <c r="L27" s="31"/>
      <c r="M27" s="31" t="s">
        <v>548</v>
      </c>
      <c r="N27" s="31"/>
      <c r="O27" s="31"/>
      <c r="P27" s="31"/>
      <c r="Q27" s="31"/>
      <c r="R27" s="117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7"/>
      <c r="AL27" s="31"/>
      <c r="AM27" s="31"/>
      <c r="AN27" s="31"/>
      <c r="AO27" s="31"/>
      <c r="AP27" s="31"/>
      <c r="AQ27" s="31"/>
      <c r="AR27" s="31"/>
      <c r="AS27" s="33"/>
    </row>
    <row r="28" spans="1:45" x14ac:dyDescent="0.3">
      <c r="A28" s="30" t="s">
        <v>543</v>
      </c>
      <c r="B28" s="31" t="s">
        <v>380</v>
      </c>
      <c r="C28" s="31" t="s">
        <v>571</v>
      </c>
      <c r="D28" s="117">
        <v>5102</v>
      </c>
      <c r="E28" s="31" t="s">
        <v>538</v>
      </c>
      <c r="F28" s="83"/>
      <c r="G28" s="83"/>
      <c r="H28" s="83"/>
      <c r="I28" s="83"/>
      <c r="J28" s="83"/>
      <c r="K28" s="83"/>
      <c r="L28" s="31"/>
      <c r="M28" s="31" t="s">
        <v>548</v>
      </c>
      <c r="N28" s="31"/>
      <c r="O28" s="31"/>
      <c r="P28" s="31"/>
      <c r="Q28" s="31"/>
      <c r="R28" s="117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7"/>
      <c r="AL28" s="31"/>
      <c r="AM28" s="31"/>
      <c r="AN28" s="31"/>
      <c r="AO28" s="31"/>
      <c r="AP28" s="31"/>
      <c r="AQ28" s="31"/>
      <c r="AR28" s="31"/>
      <c r="AS28" s="33"/>
    </row>
    <row r="29" spans="1:45" x14ac:dyDescent="0.3">
      <c r="A29" s="30" t="s">
        <v>543</v>
      </c>
      <c r="B29" s="31" t="s">
        <v>380</v>
      </c>
      <c r="C29" s="31" t="s">
        <v>572</v>
      </c>
      <c r="D29" s="117">
        <v>5076</v>
      </c>
      <c r="E29" s="31" t="s">
        <v>538</v>
      </c>
      <c r="F29" s="83"/>
      <c r="G29" s="83"/>
      <c r="H29" s="83"/>
      <c r="I29" s="83"/>
      <c r="J29" s="83"/>
      <c r="K29" s="83"/>
      <c r="L29" s="31"/>
      <c r="M29" s="31" t="s">
        <v>548</v>
      </c>
      <c r="N29" s="31"/>
      <c r="O29" s="31"/>
      <c r="P29" s="31"/>
      <c r="Q29" s="31"/>
      <c r="R29" s="117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7"/>
      <c r="AL29" s="31"/>
      <c r="AM29" s="31"/>
      <c r="AN29" s="31"/>
      <c r="AO29" s="31"/>
      <c r="AP29" s="31"/>
      <c r="AQ29" s="31"/>
      <c r="AR29" s="31"/>
      <c r="AS29" s="33"/>
    </row>
    <row r="30" spans="1:45" x14ac:dyDescent="0.3">
      <c r="A30" s="30" t="s">
        <v>543</v>
      </c>
      <c r="B30" s="31" t="s">
        <v>380</v>
      </c>
      <c r="C30" s="31" t="s">
        <v>573</v>
      </c>
      <c r="D30" s="117">
        <v>5050</v>
      </c>
      <c r="E30" s="31" t="s">
        <v>538</v>
      </c>
      <c r="F30" s="83"/>
      <c r="G30" s="83"/>
      <c r="H30" s="83"/>
      <c r="I30" s="83"/>
      <c r="J30" s="83"/>
      <c r="K30" s="83"/>
      <c r="L30" s="31"/>
      <c r="M30" s="31" t="s">
        <v>548</v>
      </c>
      <c r="N30" s="31"/>
      <c r="O30" s="31"/>
      <c r="P30" s="31"/>
      <c r="Q30" s="31"/>
      <c r="R30" s="117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7"/>
      <c r="AL30" s="31"/>
      <c r="AM30" s="31"/>
      <c r="AN30" s="31"/>
      <c r="AO30" s="31"/>
      <c r="AP30" s="31"/>
      <c r="AQ30" s="31"/>
      <c r="AR30" s="31"/>
      <c r="AS30" s="33"/>
    </row>
    <row r="31" spans="1:45" x14ac:dyDescent="0.3">
      <c r="A31" s="30" t="s">
        <v>543</v>
      </c>
      <c r="B31" s="31" t="s">
        <v>380</v>
      </c>
      <c r="C31" s="31" t="s">
        <v>574</v>
      </c>
      <c r="D31" s="117">
        <v>5081</v>
      </c>
      <c r="E31" s="31" t="s">
        <v>538</v>
      </c>
      <c r="F31" s="83"/>
      <c r="G31" s="83"/>
      <c r="H31" s="83"/>
      <c r="I31" s="83"/>
      <c r="J31" s="83"/>
      <c r="K31" s="83"/>
      <c r="L31" s="31"/>
      <c r="M31" s="31" t="s">
        <v>548</v>
      </c>
      <c r="N31" s="31"/>
      <c r="O31" s="31"/>
      <c r="P31" s="31"/>
      <c r="Q31" s="31"/>
      <c r="R31" s="117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17"/>
      <c r="AL31" s="31"/>
      <c r="AM31" s="31"/>
      <c r="AN31" s="31"/>
      <c r="AO31" s="31"/>
      <c r="AP31" s="31"/>
      <c r="AQ31" s="31"/>
      <c r="AR31" s="31"/>
      <c r="AS31" s="33"/>
    </row>
    <row r="32" spans="1:45" x14ac:dyDescent="0.3">
      <c r="A32" s="30" t="s">
        <v>543</v>
      </c>
      <c r="B32" s="31" t="s">
        <v>380</v>
      </c>
      <c r="C32" s="31" t="s">
        <v>575</v>
      </c>
      <c r="D32" s="117">
        <v>5058</v>
      </c>
      <c r="E32" s="31" t="s">
        <v>538</v>
      </c>
      <c r="F32" s="83"/>
      <c r="G32" s="83"/>
      <c r="H32" s="83"/>
      <c r="I32" s="83"/>
      <c r="J32" s="83"/>
      <c r="K32" s="83"/>
      <c r="L32" s="31"/>
      <c r="M32" s="31" t="s">
        <v>548</v>
      </c>
      <c r="N32" s="31"/>
      <c r="O32" s="31"/>
      <c r="P32" s="31"/>
      <c r="Q32" s="31"/>
      <c r="R32" s="117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7"/>
      <c r="AL32" s="31"/>
      <c r="AM32" s="31"/>
      <c r="AN32" s="31"/>
      <c r="AO32" s="31"/>
      <c r="AP32" s="31"/>
      <c r="AQ32" s="31"/>
      <c r="AR32" s="31"/>
      <c r="AS32" s="33"/>
    </row>
    <row r="33" spans="1:45" x14ac:dyDescent="0.3">
      <c r="A33" s="30" t="s">
        <v>543</v>
      </c>
      <c r="B33" s="31" t="s">
        <v>380</v>
      </c>
      <c r="C33" s="31" t="s">
        <v>576</v>
      </c>
      <c r="D33" s="117">
        <v>5043</v>
      </c>
      <c r="E33" s="31" t="s">
        <v>538</v>
      </c>
      <c r="F33" s="83"/>
      <c r="G33" s="83"/>
      <c r="H33" s="83"/>
      <c r="I33" s="83"/>
      <c r="J33" s="83"/>
      <c r="K33" s="83"/>
      <c r="L33" s="31"/>
      <c r="M33" s="31" t="s">
        <v>548</v>
      </c>
      <c r="N33" s="31"/>
      <c r="O33" s="31"/>
      <c r="P33" s="31"/>
      <c r="Q33" s="31"/>
      <c r="R33" s="117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7"/>
      <c r="AL33" s="31"/>
      <c r="AM33" s="31"/>
      <c r="AN33" s="31"/>
      <c r="AO33" s="31"/>
      <c r="AP33" s="31"/>
      <c r="AQ33" s="31"/>
      <c r="AR33" s="31"/>
      <c r="AS33" s="33"/>
    </row>
    <row r="34" spans="1:45" x14ac:dyDescent="0.3">
      <c r="A34" s="30" t="s">
        <v>543</v>
      </c>
      <c r="B34" s="31" t="s">
        <v>380</v>
      </c>
      <c r="C34" s="31" t="s">
        <v>577</v>
      </c>
      <c r="D34" s="117">
        <v>5030</v>
      </c>
      <c r="E34" s="31" t="s">
        <v>538</v>
      </c>
      <c r="F34" s="83"/>
      <c r="G34" s="83"/>
      <c r="H34" s="83"/>
      <c r="I34" s="83"/>
      <c r="J34" s="83"/>
      <c r="K34" s="83"/>
      <c r="L34" s="31"/>
      <c r="M34" s="31" t="s">
        <v>548</v>
      </c>
      <c r="N34" s="31"/>
      <c r="O34" s="31"/>
      <c r="P34" s="31"/>
      <c r="Q34" s="31"/>
      <c r="R34" s="117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17"/>
      <c r="AL34" s="31"/>
      <c r="AM34" s="31"/>
      <c r="AN34" s="31"/>
      <c r="AO34" s="31"/>
      <c r="AP34" s="31"/>
      <c r="AQ34" s="31"/>
      <c r="AR34" s="31"/>
      <c r="AS34" s="33"/>
    </row>
    <row r="35" spans="1:45" x14ac:dyDescent="0.3">
      <c r="A35" s="30" t="s">
        <v>543</v>
      </c>
      <c r="B35" s="31" t="s">
        <v>380</v>
      </c>
      <c r="C35" s="31" t="s">
        <v>578</v>
      </c>
      <c r="D35" s="117">
        <v>5058</v>
      </c>
      <c r="E35" s="31" t="s">
        <v>538</v>
      </c>
      <c r="F35" s="83"/>
      <c r="G35" s="83"/>
      <c r="H35" s="83"/>
      <c r="I35" s="83"/>
      <c r="J35" s="83"/>
      <c r="K35" s="83"/>
      <c r="L35" s="31"/>
      <c r="M35" s="31" t="s">
        <v>548</v>
      </c>
      <c r="N35" s="31"/>
      <c r="O35" s="31"/>
      <c r="P35" s="31"/>
      <c r="Q35" s="31"/>
      <c r="R35" s="117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17"/>
      <c r="AL35" s="31"/>
      <c r="AM35" s="31"/>
      <c r="AN35" s="31"/>
      <c r="AO35" s="31"/>
      <c r="AP35" s="31"/>
      <c r="AQ35" s="31"/>
      <c r="AR35" s="31"/>
      <c r="AS35" s="33"/>
    </row>
    <row r="36" spans="1:45" x14ac:dyDescent="0.3">
      <c r="A36" s="30" t="s">
        <v>543</v>
      </c>
      <c r="B36" s="31" t="s">
        <v>380</v>
      </c>
      <c r="C36" s="31" t="s">
        <v>579</v>
      </c>
      <c r="D36" s="117">
        <v>5075</v>
      </c>
      <c r="E36" s="31" t="s">
        <v>538</v>
      </c>
      <c r="F36" s="83"/>
      <c r="G36" s="83"/>
      <c r="H36" s="83"/>
      <c r="I36" s="83"/>
      <c r="J36" s="83"/>
      <c r="K36" s="83"/>
      <c r="L36" s="31"/>
      <c r="M36" s="31" t="s">
        <v>548</v>
      </c>
      <c r="N36" s="31"/>
      <c r="O36" s="31"/>
      <c r="P36" s="31"/>
      <c r="Q36" s="31"/>
      <c r="R36" s="117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17"/>
      <c r="AL36" s="31"/>
      <c r="AM36" s="31"/>
      <c r="AN36" s="31"/>
      <c r="AO36" s="31"/>
      <c r="AP36" s="31"/>
      <c r="AQ36" s="31"/>
      <c r="AR36" s="31"/>
      <c r="AS36" s="33"/>
    </row>
    <row r="37" spans="1:45" x14ac:dyDescent="0.3">
      <c r="A37" s="30" t="s">
        <v>543</v>
      </c>
      <c r="B37" s="31" t="s">
        <v>380</v>
      </c>
      <c r="C37" s="31" t="s">
        <v>580</v>
      </c>
      <c r="D37" s="117">
        <v>5130</v>
      </c>
      <c r="E37" s="31" t="s">
        <v>538</v>
      </c>
      <c r="F37" s="83"/>
      <c r="G37" s="83"/>
      <c r="H37" s="83"/>
      <c r="I37" s="83"/>
      <c r="J37" s="83"/>
      <c r="K37" s="83"/>
      <c r="L37" s="31"/>
      <c r="M37" s="31" t="s">
        <v>548</v>
      </c>
      <c r="N37" s="31"/>
      <c r="O37" s="31"/>
      <c r="P37" s="31"/>
      <c r="Q37" s="31"/>
      <c r="R37" s="117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17"/>
      <c r="AL37" s="31"/>
      <c r="AM37" s="31"/>
      <c r="AN37" s="31"/>
      <c r="AO37" s="31"/>
      <c r="AP37" s="31"/>
      <c r="AQ37" s="31"/>
      <c r="AR37" s="31"/>
      <c r="AS37" s="33"/>
    </row>
    <row r="38" spans="1:45" x14ac:dyDescent="0.3">
      <c r="A38" s="30" t="s">
        <v>543</v>
      </c>
      <c r="B38" s="31" t="s">
        <v>380</v>
      </c>
      <c r="C38" s="31" t="s">
        <v>581</v>
      </c>
      <c r="D38" s="117">
        <v>5058</v>
      </c>
      <c r="E38" s="31" t="s">
        <v>538</v>
      </c>
      <c r="F38" s="83"/>
      <c r="G38" s="83"/>
      <c r="H38" s="83"/>
      <c r="I38" s="83"/>
      <c r="J38" s="83"/>
      <c r="K38" s="83"/>
      <c r="L38" s="31"/>
      <c r="M38" s="31" t="s">
        <v>548</v>
      </c>
      <c r="N38" s="31"/>
      <c r="O38" s="31"/>
      <c r="P38" s="31"/>
      <c r="Q38" s="31"/>
      <c r="R38" s="117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17"/>
      <c r="AL38" s="31"/>
      <c r="AM38" s="31"/>
      <c r="AN38" s="31"/>
      <c r="AO38" s="31"/>
      <c r="AP38" s="31"/>
      <c r="AQ38" s="31"/>
      <c r="AR38" s="31"/>
      <c r="AS38" s="33"/>
    </row>
    <row r="39" spans="1:45" x14ac:dyDescent="0.3">
      <c r="A39" s="30" t="s">
        <v>543</v>
      </c>
      <c r="B39" s="31" t="s">
        <v>380</v>
      </c>
      <c r="C39" s="31" t="s">
        <v>582</v>
      </c>
      <c r="D39" s="117">
        <v>5026</v>
      </c>
      <c r="E39" s="31" t="s">
        <v>538</v>
      </c>
      <c r="F39" s="83"/>
      <c r="G39" s="83"/>
      <c r="H39" s="83"/>
      <c r="I39" s="83"/>
      <c r="J39" s="83"/>
      <c r="K39" s="83"/>
      <c r="L39" s="31"/>
      <c r="M39" s="31" t="s">
        <v>548</v>
      </c>
      <c r="N39" s="31"/>
      <c r="O39" s="31"/>
      <c r="P39" s="31"/>
      <c r="Q39" s="31"/>
      <c r="R39" s="117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17"/>
      <c r="AL39" s="31"/>
      <c r="AM39" s="31"/>
      <c r="AN39" s="31"/>
      <c r="AO39" s="31"/>
      <c r="AP39" s="31"/>
      <c r="AQ39" s="31"/>
      <c r="AR39" s="31"/>
      <c r="AS39" s="33"/>
    </row>
    <row r="40" spans="1:45" x14ac:dyDescent="0.3">
      <c r="A40" s="30" t="s">
        <v>543</v>
      </c>
      <c r="B40" s="31" t="s">
        <v>380</v>
      </c>
      <c r="C40" s="31" t="s">
        <v>583</v>
      </c>
      <c r="D40" s="117">
        <v>5031</v>
      </c>
      <c r="E40" s="31" t="s">
        <v>538</v>
      </c>
      <c r="F40" s="83"/>
      <c r="G40" s="83"/>
      <c r="H40" s="83"/>
      <c r="I40" s="83"/>
      <c r="J40" s="83"/>
      <c r="K40" s="83"/>
      <c r="L40" s="31"/>
      <c r="M40" s="31" t="s">
        <v>548</v>
      </c>
      <c r="N40" s="31"/>
      <c r="O40" s="31"/>
      <c r="P40" s="31"/>
      <c r="Q40" s="31"/>
      <c r="R40" s="117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17"/>
      <c r="AL40" s="31"/>
      <c r="AM40" s="31"/>
      <c r="AN40" s="31"/>
      <c r="AO40" s="31"/>
      <c r="AP40" s="31"/>
      <c r="AQ40" s="31"/>
      <c r="AR40" s="31"/>
      <c r="AS40" s="33"/>
    </row>
    <row r="41" spans="1:45" x14ac:dyDescent="0.3">
      <c r="A41" s="30" t="s">
        <v>543</v>
      </c>
      <c r="B41" s="31" t="s">
        <v>380</v>
      </c>
      <c r="C41" s="31" t="s">
        <v>584</v>
      </c>
      <c r="D41" s="117">
        <v>5058</v>
      </c>
      <c r="E41" s="31" t="s">
        <v>538</v>
      </c>
      <c r="F41" s="83"/>
      <c r="G41" s="83"/>
      <c r="H41" s="83"/>
      <c r="I41" s="83"/>
      <c r="J41" s="83"/>
      <c r="K41" s="83"/>
      <c r="L41" s="31"/>
      <c r="M41" s="31" t="s">
        <v>548</v>
      </c>
      <c r="N41" s="31"/>
      <c r="O41" s="31"/>
      <c r="P41" s="31"/>
      <c r="Q41" s="31"/>
      <c r="R41" s="117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17"/>
      <c r="AL41" s="31"/>
      <c r="AM41" s="31"/>
      <c r="AN41" s="31"/>
      <c r="AO41" s="31"/>
      <c r="AP41" s="31"/>
      <c r="AQ41" s="31"/>
      <c r="AR41" s="31"/>
      <c r="AS41" s="33"/>
    </row>
    <row r="42" spans="1:45" x14ac:dyDescent="0.3">
      <c r="A42" s="30" t="s">
        <v>543</v>
      </c>
      <c r="B42" s="31" t="s">
        <v>380</v>
      </c>
      <c r="C42" s="31" t="s">
        <v>585</v>
      </c>
      <c r="D42" s="117">
        <v>5092</v>
      </c>
      <c r="E42" s="31" t="s">
        <v>538</v>
      </c>
      <c r="F42" s="83"/>
      <c r="G42" s="83"/>
      <c r="H42" s="83"/>
      <c r="I42" s="83"/>
      <c r="J42" s="83"/>
      <c r="K42" s="83"/>
      <c r="L42" s="31"/>
      <c r="M42" s="31" t="s">
        <v>548</v>
      </c>
      <c r="N42" s="31"/>
      <c r="O42" s="31"/>
      <c r="P42" s="31"/>
      <c r="Q42" s="31"/>
      <c r="R42" s="117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17"/>
      <c r="AL42" s="31"/>
      <c r="AM42" s="31"/>
      <c r="AN42" s="31"/>
      <c r="AO42" s="31"/>
      <c r="AP42" s="31"/>
      <c r="AQ42" s="31"/>
      <c r="AR42" s="31"/>
      <c r="AS42" s="33"/>
    </row>
    <row r="43" spans="1:45" x14ac:dyDescent="0.3">
      <c r="A43" s="30" t="s">
        <v>543</v>
      </c>
      <c r="B43" s="31" t="s">
        <v>380</v>
      </c>
      <c r="C43" s="31" t="s">
        <v>586</v>
      </c>
      <c r="D43" s="117">
        <v>5043</v>
      </c>
      <c r="E43" s="31" t="s">
        <v>538</v>
      </c>
      <c r="F43" s="83"/>
      <c r="G43" s="83"/>
      <c r="H43" s="83"/>
      <c r="I43" s="83"/>
      <c r="J43" s="83"/>
      <c r="K43" s="83"/>
      <c r="L43" s="31"/>
      <c r="M43" s="31" t="s">
        <v>548</v>
      </c>
      <c r="N43" s="31"/>
      <c r="O43" s="31"/>
      <c r="P43" s="31"/>
      <c r="Q43" s="31"/>
      <c r="R43" s="117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17"/>
      <c r="AL43" s="31"/>
      <c r="AM43" s="31"/>
      <c r="AN43" s="31"/>
      <c r="AO43" s="31"/>
      <c r="AP43" s="31"/>
      <c r="AQ43" s="31"/>
      <c r="AR43" s="31"/>
      <c r="AS43" s="33"/>
    </row>
    <row r="44" spans="1:45" x14ac:dyDescent="0.3">
      <c r="A44" s="30" t="s">
        <v>543</v>
      </c>
      <c r="B44" s="31" t="s">
        <v>380</v>
      </c>
      <c r="C44" s="31" t="s">
        <v>587</v>
      </c>
      <c r="D44" s="117">
        <v>5058</v>
      </c>
      <c r="E44" s="31" t="s">
        <v>538</v>
      </c>
      <c r="F44" s="83"/>
      <c r="G44" s="83"/>
      <c r="H44" s="83"/>
      <c r="I44" s="83"/>
      <c r="J44" s="83"/>
      <c r="K44" s="83"/>
      <c r="L44" s="31"/>
      <c r="M44" s="31" t="s">
        <v>548</v>
      </c>
      <c r="N44" s="31"/>
      <c r="O44" s="31"/>
      <c r="P44" s="31"/>
      <c r="Q44" s="31"/>
      <c r="R44" s="117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17"/>
      <c r="AL44" s="31"/>
      <c r="AM44" s="31"/>
      <c r="AN44" s="31"/>
      <c r="AO44" s="31"/>
      <c r="AP44" s="31"/>
      <c r="AQ44" s="31"/>
      <c r="AR44" s="31"/>
      <c r="AS44" s="33"/>
    </row>
    <row r="45" spans="1:45" x14ac:dyDescent="0.3">
      <c r="A45" s="30" t="s">
        <v>543</v>
      </c>
      <c r="B45" s="31" t="s">
        <v>380</v>
      </c>
      <c r="C45" s="31" t="s">
        <v>588</v>
      </c>
      <c r="D45" s="117">
        <v>5098</v>
      </c>
      <c r="E45" s="31" t="s">
        <v>538</v>
      </c>
      <c r="F45" s="83"/>
      <c r="G45" s="83"/>
      <c r="H45" s="83"/>
      <c r="I45" s="83"/>
      <c r="J45" s="83"/>
      <c r="K45" s="83"/>
      <c r="L45" s="31"/>
      <c r="M45" s="31" t="s">
        <v>548</v>
      </c>
      <c r="N45" s="31"/>
      <c r="O45" s="31"/>
      <c r="P45" s="31"/>
      <c r="Q45" s="31"/>
      <c r="R45" s="117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17"/>
      <c r="AL45" s="31"/>
      <c r="AM45" s="31"/>
      <c r="AN45" s="31"/>
      <c r="AO45" s="31"/>
      <c r="AP45" s="31"/>
      <c r="AQ45" s="31"/>
      <c r="AR45" s="31"/>
      <c r="AS45" s="33"/>
    </row>
    <row r="46" spans="1:45" x14ac:dyDescent="0.3">
      <c r="A46" s="30" t="s">
        <v>543</v>
      </c>
      <c r="B46" s="31" t="s">
        <v>380</v>
      </c>
      <c r="C46" s="31" t="s">
        <v>589</v>
      </c>
      <c r="D46" s="117">
        <v>5068</v>
      </c>
      <c r="E46" s="31" t="s">
        <v>538</v>
      </c>
      <c r="F46" s="83"/>
      <c r="G46" s="83"/>
      <c r="H46" s="83"/>
      <c r="I46" s="83"/>
      <c r="J46" s="83"/>
      <c r="K46" s="83"/>
      <c r="L46" s="31"/>
      <c r="M46" s="31" t="s">
        <v>548</v>
      </c>
      <c r="N46" s="31"/>
      <c r="O46" s="31"/>
      <c r="P46" s="31"/>
      <c r="Q46" s="31"/>
      <c r="R46" s="117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17"/>
      <c r="AL46" s="31"/>
      <c r="AM46" s="31"/>
      <c r="AN46" s="31"/>
      <c r="AO46" s="31"/>
      <c r="AP46" s="31"/>
      <c r="AQ46" s="31"/>
      <c r="AR46" s="31"/>
      <c r="AS46" s="33"/>
    </row>
    <row r="47" spans="1:45" x14ac:dyDescent="0.3">
      <c r="A47" s="30" t="s">
        <v>543</v>
      </c>
      <c r="B47" s="31" t="s">
        <v>380</v>
      </c>
      <c r="C47" s="31" t="s">
        <v>590</v>
      </c>
      <c r="D47" s="117">
        <v>5119</v>
      </c>
      <c r="E47" s="31" t="s">
        <v>538</v>
      </c>
      <c r="F47" s="83"/>
      <c r="G47" s="83"/>
      <c r="H47" s="83"/>
      <c r="I47" s="83"/>
      <c r="J47" s="83"/>
      <c r="K47" s="83"/>
      <c r="L47" s="31"/>
      <c r="M47" s="31" t="s">
        <v>548</v>
      </c>
      <c r="N47" s="31"/>
      <c r="O47" s="31"/>
      <c r="P47" s="31"/>
      <c r="Q47" s="31"/>
      <c r="R47" s="117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17"/>
      <c r="AL47" s="31"/>
      <c r="AM47" s="31"/>
      <c r="AN47" s="31"/>
      <c r="AO47" s="31"/>
      <c r="AP47" s="31"/>
      <c r="AQ47" s="31"/>
      <c r="AR47" s="31"/>
      <c r="AS47" s="33"/>
    </row>
    <row r="48" spans="1:45" x14ac:dyDescent="0.3">
      <c r="A48" s="30" t="s">
        <v>543</v>
      </c>
      <c r="B48" s="31" t="s">
        <v>380</v>
      </c>
      <c r="C48" s="31" t="s">
        <v>591</v>
      </c>
      <c r="D48" s="117">
        <v>5142</v>
      </c>
      <c r="E48" s="31" t="s">
        <v>538</v>
      </c>
      <c r="F48" s="83"/>
      <c r="G48" s="83"/>
      <c r="H48" s="83"/>
      <c r="I48" s="83"/>
      <c r="J48" s="83"/>
      <c r="K48" s="83"/>
      <c r="L48" s="31"/>
      <c r="M48" s="31" t="s">
        <v>548</v>
      </c>
      <c r="N48" s="31"/>
      <c r="O48" s="31"/>
      <c r="P48" s="31"/>
      <c r="Q48" s="31"/>
      <c r="R48" s="117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17"/>
      <c r="AL48" s="31"/>
      <c r="AM48" s="31"/>
      <c r="AN48" s="31"/>
      <c r="AO48" s="31"/>
      <c r="AP48" s="31"/>
      <c r="AQ48" s="31"/>
      <c r="AR48" s="31"/>
      <c r="AS48" s="33"/>
    </row>
    <row r="49" spans="1:45" x14ac:dyDescent="0.3">
      <c r="A49" s="30" t="s">
        <v>543</v>
      </c>
      <c r="B49" s="31" t="s">
        <v>380</v>
      </c>
      <c r="C49" s="31" t="s">
        <v>592</v>
      </c>
      <c r="D49" s="117">
        <v>5005</v>
      </c>
      <c r="E49" s="31" t="s">
        <v>538</v>
      </c>
      <c r="F49" s="83"/>
      <c r="G49" s="83"/>
      <c r="H49" s="83"/>
      <c r="I49" s="83"/>
      <c r="J49" s="83"/>
      <c r="K49" s="83"/>
      <c r="L49" s="31"/>
      <c r="M49" s="31" t="s">
        <v>548</v>
      </c>
      <c r="N49" s="31"/>
      <c r="O49" s="31"/>
      <c r="P49" s="31"/>
      <c r="Q49" s="31"/>
      <c r="R49" s="117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17"/>
      <c r="AL49" s="31"/>
      <c r="AM49" s="31"/>
      <c r="AN49" s="31"/>
      <c r="AO49" s="31"/>
      <c r="AP49" s="31"/>
      <c r="AQ49" s="31"/>
      <c r="AR49" s="31"/>
      <c r="AS49" s="33"/>
    </row>
    <row r="50" spans="1:45" x14ac:dyDescent="0.3">
      <c r="A50" s="30" t="s">
        <v>543</v>
      </c>
      <c r="B50" s="31" t="s">
        <v>380</v>
      </c>
      <c r="C50" s="31" t="s">
        <v>593</v>
      </c>
      <c r="D50" s="117">
        <v>5058</v>
      </c>
      <c r="E50" s="31" t="s">
        <v>538</v>
      </c>
      <c r="F50" s="83"/>
      <c r="G50" s="83"/>
      <c r="H50" s="83"/>
      <c r="I50" s="83"/>
      <c r="J50" s="83"/>
      <c r="K50" s="83"/>
      <c r="L50" s="31"/>
      <c r="M50" s="31" t="s">
        <v>548</v>
      </c>
      <c r="N50" s="31"/>
      <c r="O50" s="31"/>
      <c r="P50" s="31"/>
      <c r="Q50" s="31"/>
      <c r="R50" s="117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17"/>
      <c r="AL50" s="31"/>
      <c r="AM50" s="31"/>
      <c r="AN50" s="31"/>
      <c r="AO50" s="31"/>
      <c r="AP50" s="31"/>
      <c r="AQ50" s="31"/>
      <c r="AR50" s="31"/>
      <c r="AS50" s="33"/>
    </row>
    <row r="51" spans="1:45" x14ac:dyDescent="0.3">
      <c r="A51" s="30" t="s">
        <v>543</v>
      </c>
      <c r="B51" s="31" t="s">
        <v>380</v>
      </c>
      <c r="C51" s="31" t="s">
        <v>594</v>
      </c>
      <c r="D51" s="117">
        <v>5074</v>
      </c>
      <c r="E51" s="31" t="s">
        <v>538</v>
      </c>
      <c r="F51" s="83"/>
      <c r="G51" s="83"/>
      <c r="H51" s="83"/>
      <c r="I51" s="83"/>
      <c r="J51" s="83"/>
      <c r="K51" s="83"/>
      <c r="L51" s="31"/>
      <c r="M51" s="31" t="s">
        <v>548</v>
      </c>
      <c r="N51" s="31"/>
      <c r="O51" s="31"/>
      <c r="P51" s="31"/>
      <c r="Q51" s="31"/>
      <c r="R51" s="117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17"/>
      <c r="AL51" s="31"/>
      <c r="AM51" s="31"/>
      <c r="AN51" s="31"/>
      <c r="AO51" s="31"/>
      <c r="AP51" s="31"/>
      <c r="AQ51" s="31"/>
      <c r="AR51" s="31"/>
      <c r="AS51" s="33"/>
    </row>
    <row r="52" spans="1:45" x14ac:dyDescent="0.3">
      <c r="A52" s="30" t="s">
        <v>543</v>
      </c>
      <c r="B52" s="31" t="s">
        <v>380</v>
      </c>
      <c r="C52" s="31" t="s">
        <v>595</v>
      </c>
      <c r="D52" s="117">
        <v>5041</v>
      </c>
      <c r="E52" s="31" t="s">
        <v>538</v>
      </c>
      <c r="F52" s="83"/>
      <c r="G52" s="83"/>
      <c r="H52" s="83"/>
      <c r="I52" s="83"/>
      <c r="J52" s="83"/>
      <c r="K52" s="83"/>
      <c r="L52" s="31"/>
      <c r="M52" s="31" t="s">
        <v>548</v>
      </c>
      <c r="N52" s="31"/>
      <c r="O52" s="31"/>
      <c r="P52" s="31"/>
      <c r="Q52" s="31"/>
      <c r="R52" s="117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17"/>
      <c r="AL52" s="31"/>
      <c r="AM52" s="31"/>
      <c r="AN52" s="31"/>
      <c r="AO52" s="31"/>
      <c r="AP52" s="31"/>
      <c r="AQ52" s="31"/>
      <c r="AR52" s="31"/>
      <c r="AS52" s="33"/>
    </row>
    <row r="53" spans="1:45" x14ac:dyDescent="0.3">
      <c r="A53" s="30" t="s">
        <v>543</v>
      </c>
      <c r="B53" s="31" t="s">
        <v>380</v>
      </c>
      <c r="C53" s="31" t="s">
        <v>596</v>
      </c>
      <c r="D53" s="117">
        <v>5107</v>
      </c>
      <c r="E53" s="31" t="s">
        <v>538</v>
      </c>
      <c r="F53" s="83"/>
      <c r="G53" s="83"/>
      <c r="H53" s="83"/>
      <c r="I53" s="83"/>
      <c r="J53" s="83"/>
      <c r="K53" s="83"/>
      <c r="L53" s="31"/>
      <c r="M53" s="31" t="s">
        <v>548</v>
      </c>
      <c r="N53" s="31"/>
      <c r="O53" s="31"/>
      <c r="P53" s="31"/>
      <c r="Q53" s="31"/>
      <c r="R53" s="117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17"/>
      <c r="AL53" s="31"/>
      <c r="AM53" s="31"/>
      <c r="AN53" s="31"/>
      <c r="AO53" s="31"/>
      <c r="AP53" s="31"/>
      <c r="AQ53" s="31"/>
      <c r="AR53" s="31"/>
      <c r="AS53" s="33"/>
    </row>
    <row r="54" spans="1:45" x14ac:dyDescent="0.3">
      <c r="A54" s="30" t="s">
        <v>543</v>
      </c>
      <c r="B54" s="31" t="s">
        <v>380</v>
      </c>
      <c r="C54" s="31" t="s">
        <v>597</v>
      </c>
      <c r="D54" s="117">
        <v>5010</v>
      </c>
      <c r="E54" s="31" t="s">
        <v>538</v>
      </c>
      <c r="F54" s="83"/>
      <c r="G54" s="83"/>
      <c r="H54" s="83"/>
      <c r="I54" s="83"/>
      <c r="J54" s="83"/>
      <c r="K54" s="83"/>
      <c r="L54" s="31"/>
      <c r="M54" s="31" t="s">
        <v>548</v>
      </c>
      <c r="N54" s="31"/>
      <c r="O54" s="31"/>
      <c r="P54" s="31"/>
      <c r="Q54" s="31"/>
      <c r="R54" s="117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17"/>
      <c r="AL54" s="31"/>
      <c r="AM54" s="31"/>
      <c r="AN54" s="31"/>
      <c r="AO54" s="31"/>
      <c r="AP54" s="31"/>
      <c r="AQ54" s="31"/>
      <c r="AR54" s="31"/>
      <c r="AS54" s="33"/>
    </row>
    <row r="55" spans="1:45" x14ac:dyDescent="0.3">
      <c r="A55" s="30" t="s">
        <v>543</v>
      </c>
      <c r="B55" s="31" t="s">
        <v>380</v>
      </c>
      <c r="C55" s="31" t="s">
        <v>598</v>
      </c>
      <c r="D55" s="117">
        <v>5007</v>
      </c>
      <c r="E55" s="31" t="s">
        <v>538</v>
      </c>
      <c r="F55" s="83"/>
      <c r="G55" s="83"/>
      <c r="H55" s="83"/>
      <c r="I55" s="83"/>
      <c r="J55" s="83"/>
      <c r="K55" s="83"/>
      <c r="L55" s="31"/>
      <c r="M55" s="31" t="s">
        <v>548</v>
      </c>
      <c r="N55" s="31"/>
      <c r="O55" s="31"/>
      <c r="P55" s="31"/>
      <c r="Q55" s="31"/>
      <c r="R55" s="117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17"/>
      <c r="AL55" s="31"/>
      <c r="AM55" s="31"/>
      <c r="AN55" s="31"/>
      <c r="AO55" s="31"/>
      <c r="AP55" s="31"/>
      <c r="AQ55" s="31"/>
      <c r="AR55" s="31"/>
      <c r="AS55" s="33"/>
    </row>
    <row r="56" spans="1:45" x14ac:dyDescent="0.3">
      <c r="A56" s="30" t="s">
        <v>543</v>
      </c>
      <c r="B56" s="31" t="s">
        <v>380</v>
      </c>
      <c r="C56" s="31" t="s">
        <v>599</v>
      </c>
      <c r="D56" s="117">
        <v>5074</v>
      </c>
      <c r="E56" s="31" t="s">
        <v>538</v>
      </c>
      <c r="F56" s="83"/>
      <c r="G56" s="83"/>
      <c r="H56" s="83"/>
      <c r="I56" s="83"/>
      <c r="J56" s="83"/>
      <c r="K56" s="83"/>
      <c r="L56" s="31"/>
      <c r="M56" s="31" t="s">
        <v>548</v>
      </c>
      <c r="N56" s="31"/>
      <c r="O56" s="31"/>
      <c r="P56" s="31"/>
      <c r="Q56" s="31"/>
      <c r="R56" s="117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17"/>
      <c r="AL56" s="31"/>
      <c r="AM56" s="31"/>
      <c r="AN56" s="31"/>
      <c r="AO56" s="31"/>
      <c r="AP56" s="31"/>
      <c r="AQ56" s="31"/>
      <c r="AR56" s="31"/>
      <c r="AS56" s="33"/>
    </row>
    <row r="57" spans="1:45" x14ac:dyDescent="0.3">
      <c r="A57" s="30" t="s">
        <v>543</v>
      </c>
      <c r="B57" s="31" t="s">
        <v>380</v>
      </c>
      <c r="C57" s="31" t="s">
        <v>600</v>
      </c>
      <c r="D57" s="117">
        <v>5026</v>
      </c>
      <c r="E57" s="31" t="s">
        <v>538</v>
      </c>
      <c r="F57" s="83"/>
      <c r="G57" s="83"/>
      <c r="H57" s="83"/>
      <c r="I57" s="83"/>
      <c r="J57" s="83"/>
      <c r="K57" s="83"/>
      <c r="L57" s="31"/>
      <c r="M57" s="31" t="s">
        <v>548</v>
      </c>
      <c r="N57" s="31"/>
      <c r="O57" s="31"/>
      <c r="P57" s="31"/>
      <c r="Q57" s="31"/>
      <c r="R57" s="117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17"/>
      <c r="AL57" s="31"/>
      <c r="AM57" s="31"/>
      <c r="AN57" s="31"/>
      <c r="AO57" s="31"/>
      <c r="AP57" s="31"/>
      <c r="AQ57" s="31"/>
      <c r="AR57" s="31"/>
      <c r="AS57" s="33"/>
    </row>
    <row r="58" spans="1:45" x14ac:dyDescent="0.3">
      <c r="A58" s="30" t="s">
        <v>543</v>
      </c>
      <c r="B58" s="31" t="s">
        <v>380</v>
      </c>
      <c r="C58" s="31" t="s">
        <v>601</v>
      </c>
      <c r="D58" s="117">
        <v>5030</v>
      </c>
      <c r="E58" s="31" t="s">
        <v>538</v>
      </c>
      <c r="F58" s="83"/>
      <c r="G58" s="83"/>
      <c r="H58" s="83"/>
      <c r="I58" s="83"/>
      <c r="J58" s="83"/>
      <c r="K58" s="83"/>
      <c r="L58" s="31"/>
      <c r="M58" s="31" t="s">
        <v>548</v>
      </c>
      <c r="N58" s="31"/>
      <c r="O58" s="31"/>
      <c r="P58" s="31"/>
      <c r="Q58" s="31"/>
      <c r="R58" s="117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17"/>
      <c r="AL58" s="31"/>
      <c r="AM58" s="31"/>
      <c r="AN58" s="31"/>
      <c r="AO58" s="31"/>
      <c r="AP58" s="31"/>
      <c r="AQ58" s="31"/>
      <c r="AR58" s="31"/>
      <c r="AS58" s="33"/>
    </row>
    <row r="59" spans="1:45" x14ac:dyDescent="0.3">
      <c r="A59" s="30" t="s">
        <v>543</v>
      </c>
      <c r="B59" s="31" t="s">
        <v>380</v>
      </c>
      <c r="C59" s="31" t="s">
        <v>602</v>
      </c>
      <c r="D59" s="117">
        <v>5082</v>
      </c>
      <c r="E59" s="31" t="s">
        <v>538</v>
      </c>
      <c r="F59" s="83"/>
      <c r="G59" s="83"/>
      <c r="H59" s="83"/>
      <c r="I59" s="83"/>
      <c r="J59" s="83"/>
      <c r="K59" s="83"/>
      <c r="L59" s="31"/>
      <c r="M59" s="31" t="s">
        <v>548</v>
      </c>
      <c r="N59" s="31"/>
      <c r="O59" s="31"/>
      <c r="P59" s="31"/>
      <c r="Q59" s="31"/>
      <c r="R59" s="117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17"/>
      <c r="AL59" s="31"/>
      <c r="AM59" s="31"/>
      <c r="AN59" s="31"/>
      <c r="AO59" s="31"/>
      <c r="AP59" s="31"/>
      <c r="AQ59" s="31"/>
      <c r="AR59" s="31"/>
      <c r="AS59" s="33"/>
    </row>
    <row r="60" spans="1:45" x14ac:dyDescent="0.3">
      <c r="A60" s="30" t="s">
        <v>543</v>
      </c>
      <c r="B60" s="31" t="s">
        <v>380</v>
      </c>
      <c r="C60" s="31" t="s">
        <v>603</v>
      </c>
      <c r="D60" s="117">
        <v>5022</v>
      </c>
      <c r="E60" s="31" t="s">
        <v>538</v>
      </c>
      <c r="F60" s="83"/>
      <c r="G60" s="83"/>
      <c r="H60" s="83"/>
      <c r="I60" s="83"/>
      <c r="J60" s="83"/>
      <c r="K60" s="83"/>
      <c r="L60" s="31"/>
      <c r="M60" s="31" t="s">
        <v>548</v>
      </c>
      <c r="N60" s="31"/>
      <c r="O60" s="31"/>
      <c r="P60" s="31"/>
      <c r="Q60" s="31"/>
      <c r="R60" s="117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17"/>
      <c r="AL60" s="31"/>
      <c r="AM60" s="31"/>
      <c r="AN60" s="31"/>
      <c r="AO60" s="31"/>
      <c r="AP60" s="31"/>
      <c r="AQ60" s="31"/>
      <c r="AR60" s="31"/>
      <c r="AS60" s="33"/>
    </row>
    <row r="61" spans="1:45" x14ac:dyDescent="0.3">
      <c r="A61" s="30" t="s">
        <v>543</v>
      </c>
      <c r="B61" s="31" t="s">
        <v>380</v>
      </c>
      <c r="C61" s="31" t="s">
        <v>604</v>
      </c>
      <c r="D61" s="117">
        <v>5075</v>
      </c>
      <c r="E61" s="31" t="s">
        <v>538</v>
      </c>
      <c r="F61" s="83"/>
      <c r="G61" s="83"/>
      <c r="H61" s="83"/>
      <c r="I61" s="83"/>
      <c r="J61" s="83"/>
      <c r="K61" s="83"/>
      <c r="L61" s="31"/>
      <c r="M61" s="31" t="s">
        <v>548</v>
      </c>
      <c r="N61" s="31"/>
      <c r="O61" s="31"/>
      <c r="P61" s="31"/>
      <c r="Q61" s="31"/>
      <c r="R61" s="117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17"/>
      <c r="AL61" s="31"/>
      <c r="AM61" s="31"/>
      <c r="AN61" s="31"/>
      <c r="AO61" s="31"/>
      <c r="AP61" s="31"/>
      <c r="AQ61" s="31"/>
      <c r="AR61" s="31"/>
      <c r="AS61" s="33"/>
    </row>
    <row r="62" spans="1:45" x14ac:dyDescent="0.3">
      <c r="A62" s="30" t="s">
        <v>543</v>
      </c>
      <c r="B62" s="31" t="s">
        <v>380</v>
      </c>
      <c r="C62" s="31" t="s">
        <v>605</v>
      </c>
      <c r="D62" s="117">
        <v>5082</v>
      </c>
      <c r="E62" s="31" t="s">
        <v>538</v>
      </c>
      <c r="F62" s="83"/>
      <c r="G62" s="83"/>
      <c r="H62" s="83"/>
      <c r="I62" s="83"/>
      <c r="J62" s="83"/>
      <c r="K62" s="83"/>
      <c r="L62" s="31"/>
      <c r="M62" s="31" t="s">
        <v>548</v>
      </c>
      <c r="N62" s="31"/>
      <c r="O62" s="31"/>
      <c r="P62" s="31"/>
      <c r="Q62" s="31"/>
      <c r="R62" s="117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17"/>
      <c r="AL62" s="31"/>
      <c r="AM62" s="31"/>
      <c r="AN62" s="31"/>
      <c r="AO62" s="31"/>
      <c r="AP62" s="31"/>
      <c r="AQ62" s="31"/>
      <c r="AR62" s="31"/>
      <c r="AS62" s="33"/>
    </row>
    <row r="63" spans="1:45" x14ac:dyDescent="0.3">
      <c r="A63" s="30" t="s">
        <v>543</v>
      </c>
      <c r="B63" s="31" t="s">
        <v>380</v>
      </c>
      <c r="C63" s="31" t="s">
        <v>606</v>
      </c>
      <c r="D63" s="117">
        <v>5030</v>
      </c>
      <c r="E63" s="31" t="s">
        <v>538</v>
      </c>
      <c r="F63" s="83"/>
      <c r="G63" s="83"/>
      <c r="H63" s="83"/>
      <c r="I63" s="83"/>
      <c r="J63" s="83"/>
      <c r="K63" s="83"/>
      <c r="L63" s="31"/>
      <c r="M63" s="31" t="s">
        <v>548</v>
      </c>
      <c r="N63" s="31"/>
      <c r="O63" s="31"/>
      <c r="P63" s="31"/>
      <c r="Q63" s="31"/>
      <c r="R63" s="117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17"/>
      <c r="AL63" s="31"/>
      <c r="AM63" s="31"/>
      <c r="AN63" s="31"/>
      <c r="AO63" s="31"/>
      <c r="AP63" s="31"/>
      <c r="AQ63" s="31"/>
      <c r="AR63" s="31"/>
      <c r="AS63" s="33"/>
    </row>
    <row r="64" spans="1:45" x14ac:dyDescent="0.3">
      <c r="A64" s="30" t="s">
        <v>543</v>
      </c>
      <c r="B64" s="31" t="s">
        <v>380</v>
      </c>
      <c r="C64" s="31" t="s">
        <v>607</v>
      </c>
      <c r="D64" s="117">
        <v>5074</v>
      </c>
      <c r="E64" s="31" t="s">
        <v>538</v>
      </c>
      <c r="F64" s="83"/>
      <c r="G64" s="83"/>
      <c r="H64" s="83"/>
      <c r="I64" s="83"/>
      <c r="J64" s="83"/>
      <c r="K64" s="83"/>
      <c r="L64" s="31"/>
      <c r="M64" s="31" t="s">
        <v>548</v>
      </c>
      <c r="N64" s="31"/>
      <c r="O64" s="31"/>
      <c r="P64" s="31"/>
      <c r="Q64" s="31"/>
      <c r="R64" s="117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17"/>
      <c r="AL64" s="31"/>
      <c r="AM64" s="31"/>
      <c r="AN64" s="31"/>
      <c r="AO64" s="31"/>
      <c r="AP64" s="31"/>
      <c r="AQ64" s="31"/>
      <c r="AR64" s="31"/>
      <c r="AS64" s="33"/>
    </row>
    <row r="65" spans="1:45" x14ac:dyDescent="0.3">
      <c r="A65" s="30" t="s">
        <v>543</v>
      </c>
      <c r="B65" s="31" t="s">
        <v>380</v>
      </c>
      <c r="C65" s="31" t="s">
        <v>608</v>
      </c>
      <c r="D65" s="117">
        <v>5052</v>
      </c>
      <c r="E65" s="31" t="s">
        <v>538</v>
      </c>
      <c r="F65" s="83"/>
      <c r="G65" s="83"/>
      <c r="H65" s="83"/>
      <c r="I65" s="83"/>
      <c r="J65" s="83"/>
      <c r="K65" s="83"/>
      <c r="L65" s="31"/>
      <c r="M65" s="31" t="s">
        <v>548</v>
      </c>
      <c r="N65" s="31"/>
      <c r="O65" s="31"/>
      <c r="P65" s="31"/>
      <c r="Q65" s="31"/>
      <c r="R65" s="117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17"/>
      <c r="AL65" s="31"/>
      <c r="AM65" s="31"/>
      <c r="AN65" s="31"/>
      <c r="AO65" s="31"/>
      <c r="AP65" s="31"/>
      <c r="AQ65" s="31"/>
      <c r="AR65" s="31"/>
      <c r="AS65" s="33"/>
    </row>
    <row r="66" spans="1:45" x14ac:dyDescent="0.3">
      <c r="A66" s="30" t="s">
        <v>543</v>
      </c>
      <c r="B66" s="31" t="s">
        <v>380</v>
      </c>
      <c r="C66" s="31" t="s">
        <v>609</v>
      </c>
      <c r="D66" s="117">
        <v>5040</v>
      </c>
      <c r="E66" s="31" t="s">
        <v>538</v>
      </c>
      <c r="F66" s="83"/>
      <c r="G66" s="83"/>
      <c r="H66" s="83"/>
      <c r="I66" s="83"/>
      <c r="J66" s="83"/>
      <c r="K66" s="83"/>
      <c r="L66" s="31"/>
      <c r="M66" s="31" t="s">
        <v>548</v>
      </c>
      <c r="N66" s="31"/>
      <c r="O66" s="31"/>
      <c r="P66" s="31"/>
      <c r="Q66" s="31"/>
      <c r="R66" s="117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17"/>
      <c r="AL66" s="31"/>
      <c r="AM66" s="31"/>
      <c r="AN66" s="31"/>
      <c r="AO66" s="31"/>
      <c r="AP66" s="31"/>
      <c r="AQ66" s="31"/>
      <c r="AR66" s="31"/>
      <c r="AS66" s="33"/>
    </row>
    <row r="67" spans="1:45" x14ac:dyDescent="0.3">
      <c r="A67" s="30" t="s">
        <v>543</v>
      </c>
      <c r="B67" s="31" t="s">
        <v>380</v>
      </c>
      <c r="C67" s="31" t="s">
        <v>610</v>
      </c>
      <c r="D67" s="117">
        <v>5070</v>
      </c>
      <c r="E67" s="31" t="s">
        <v>538</v>
      </c>
      <c r="F67" s="83"/>
      <c r="G67" s="83"/>
      <c r="H67" s="83"/>
      <c r="I67" s="83"/>
      <c r="J67" s="83"/>
      <c r="K67" s="83"/>
      <c r="L67" s="31"/>
      <c r="M67" s="31" t="s">
        <v>548</v>
      </c>
      <c r="N67" s="31"/>
      <c r="O67" s="31"/>
      <c r="P67" s="31"/>
      <c r="Q67" s="31"/>
      <c r="R67" s="117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17"/>
      <c r="AL67" s="31"/>
      <c r="AM67" s="31"/>
      <c r="AN67" s="31"/>
      <c r="AO67" s="31"/>
      <c r="AP67" s="31"/>
      <c r="AQ67" s="31"/>
      <c r="AR67" s="31"/>
      <c r="AS67" s="33"/>
    </row>
    <row r="68" spans="1:45" x14ac:dyDescent="0.3">
      <c r="A68" s="30" t="s">
        <v>543</v>
      </c>
      <c r="B68" s="31" t="s">
        <v>380</v>
      </c>
      <c r="C68" s="31" t="s">
        <v>611</v>
      </c>
      <c r="D68" s="117">
        <v>5098</v>
      </c>
      <c r="E68" s="31" t="s">
        <v>538</v>
      </c>
      <c r="F68" s="83"/>
      <c r="G68" s="83"/>
      <c r="H68" s="83"/>
      <c r="I68" s="83"/>
      <c r="J68" s="83"/>
      <c r="K68" s="83"/>
      <c r="L68" s="31"/>
      <c r="M68" s="31" t="s">
        <v>548</v>
      </c>
      <c r="N68" s="31"/>
      <c r="O68" s="31"/>
      <c r="P68" s="31"/>
      <c r="Q68" s="31"/>
      <c r="R68" s="117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17"/>
      <c r="AL68" s="31"/>
      <c r="AM68" s="31"/>
      <c r="AN68" s="31"/>
      <c r="AO68" s="31"/>
      <c r="AP68" s="31"/>
      <c r="AQ68" s="31"/>
      <c r="AR68" s="31"/>
      <c r="AS68" s="33"/>
    </row>
    <row r="69" spans="1:45" x14ac:dyDescent="0.3">
      <c r="A69" s="30" t="s">
        <v>543</v>
      </c>
      <c r="B69" s="31" t="s">
        <v>380</v>
      </c>
      <c r="C69" s="31" t="s">
        <v>612</v>
      </c>
      <c r="D69" s="117">
        <v>5051</v>
      </c>
      <c r="E69" s="31" t="s">
        <v>538</v>
      </c>
      <c r="F69" s="83"/>
      <c r="G69" s="83"/>
      <c r="H69" s="83"/>
      <c r="I69" s="83"/>
      <c r="J69" s="83"/>
      <c r="K69" s="83"/>
      <c r="L69" s="31"/>
      <c r="M69" s="31" t="s">
        <v>548</v>
      </c>
      <c r="N69" s="31"/>
      <c r="O69" s="31"/>
      <c r="P69" s="31"/>
      <c r="Q69" s="31"/>
      <c r="R69" s="117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17"/>
      <c r="AL69" s="31"/>
      <c r="AM69" s="31"/>
      <c r="AN69" s="31"/>
      <c r="AO69" s="31"/>
      <c r="AP69" s="31"/>
      <c r="AQ69" s="31"/>
      <c r="AR69" s="31"/>
      <c r="AS69" s="33"/>
    </row>
    <row r="70" spans="1:45" x14ac:dyDescent="0.3">
      <c r="A70" s="30" t="s">
        <v>543</v>
      </c>
      <c r="B70" s="31" t="s">
        <v>380</v>
      </c>
      <c r="C70" s="31" t="s">
        <v>613</v>
      </c>
      <c r="D70" s="117">
        <v>5005</v>
      </c>
      <c r="E70" s="31" t="s">
        <v>538</v>
      </c>
      <c r="F70" s="83"/>
      <c r="G70" s="83"/>
      <c r="H70" s="83"/>
      <c r="I70" s="83"/>
      <c r="J70" s="83"/>
      <c r="K70" s="83"/>
      <c r="L70" s="31"/>
      <c r="M70" s="31" t="s">
        <v>548</v>
      </c>
      <c r="N70" s="31"/>
      <c r="O70" s="31"/>
      <c r="P70" s="31"/>
      <c r="Q70" s="31"/>
      <c r="R70" s="117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17"/>
      <c r="AL70" s="31"/>
      <c r="AM70" s="31"/>
      <c r="AN70" s="31"/>
      <c r="AO70" s="31"/>
      <c r="AP70" s="31"/>
      <c r="AQ70" s="31"/>
      <c r="AR70" s="31"/>
      <c r="AS70" s="33"/>
    </row>
    <row r="71" spans="1:45" x14ac:dyDescent="0.3">
      <c r="A71" s="30" t="s">
        <v>543</v>
      </c>
      <c r="B71" s="31" t="s">
        <v>380</v>
      </c>
      <c r="C71" s="31" t="s">
        <v>614</v>
      </c>
      <c r="D71" s="117">
        <v>5019</v>
      </c>
      <c r="E71" s="31" t="s">
        <v>538</v>
      </c>
      <c r="F71" s="83"/>
      <c r="G71" s="83"/>
      <c r="H71" s="83"/>
      <c r="I71" s="83"/>
      <c r="J71" s="83"/>
      <c r="K71" s="83"/>
      <c r="L71" s="31"/>
      <c r="M71" s="31" t="s">
        <v>548</v>
      </c>
      <c r="N71" s="31"/>
      <c r="O71" s="31"/>
      <c r="P71" s="31"/>
      <c r="Q71" s="31"/>
      <c r="R71" s="117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17"/>
      <c r="AL71" s="31"/>
      <c r="AM71" s="31"/>
      <c r="AN71" s="31"/>
      <c r="AO71" s="31"/>
      <c r="AP71" s="31"/>
      <c r="AQ71" s="31"/>
      <c r="AR71" s="31"/>
      <c r="AS71" s="33"/>
    </row>
    <row r="72" spans="1:45" x14ac:dyDescent="0.3">
      <c r="A72" s="30" t="s">
        <v>543</v>
      </c>
      <c r="B72" s="31" t="s">
        <v>380</v>
      </c>
      <c r="C72" s="31" t="s">
        <v>615</v>
      </c>
      <c r="D72" s="117">
        <v>5083</v>
      </c>
      <c r="E72" s="31" t="s">
        <v>538</v>
      </c>
      <c r="F72" s="83"/>
      <c r="G72" s="83"/>
      <c r="H72" s="83"/>
      <c r="I72" s="83"/>
      <c r="J72" s="83"/>
      <c r="K72" s="83"/>
      <c r="L72" s="31"/>
      <c r="M72" s="31" t="s">
        <v>548</v>
      </c>
      <c r="N72" s="31" t="e">
        <f>_xlfn.XLOOKUP(FAMILIA[[#This Row],[Identificacion Propiedad]],[1]!BBDD_Terrenos[Identificacion Propiedad],[1]!BBDD_Terrenos[Rol Pagador2],"no")</f>
        <v>#REF!</v>
      </c>
      <c r="O72" s="31"/>
      <c r="P72" s="31"/>
      <c r="Q72" s="31"/>
      <c r="R72" s="117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17"/>
      <c r="AL72" s="31"/>
      <c r="AM72" s="31"/>
      <c r="AN72" s="31"/>
      <c r="AO72" s="31"/>
      <c r="AP72" s="31"/>
      <c r="AQ72" s="31"/>
      <c r="AR72" s="31"/>
      <c r="AS72" s="33"/>
    </row>
    <row r="73" spans="1:45" x14ac:dyDescent="0.3">
      <c r="A73" s="30" t="s">
        <v>543</v>
      </c>
      <c r="B73" s="31" t="s">
        <v>380</v>
      </c>
      <c r="C73" s="31" t="s">
        <v>616</v>
      </c>
      <c r="D73" s="117">
        <v>5850</v>
      </c>
      <c r="E73" s="31" t="s">
        <v>538</v>
      </c>
      <c r="F73" s="83"/>
      <c r="G73" s="83"/>
      <c r="H73" s="83"/>
      <c r="I73" s="83"/>
      <c r="J73" s="83"/>
      <c r="K73" s="83"/>
      <c r="L73" s="31"/>
      <c r="M73" s="31" t="s">
        <v>550</v>
      </c>
      <c r="N73" s="31"/>
      <c r="O73" s="31"/>
      <c r="P73" s="31"/>
      <c r="Q73" s="31"/>
      <c r="R73" s="117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17"/>
      <c r="AL73" s="31"/>
      <c r="AM73" s="31"/>
      <c r="AN73" s="31"/>
      <c r="AO73" s="31"/>
      <c r="AP73" s="31"/>
      <c r="AQ73" s="31"/>
      <c r="AR73" s="31"/>
      <c r="AS73" s="33"/>
    </row>
    <row r="74" spans="1:45" x14ac:dyDescent="0.3">
      <c r="A74" s="30" t="s">
        <v>543</v>
      </c>
      <c r="B74" s="31" t="s">
        <v>380</v>
      </c>
      <c r="C74" s="31" t="s">
        <v>617</v>
      </c>
      <c r="D74" s="117">
        <v>5882</v>
      </c>
      <c r="E74" s="31" t="s">
        <v>538</v>
      </c>
      <c r="F74" s="83"/>
      <c r="G74" s="83"/>
      <c r="H74" s="83"/>
      <c r="I74" s="83"/>
      <c r="J74" s="83"/>
      <c r="K74" s="83"/>
      <c r="L74" s="31"/>
      <c r="M74" s="31" t="s">
        <v>550</v>
      </c>
      <c r="N74" s="31"/>
      <c r="O74" s="31"/>
      <c r="P74" s="31"/>
      <c r="Q74" s="31"/>
      <c r="R74" s="117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17"/>
      <c r="AL74" s="31"/>
      <c r="AM74" s="31"/>
      <c r="AN74" s="31"/>
      <c r="AO74" s="31"/>
      <c r="AP74" s="31"/>
      <c r="AQ74" s="31"/>
      <c r="AR74" s="31"/>
      <c r="AS74" s="33"/>
    </row>
    <row r="75" spans="1:45" x14ac:dyDescent="0.3">
      <c r="A75" s="30" t="s">
        <v>543</v>
      </c>
      <c r="B75" s="31" t="s">
        <v>380</v>
      </c>
      <c r="C75" s="31" t="s">
        <v>618</v>
      </c>
      <c r="D75" s="117">
        <v>5866</v>
      </c>
      <c r="E75" s="31" t="s">
        <v>538</v>
      </c>
      <c r="F75" s="83"/>
      <c r="G75" s="83"/>
      <c r="H75" s="83"/>
      <c r="I75" s="83"/>
      <c r="J75" s="83"/>
      <c r="K75" s="83"/>
      <c r="L75" s="31"/>
      <c r="M75" s="31" t="s">
        <v>550</v>
      </c>
      <c r="N75" s="31"/>
      <c r="O75" s="31"/>
      <c r="P75" s="31"/>
      <c r="Q75" s="31"/>
      <c r="R75" s="117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17"/>
      <c r="AL75" s="31"/>
      <c r="AM75" s="31"/>
      <c r="AN75" s="31"/>
      <c r="AO75" s="31"/>
      <c r="AP75" s="31"/>
      <c r="AQ75" s="31"/>
      <c r="AR75" s="31"/>
      <c r="AS75" s="33"/>
    </row>
    <row r="76" spans="1:45" x14ac:dyDescent="0.3">
      <c r="A76" s="30" t="s">
        <v>543</v>
      </c>
      <c r="B76" s="31" t="s">
        <v>380</v>
      </c>
      <c r="C76" s="31" t="s">
        <v>619</v>
      </c>
      <c r="D76" s="117">
        <v>5860</v>
      </c>
      <c r="E76" s="31" t="s">
        <v>538</v>
      </c>
      <c r="F76" s="83"/>
      <c r="G76" s="83"/>
      <c r="H76" s="83"/>
      <c r="I76" s="83"/>
      <c r="J76" s="83"/>
      <c r="K76" s="83"/>
      <c r="L76" s="31"/>
      <c r="M76" s="31" t="s">
        <v>550</v>
      </c>
      <c r="N76" s="31"/>
      <c r="O76" s="31"/>
      <c r="P76" s="31"/>
      <c r="Q76" s="31"/>
      <c r="R76" s="117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17"/>
      <c r="AL76" s="31"/>
      <c r="AM76" s="31"/>
      <c r="AN76" s="31"/>
      <c r="AO76" s="31"/>
      <c r="AP76" s="31"/>
      <c r="AQ76" s="31"/>
      <c r="AR76" s="31"/>
      <c r="AS76" s="33"/>
    </row>
    <row r="77" spans="1:45" x14ac:dyDescent="0.3">
      <c r="A77" s="30" t="s">
        <v>543</v>
      </c>
      <c r="B77" s="31" t="s">
        <v>380</v>
      </c>
      <c r="C77" s="31" t="s">
        <v>620</v>
      </c>
      <c r="D77" s="117">
        <v>5849</v>
      </c>
      <c r="E77" s="31" t="s">
        <v>538</v>
      </c>
      <c r="F77" s="83"/>
      <c r="G77" s="83"/>
      <c r="H77" s="83"/>
      <c r="I77" s="83"/>
      <c r="J77" s="83"/>
      <c r="K77" s="83"/>
      <c r="L77" s="31"/>
      <c r="M77" s="31" t="s">
        <v>550</v>
      </c>
      <c r="N77" s="31"/>
      <c r="O77" s="31"/>
      <c r="P77" s="31"/>
      <c r="Q77" s="31"/>
      <c r="R77" s="117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17"/>
      <c r="AL77" s="31"/>
      <c r="AM77" s="31"/>
      <c r="AN77" s="31"/>
      <c r="AO77" s="31"/>
      <c r="AP77" s="31"/>
      <c r="AQ77" s="31"/>
      <c r="AR77" s="31"/>
      <c r="AS77" s="33"/>
    </row>
    <row r="78" spans="1:45" x14ac:dyDescent="0.3">
      <c r="A78" s="30" t="s">
        <v>543</v>
      </c>
      <c r="B78" s="31" t="s">
        <v>380</v>
      </c>
      <c r="C78" s="31" t="s">
        <v>621</v>
      </c>
      <c r="D78" s="117">
        <v>5826</v>
      </c>
      <c r="E78" s="31" t="s">
        <v>538</v>
      </c>
      <c r="F78" s="83"/>
      <c r="G78" s="83"/>
      <c r="H78" s="83"/>
      <c r="I78" s="83"/>
      <c r="J78" s="83"/>
      <c r="K78" s="83"/>
      <c r="L78" s="31"/>
      <c r="M78" s="31" t="s">
        <v>550</v>
      </c>
      <c r="N78" s="31" t="e">
        <f>_xlfn.XLOOKUP(FAMILIA[[#This Row],[Identificacion Propiedad]],[1]!BBDD_Terrenos[Identificacion Propiedad],[1]!BBDD_Terrenos[Rol Pagador2],"no")</f>
        <v>#REF!</v>
      </c>
      <c r="O78" s="31"/>
      <c r="P78" s="31"/>
      <c r="Q78" s="31"/>
      <c r="R78" s="117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17"/>
      <c r="AL78" s="31"/>
      <c r="AM78" s="31"/>
      <c r="AN78" s="31"/>
      <c r="AO78" s="31"/>
      <c r="AP78" s="31"/>
      <c r="AQ78" s="31"/>
      <c r="AR78" s="31"/>
      <c r="AS78" s="33"/>
    </row>
    <row r="79" spans="1:45" x14ac:dyDescent="0.3">
      <c r="A79" s="30" t="s">
        <v>543</v>
      </c>
      <c r="B79" s="31" t="s">
        <v>622</v>
      </c>
      <c r="C79" s="31" t="s">
        <v>623</v>
      </c>
      <c r="D79" s="117">
        <v>3546000</v>
      </c>
      <c r="E79" s="31" t="s">
        <v>538</v>
      </c>
      <c r="F79" s="83"/>
      <c r="G79" s="83"/>
      <c r="H79" s="83"/>
      <c r="I79" s="83"/>
      <c r="J79" s="83"/>
      <c r="K79" s="83"/>
      <c r="L79" s="31" t="s">
        <v>624</v>
      </c>
      <c r="M79" s="31" t="s">
        <v>625</v>
      </c>
      <c r="N79" s="31" t="e">
        <f>_xlfn.XLOOKUP(FAMILIA[[#This Row],[Identificacion Propiedad]],[1]!BBDD_Terrenos[Identificacion Propiedad],[1]!BBDD_Terrenos[Rol Pagador2],"no")</f>
        <v>#REF!</v>
      </c>
      <c r="O79" s="31"/>
      <c r="P79" s="31"/>
      <c r="Q79" s="31"/>
      <c r="R79" s="117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17"/>
      <c r="AL79" s="31"/>
      <c r="AM79" s="31"/>
      <c r="AN79" s="31"/>
      <c r="AO79" s="31"/>
      <c r="AP79" s="31"/>
      <c r="AQ79" s="31"/>
      <c r="AR79" s="31"/>
      <c r="AS79" s="33"/>
    </row>
    <row r="80" spans="1:45" x14ac:dyDescent="0.3">
      <c r="A80" s="30" t="s">
        <v>543</v>
      </c>
      <c r="B80" s="31" t="s">
        <v>622</v>
      </c>
      <c r="C80" s="31" t="s">
        <v>626</v>
      </c>
      <c r="D80" s="117">
        <v>505000</v>
      </c>
      <c r="E80" s="31" t="s">
        <v>538</v>
      </c>
      <c r="F80" s="83"/>
      <c r="G80" s="83"/>
      <c r="H80" s="83"/>
      <c r="I80" s="83"/>
      <c r="J80" s="83"/>
      <c r="K80" s="83"/>
      <c r="L80" s="31" t="s">
        <v>627</v>
      </c>
      <c r="M80" s="31" t="s">
        <v>628</v>
      </c>
      <c r="N80" s="31" t="e">
        <f>_xlfn.XLOOKUP(FAMILIA[[#This Row],[Identificacion Propiedad]],[1]!BBDD_Terrenos[Identificacion Propiedad],[1]!BBDD_Terrenos[Rol Pagador2],"no")</f>
        <v>#REF!</v>
      </c>
      <c r="O80" s="31"/>
      <c r="P80" s="31"/>
      <c r="Q80" s="31"/>
      <c r="R80" s="117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17"/>
      <c r="AL80" s="31"/>
      <c r="AM80" s="31"/>
      <c r="AN80" s="31"/>
      <c r="AO80" s="31"/>
      <c r="AP80" s="31"/>
      <c r="AQ80" s="31"/>
      <c r="AR80" s="31"/>
      <c r="AS80" s="33"/>
    </row>
    <row r="81" spans="1:45" x14ac:dyDescent="0.3">
      <c r="A81" s="30" t="s">
        <v>543</v>
      </c>
      <c r="B81" s="31" t="s">
        <v>622</v>
      </c>
      <c r="C81" s="31" t="s">
        <v>629</v>
      </c>
      <c r="D81" s="117">
        <v>626000</v>
      </c>
      <c r="E81" s="31" t="s">
        <v>538</v>
      </c>
      <c r="F81" s="83"/>
      <c r="G81" s="83"/>
      <c r="H81" s="83"/>
      <c r="I81" s="83"/>
      <c r="J81" s="83"/>
      <c r="K81" s="83"/>
      <c r="L81" s="31" t="s">
        <v>630</v>
      </c>
      <c r="M81" s="31" t="s">
        <v>631</v>
      </c>
      <c r="N81" s="31" t="e">
        <f>_xlfn.XLOOKUP(FAMILIA[[#This Row],[Identificacion Propiedad]],[1]!BBDD_Terrenos[Identificacion Propiedad],[1]!BBDD_Terrenos[Rol Pagador2],"no")</f>
        <v>#REF!</v>
      </c>
      <c r="O81" s="31"/>
      <c r="P81" s="31"/>
      <c r="Q81" s="31"/>
      <c r="R81" s="117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17"/>
      <c r="AL81" s="31"/>
      <c r="AM81" s="31"/>
      <c r="AN81" s="31"/>
      <c r="AO81" s="31"/>
      <c r="AP81" s="31"/>
      <c r="AQ81" s="31"/>
      <c r="AR81" s="31"/>
      <c r="AS81" s="33"/>
    </row>
    <row r="82" spans="1:45" x14ac:dyDescent="0.3">
      <c r="A82" s="30" t="s">
        <v>543</v>
      </c>
      <c r="B82" s="31" t="s">
        <v>622</v>
      </c>
      <c r="C82" s="31" t="s">
        <v>632</v>
      </c>
      <c r="D82" s="117">
        <v>1658000</v>
      </c>
      <c r="E82" s="31" t="s">
        <v>538</v>
      </c>
      <c r="F82" s="83"/>
      <c r="G82" s="83"/>
      <c r="H82" s="83"/>
      <c r="I82" s="83"/>
      <c r="J82" s="83"/>
      <c r="K82" s="83"/>
      <c r="L82" s="31" t="s">
        <v>633</v>
      </c>
      <c r="M82" s="31" t="s">
        <v>634</v>
      </c>
      <c r="N82" s="31" t="e">
        <f>_xlfn.XLOOKUP(FAMILIA[[#This Row],[Identificacion Propiedad]],[1]!BBDD_Terrenos[Identificacion Propiedad],[1]!BBDD_Terrenos[Rol Pagador2],"no")</f>
        <v>#REF!</v>
      </c>
      <c r="O82" s="31"/>
      <c r="P82" s="31"/>
      <c r="Q82" s="31"/>
      <c r="R82" s="117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117"/>
      <c r="AL82" s="31"/>
      <c r="AM82" s="31"/>
      <c r="AN82" s="31"/>
      <c r="AO82" s="31"/>
      <c r="AP82" s="31"/>
      <c r="AQ82" s="31"/>
      <c r="AR82" s="31"/>
      <c r="AS82" s="33"/>
    </row>
    <row r="83" spans="1:45" x14ac:dyDescent="0.3">
      <c r="A83" s="34" t="s">
        <v>635</v>
      </c>
      <c r="B83" s="35" t="s">
        <v>380</v>
      </c>
      <c r="C83" s="35" t="s">
        <v>636</v>
      </c>
      <c r="D83" s="142">
        <v>28000</v>
      </c>
      <c r="E83" s="35"/>
      <c r="F83" s="83"/>
      <c r="G83" s="85"/>
      <c r="H83" s="85"/>
      <c r="I83" s="85"/>
      <c r="J83" s="85"/>
      <c r="K83" s="85"/>
      <c r="L83" s="35"/>
      <c r="M83" s="35"/>
      <c r="N83" s="35"/>
      <c r="O83" s="35"/>
      <c r="P83" s="35"/>
      <c r="Q83" s="35"/>
      <c r="R83" s="142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142"/>
      <c r="AL83" s="35"/>
      <c r="AM83" s="35"/>
      <c r="AN83" s="35"/>
      <c r="AO83" s="35"/>
      <c r="AP83" s="35"/>
      <c r="AQ83" s="35"/>
      <c r="AR83" s="35"/>
      <c r="AS83" s="37"/>
    </row>
  </sheetData>
  <conditionalFormatting sqref="E1">
    <cfRule type="cellIs" dxfId="0" priority="1" operator="equal">
      <formula>"Disponible"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FB7B-D067-4A52-99D8-648A7EEA8ABB}">
  <dimension ref="A1:BA95"/>
  <sheetViews>
    <sheetView topLeftCell="S1" zoomScale="90" zoomScaleNormal="90" workbookViewId="0">
      <selection activeCell="U19" sqref="U19"/>
    </sheetView>
  </sheetViews>
  <sheetFormatPr baseColWidth="10" defaultColWidth="11.44140625" defaultRowHeight="14.4" x14ac:dyDescent="0.3"/>
  <cols>
    <col min="1" max="1" width="38" bestFit="1" customWidth="1"/>
    <col min="2" max="2" width="16.5546875" bestFit="1" customWidth="1"/>
    <col min="3" max="3" width="53.88671875" bestFit="1" customWidth="1"/>
    <col min="4" max="4" width="13.33203125" bestFit="1" customWidth="1"/>
    <col min="5" max="5" width="16.33203125" bestFit="1" customWidth="1"/>
    <col min="6" max="6" width="10.33203125" bestFit="1" customWidth="1"/>
    <col min="7" max="7" width="17.6640625" bestFit="1" customWidth="1"/>
    <col min="8" max="8" width="9.6640625" bestFit="1" customWidth="1"/>
    <col min="9" max="9" width="23.5546875" bestFit="1" customWidth="1"/>
    <col min="10" max="10" width="22.6640625" bestFit="1" customWidth="1"/>
    <col min="11" max="11" width="23.44140625" bestFit="1" customWidth="1"/>
    <col min="12" max="12" width="22.88671875" bestFit="1" customWidth="1"/>
    <col min="13" max="13" width="18.33203125" bestFit="1" customWidth="1"/>
    <col min="14" max="14" width="23.44140625" bestFit="1" customWidth="1"/>
    <col min="15" max="15" width="22.88671875" bestFit="1" customWidth="1"/>
    <col min="16" max="16" width="11.5546875" bestFit="1" customWidth="1"/>
    <col min="17" max="17" width="14.88671875" bestFit="1" customWidth="1"/>
    <col min="18" max="18" width="14.33203125" bestFit="1" customWidth="1"/>
    <col min="19" max="19" width="26.109375" bestFit="1" customWidth="1"/>
    <col min="20" max="20" width="15.6640625" bestFit="1" customWidth="1"/>
    <col min="21" max="21" width="24" bestFit="1" customWidth="1"/>
    <col min="22" max="22" width="21.88671875" bestFit="1" customWidth="1"/>
    <col min="23" max="23" width="31.6640625" bestFit="1" customWidth="1"/>
    <col min="24" max="24" width="32.88671875" bestFit="1" customWidth="1"/>
    <col min="25" max="25" width="33.33203125" bestFit="1" customWidth="1"/>
    <col min="26" max="26" width="27.6640625" bestFit="1" customWidth="1"/>
    <col min="27" max="27" width="24.88671875" bestFit="1" customWidth="1"/>
    <col min="28" max="28" width="27.44140625" bestFit="1" customWidth="1"/>
    <col min="29" max="29" width="19.33203125" bestFit="1" customWidth="1"/>
    <col min="30" max="30" width="20.44140625" bestFit="1" customWidth="1"/>
    <col min="31" max="31" width="17.88671875" bestFit="1" customWidth="1"/>
    <col min="32" max="32" width="19" bestFit="1" customWidth="1"/>
    <col min="33" max="33" width="21.44140625" bestFit="1" customWidth="1"/>
    <col min="34" max="34" width="16" bestFit="1" customWidth="1"/>
    <col min="35" max="35" width="10" bestFit="1" customWidth="1"/>
    <col min="36" max="36" width="15.5546875" bestFit="1" customWidth="1"/>
    <col min="37" max="37" width="13.6640625" bestFit="1" customWidth="1"/>
    <col min="38" max="38" width="15.44140625" bestFit="1" customWidth="1"/>
    <col min="39" max="39" width="19.44140625" bestFit="1" customWidth="1"/>
    <col min="40" max="40" width="12.88671875" bestFit="1" customWidth="1"/>
    <col min="41" max="41" width="18.33203125" bestFit="1" customWidth="1"/>
    <col min="42" max="42" width="11.33203125" bestFit="1" customWidth="1"/>
    <col min="43" max="43" width="21.33203125" bestFit="1" customWidth="1"/>
    <col min="44" max="44" width="21.44140625" bestFit="1" customWidth="1"/>
    <col min="45" max="45" width="18.5546875" bestFit="1" customWidth="1"/>
    <col min="46" max="46" width="10.44140625" bestFit="1" customWidth="1"/>
    <col min="47" max="47" width="20.109375" bestFit="1" customWidth="1"/>
    <col min="48" max="48" width="25.88671875" bestFit="1" customWidth="1"/>
    <col min="49" max="49" width="25.6640625" bestFit="1" customWidth="1"/>
    <col min="50" max="50" width="17.6640625" bestFit="1" customWidth="1"/>
    <col min="51" max="51" width="18.44140625" bestFit="1" customWidth="1"/>
    <col min="52" max="52" width="8.44140625" bestFit="1" customWidth="1"/>
    <col min="53" max="53" width="14" bestFit="1" customWidth="1"/>
    <col min="54" max="54" width="13.5546875" bestFit="1" customWidth="1"/>
    <col min="55" max="55" width="19.33203125" bestFit="1" customWidth="1"/>
    <col min="56" max="56" width="12.44140625" bestFit="1" customWidth="1"/>
    <col min="57" max="58" width="22.44140625" bestFit="1" customWidth="1"/>
    <col min="59" max="59" width="20" bestFit="1" customWidth="1"/>
    <col min="60" max="60" width="11.5546875" bestFit="1" customWidth="1"/>
    <col min="61" max="61" width="21.6640625" bestFit="1" customWidth="1"/>
    <col min="62" max="62" width="27.6640625" bestFit="1" customWidth="1"/>
    <col min="63" max="63" width="27.33203125" bestFit="1" customWidth="1"/>
    <col min="64" max="64" width="18.88671875" bestFit="1" customWidth="1"/>
    <col min="65" max="65" width="19.44140625" bestFit="1" customWidth="1"/>
    <col min="66" max="66" width="9.33203125" bestFit="1" customWidth="1"/>
    <col min="67" max="67" width="25.44140625" bestFit="1" customWidth="1"/>
    <col min="68" max="68" width="14.88671875" bestFit="1" customWidth="1"/>
    <col min="69" max="69" width="8.33203125" bestFit="1" customWidth="1"/>
    <col min="70" max="70" width="23.5546875" bestFit="1" customWidth="1"/>
    <col min="71" max="71" width="13.6640625" bestFit="1" customWidth="1"/>
  </cols>
  <sheetData>
    <row r="1" spans="1:53" x14ac:dyDescent="0.3">
      <c r="A1" t="s">
        <v>3</v>
      </c>
      <c r="B1" t="s">
        <v>13</v>
      </c>
      <c r="C1" t="s">
        <v>19</v>
      </c>
      <c r="D1" t="s">
        <v>24</v>
      </c>
      <c r="E1" t="s">
        <v>27</v>
      </c>
      <c r="F1" t="s">
        <v>30</v>
      </c>
      <c r="G1" t="s">
        <v>1261</v>
      </c>
      <c r="H1" t="s">
        <v>61</v>
      </c>
      <c r="I1" t="s">
        <v>1262</v>
      </c>
      <c r="J1" t="s">
        <v>33</v>
      </c>
      <c r="K1" t="s">
        <v>36</v>
      </c>
      <c r="L1" t="s">
        <v>39</v>
      </c>
      <c r="M1" t="s">
        <v>41</v>
      </c>
      <c r="N1" t="s">
        <v>43</v>
      </c>
      <c r="O1" t="s">
        <v>45</v>
      </c>
      <c r="P1" t="s">
        <v>47</v>
      </c>
      <c r="Q1" t="s">
        <v>49</v>
      </c>
      <c r="R1" t="s">
        <v>1263</v>
      </c>
      <c r="S1" t="s">
        <v>52</v>
      </c>
      <c r="T1" t="s">
        <v>53</v>
      </c>
      <c r="U1" t="s">
        <v>54</v>
      </c>
      <c r="V1" t="s">
        <v>67</v>
      </c>
      <c r="W1" t="s">
        <v>11</v>
      </c>
      <c r="X1" t="s">
        <v>17</v>
      </c>
      <c r="Y1" t="s">
        <v>22</v>
      </c>
      <c r="Z1" t="s">
        <v>1264</v>
      </c>
      <c r="AA1" t="s">
        <v>1265</v>
      </c>
      <c r="AB1" t="s">
        <v>1266</v>
      </c>
      <c r="AC1" t="s">
        <v>7</v>
      </c>
      <c r="AD1" t="s">
        <v>15</v>
      </c>
      <c r="AE1" t="s">
        <v>5</v>
      </c>
      <c r="AF1" t="s">
        <v>14</v>
      </c>
      <c r="AG1" t="s">
        <v>20</v>
      </c>
      <c r="AH1" t="s">
        <v>25</v>
      </c>
      <c r="AI1" t="s">
        <v>28</v>
      </c>
      <c r="AJ1" t="s">
        <v>31</v>
      </c>
      <c r="AK1" t="s">
        <v>34</v>
      </c>
      <c r="AL1" t="s">
        <v>37</v>
      </c>
      <c r="AM1" t="s">
        <v>9</v>
      </c>
      <c r="AN1" t="s">
        <v>16</v>
      </c>
      <c r="AO1" t="s">
        <v>21</v>
      </c>
      <c r="AP1" t="s">
        <v>26</v>
      </c>
      <c r="AQ1" t="s">
        <v>29</v>
      </c>
      <c r="AR1" t="s">
        <v>32</v>
      </c>
      <c r="AS1" t="s">
        <v>35</v>
      </c>
      <c r="AT1" t="s">
        <v>38</v>
      </c>
      <c r="AU1" t="s">
        <v>40</v>
      </c>
      <c r="AV1" t="s">
        <v>42</v>
      </c>
      <c r="AW1" t="s">
        <v>44</v>
      </c>
      <c r="AX1" t="s">
        <v>46</v>
      </c>
      <c r="AY1" t="s">
        <v>48</v>
      </c>
      <c r="AZ1" t="s">
        <v>50</v>
      </c>
      <c r="BA1" t="s">
        <v>1267</v>
      </c>
    </row>
    <row r="2" spans="1:53" x14ac:dyDescent="0.3">
      <c r="A2" t="s">
        <v>168</v>
      </c>
      <c r="B2" t="s">
        <v>169</v>
      </c>
      <c r="C2" t="s">
        <v>1197</v>
      </c>
      <c r="E2">
        <v>297</v>
      </c>
      <c r="J2">
        <v>100239106</v>
      </c>
      <c r="K2">
        <v>56846995</v>
      </c>
      <c r="L2">
        <v>43392111</v>
      </c>
      <c r="M2">
        <v>102344095</v>
      </c>
      <c r="N2">
        <v>58040782</v>
      </c>
      <c r="O2">
        <v>44303313</v>
      </c>
      <c r="R2" t="s">
        <v>1268</v>
      </c>
      <c r="S2" t="s">
        <v>1269</v>
      </c>
      <c r="T2" t="s">
        <v>77</v>
      </c>
      <c r="U2" t="s">
        <v>1270</v>
      </c>
      <c r="W2">
        <v>2104989</v>
      </c>
      <c r="X2">
        <v>911202</v>
      </c>
      <c r="Y2">
        <v>1193787</v>
      </c>
      <c r="AK2" t="s">
        <v>88</v>
      </c>
    </row>
    <row r="3" spans="1:53" x14ac:dyDescent="0.3">
      <c r="A3" t="s">
        <v>168</v>
      </c>
      <c r="B3" t="s">
        <v>169</v>
      </c>
      <c r="C3" t="s">
        <v>1271</v>
      </c>
      <c r="E3">
        <v>157</v>
      </c>
      <c r="J3">
        <v>59467620</v>
      </c>
      <c r="K3">
        <v>7621649</v>
      </c>
      <c r="L3">
        <v>51845971</v>
      </c>
      <c r="M3">
        <v>60716421</v>
      </c>
      <c r="N3">
        <v>7781720</v>
      </c>
      <c r="O3">
        <v>52934701</v>
      </c>
      <c r="R3" t="s">
        <v>1272</v>
      </c>
      <c r="S3" t="s">
        <v>1269</v>
      </c>
      <c r="T3" t="s">
        <v>77</v>
      </c>
      <c r="U3" t="s">
        <v>1270</v>
      </c>
      <c r="W3">
        <v>1248801</v>
      </c>
      <c r="X3">
        <v>1088730</v>
      </c>
      <c r="Y3">
        <v>160071</v>
      </c>
      <c r="AK3" t="s">
        <v>88</v>
      </c>
    </row>
    <row r="4" spans="1:53" x14ac:dyDescent="0.3">
      <c r="A4" t="s">
        <v>168</v>
      </c>
      <c r="B4" t="s">
        <v>80</v>
      </c>
      <c r="C4" t="s">
        <v>1273</v>
      </c>
      <c r="E4">
        <v>106</v>
      </c>
      <c r="J4">
        <v>128370582</v>
      </c>
      <c r="K4">
        <v>56846995</v>
      </c>
      <c r="L4">
        <v>71523587</v>
      </c>
      <c r="M4">
        <v>131066323</v>
      </c>
      <c r="N4">
        <v>58040782</v>
      </c>
      <c r="O4">
        <v>73025541</v>
      </c>
      <c r="R4" t="s">
        <v>1274</v>
      </c>
      <c r="S4" t="s">
        <v>1269</v>
      </c>
      <c r="T4" t="s">
        <v>77</v>
      </c>
      <c r="U4" t="s">
        <v>1270</v>
      </c>
      <c r="W4">
        <v>2695741</v>
      </c>
      <c r="X4">
        <v>1501954</v>
      </c>
      <c r="Y4">
        <v>1193787</v>
      </c>
      <c r="AK4" t="s">
        <v>88</v>
      </c>
    </row>
    <row r="5" spans="1:53" x14ac:dyDescent="0.3">
      <c r="A5" t="s">
        <v>168</v>
      </c>
      <c r="B5" t="s">
        <v>80</v>
      </c>
      <c r="C5" t="s">
        <v>1275</v>
      </c>
      <c r="E5">
        <v>139</v>
      </c>
      <c r="J5">
        <v>150276114</v>
      </c>
      <c r="K5">
        <v>56846995</v>
      </c>
      <c r="L5">
        <v>93428119</v>
      </c>
      <c r="M5">
        <v>153431864</v>
      </c>
      <c r="N5">
        <v>58040782</v>
      </c>
      <c r="O5">
        <v>95391082</v>
      </c>
      <c r="R5" t="s">
        <v>1276</v>
      </c>
      <c r="S5" t="s">
        <v>1269</v>
      </c>
      <c r="T5" t="s">
        <v>77</v>
      </c>
      <c r="U5" t="s">
        <v>1270</v>
      </c>
      <c r="W5">
        <v>3155750</v>
      </c>
      <c r="X5">
        <v>1962963</v>
      </c>
      <c r="Y5">
        <v>1193787</v>
      </c>
      <c r="AK5" t="s">
        <v>88</v>
      </c>
    </row>
    <row r="6" spans="1:53" x14ac:dyDescent="0.3">
      <c r="A6" t="s">
        <v>168</v>
      </c>
      <c r="B6" t="s">
        <v>80</v>
      </c>
      <c r="C6" t="s">
        <v>1277</v>
      </c>
      <c r="E6">
        <v>87</v>
      </c>
      <c r="J6">
        <v>80577518</v>
      </c>
      <c r="K6">
        <v>56846995</v>
      </c>
      <c r="L6">
        <v>23730523</v>
      </c>
      <c r="M6">
        <v>82269620</v>
      </c>
      <c r="N6">
        <v>58040782</v>
      </c>
      <c r="O6">
        <v>24228838</v>
      </c>
      <c r="R6" t="s">
        <v>1278</v>
      </c>
      <c r="S6" t="s">
        <v>1269</v>
      </c>
      <c r="T6" t="s">
        <v>77</v>
      </c>
      <c r="U6" t="s">
        <v>1270</v>
      </c>
      <c r="W6">
        <v>1692102</v>
      </c>
      <c r="X6">
        <v>498315</v>
      </c>
      <c r="Y6">
        <v>1193787</v>
      </c>
      <c r="AK6" t="s">
        <v>88</v>
      </c>
    </row>
    <row r="7" spans="1:53" x14ac:dyDescent="0.3">
      <c r="A7" t="s">
        <v>168</v>
      </c>
      <c r="B7" t="s">
        <v>80</v>
      </c>
      <c r="C7" t="s">
        <v>1279</v>
      </c>
      <c r="E7">
        <v>104</v>
      </c>
      <c r="J7">
        <v>128392048</v>
      </c>
      <c r="K7">
        <v>56846995</v>
      </c>
      <c r="L7">
        <v>71545053</v>
      </c>
      <c r="M7">
        <v>131088240</v>
      </c>
      <c r="N7">
        <v>58040782</v>
      </c>
      <c r="O7">
        <v>73047458</v>
      </c>
      <c r="R7" t="s">
        <v>1280</v>
      </c>
      <c r="S7" t="s">
        <v>1269</v>
      </c>
      <c r="T7" t="s">
        <v>77</v>
      </c>
      <c r="U7" t="s">
        <v>1270</v>
      </c>
      <c r="W7">
        <v>2696192</v>
      </c>
      <c r="X7">
        <v>1502405</v>
      </c>
      <c r="Y7">
        <v>1193787</v>
      </c>
      <c r="AK7" t="s">
        <v>88</v>
      </c>
    </row>
    <row r="8" spans="1:53" x14ac:dyDescent="0.3">
      <c r="A8" t="s">
        <v>168</v>
      </c>
      <c r="B8" t="s">
        <v>80</v>
      </c>
      <c r="C8" t="s">
        <v>1281</v>
      </c>
      <c r="E8">
        <v>104</v>
      </c>
      <c r="J8">
        <v>128392048</v>
      </c>
      <c r="K8">
        <v>56846995</v>
      </c>
      <c r="L8">
        <v>71545053</v>
      </c>
      <c r="M8">
        <v>131088240</v>
      </c>
      <c r="N8">
        <v>58040782</v>
      </c>
      <c r="O8">
        <v>73047458</v>
      </c>
      <c r="R8" t="s">
        <v>1282</v>
      </c>
      <c r="S8" t="s">
        <v>1269</v>
      </c>
      <c r="T8" t="s">
        <v>77</v>
      </c>
      <c r="U8" t="s">
        <v>1270</v>
      </c>
      <c r="W8">
        <v>2696192</v>
      </c>
      <c r="X8">
        <v>1502405</v>
      </c>
      <c r="Y8">
        <v>1193787</v>
      </c>
      <c r="AK8" t="s">
        <v>88</v>
      </c>
    </row>
    <row r="9" spans="1:53" x14ac:dyDescent="0.3">
      <c r="A9" t="s">
        <v>168</v>
      </c>
      <c r="B9" t="s">
        <v>80</v>
      </c>
      <c r="C9" t="s">
        <v>1283</v>
      </c>
      <c r="E9">
        <v>104</v>
      </c>
      <c r="J9">
        <v>128392048</v>
      </c>
      <c r="K9">
        <v>56846995</v>
      </c>
      <c r="L9">
        <v>71545053</v>
      </c>
      <c r="M9">
        <v>131088240</v>
      </c>
      <c r="N9">
        <v>58040782</v>
      </c>
      <c r="O9">
        <v>73047458</v>
      </c>
      <c r="R9" t="s">
        <v>1284</v>
      </c>
      <c r="S9" t="s">
        <v>1269</v>
      </c>
      <c r="T9" t="s">
        <v>77</v>
      </c>
      <c r="U9" t="s">
        <v>1270</v>
      </c>
      <c r="W9">
        <v>2696192</v>
      </c>
      <c r="X9">
        <v>1502405</v>
      </c>
      <c r="Y9">
        <v>1193787</v>
      </c>
      <c r="AK9" t="s">
        <v>88</v>
      </c>
    </row>
    <row r="10" spans="1:53" x14ac:dyDescent="0.3">
      <c r="A10" t="s">
        <v>168</v>
      </c>
      <c r="B10" t="s">
        <v>80</v>
      </c>
      <c r="C10" t="s">
        <v>1285</v>
      </c>
      <c r="E10">
        <v>102</v>
      </c>
      <c r="J10">
        <v>125663338</v>
      </c>
      <c r="K10">
        <v>56846995</v>
      </c>
      <c r="L10">
        <v>68816343</v>
      </c>
      <c r="M10">
        <v>128302228</v>
      </c>
      <c r="N10">
        <v>58040782</v>
      </c>
      <c r="O10">
        <v>70261446</v>
      </c>
      <c r="R10" t="s">
        <v>1286</v>
      </c>
      <c r="S10" t="s">
        <v>1269</v>
      </c>
      <c r="T10" t="s">
        <v>77</v>
      </c>
      <c r="U10" t="s">
        <v>1270</v>
      </c>
      <c r="W10">
        <v>2638890</v>
      </c>
      <c r="X10">
        <v>1445103</v>
      </c>
      <c r="Y10">
        <v>1193787</v>
      </c>
      <c r="AK10" t="s">
        <v>88</v>
      </c>
    </row>
    <row r="11" spans="1:53" x14ac:dyDescent="0.3">
      <c r="A11" t="s">
        <v>168</v>
      </c>
      <c r="B11" t="s">
        <v>80</v>
      </c>
      <c r="C11" t="s">
        <v>1287</v>
      </c>
      <c r="E11">
        <v>92</v>
      </c>
      <c r="J11">
        <v>113642242</v>
      </c>
      <c r="K11">
        <v>56846995</v>
      </c>
      <c r="L11">
        <v>56795247</v>
      </c>
      <c r="M11">
        <v>116028692</v>
      </c>
      <c r="N11">
        <v>58040782</v>
      </c>
      <c r="O11">
        <v>57987910</v>
      </c>
      <c r="R11" t="s">
        <v>1288</v>
      </c>
      <c r="S11" t="s">
        <v>1269</v>
      </c>
      <c r="T11" t="s">
        <v>77</v>
      </c>
      <c r="U11" t="s">
        <v>1270</v>
      </c>
      <c r="W11">
        <v>2386450</v>
      </c>
      <c r="X11">
        <v>1192663</v>
      </c>
      <c r="Y11">
        <v>1193787</v>
      </c>
      <c r="AK11" t="s">
        <v>88</v>
      </c>
    </row>
    <row r="12" spans="1:53" x14ac:dyDescent="0.3">
      <c r="A12" t="s">
        <v>168</v>
      </c>
      <c r="B12" t="s">
        <v>80</v>
      </c>
      <c r="C12" t="s">
        <v>1289</v>
      </c>
      <c r="E12">
        <v>4</v>
      </c>
      <c r="J12">
        <v>2299056</v>
      </c>
      <c r="K12">
        <v>0</v>
      </c>
      <c r="L12">
        <v>2299056</v>
      </c>
      <c r="M12">
        <v>2347336</v>
      </c>
      <c r="O12">
        <v>2347336</v>
      </c>
      <c r="R12" t="s">
        <v>1290</v>
      </c>
      <c r="S12" t="s">
        <v>1269</v>
      </c>
      <c r="T12" t="s">
        <v>77</v>
      </c>
      <c r="U12" t="s">
        <v>1291</v>
      </c>
      <c r="W12">
        <v>48280</v>
      </c>
      <c r="X12">
        <v>48280</v>
      </c>
      <c r="Y12">
        <v>0</v>
      </c>
      <c r="AK12" t="s">
        <v>88</v>
      </c>
    </row>
    <row r="13" spans="1:53" x14ac:dyDescent="0.3">
      <c r="A13" t="s">
        <v>168</v>
      </c>
      <c r="B13" t="s">
        <v>80</v>
      </c>
      <c r="C13" t="s">
        <v>1292</v>
      </c>
      <c r="E13">
        <v>7</v>
      </c>
      <c r="J13">
        <v>4421131</v>
      </c>
      <c r="K13">
        <v>0</v>
      </c>
      <c r="L13">
        <v>4421131</v>
      </c>
      <c r="M13">
        <v>4513974</v>
      </c>
      <c r="O13">
        <v>4513974</v>
      </c>
      <c r="R13" t="s">
        <v>1293</v>
      </c>
      <c r="S13" t="s">
        <v>1269</v>
      </c>
      <c r="T13" t="s">
        <v>77</v>
      </c>
      <c r="U13" t="s">
        <v>1291</v>
      </c>
      <c r="W13">
        <v>92843</v>
      </c>
      <c r="X13">
        <v>92843</v>
      </c>
      <c r="Y13">
        <v>0</v>
      </c>
      <c r="AK13" t="s">
        <v>88</v>
      </c>
    </row>
    <row r="14" spans="1:53" x14ac:dyDescent="0.3">
      <c r="A14" t="s">
        <v>168</v>
      </c>
      <c r="B14" t="s">
        <v>80</v>
      </c>
      <c r="C14" t="s">
        <v>1294</v>
      </c>
      <c r="E14">
        <v>4</v>
      </c>
      <c r="J14">
        <v>2445605</v>
      </c>
      <c r="K14">
        <v>0</v>
      </c>
      <c r="L14">
        <v>2445605</v>
      </c>
      <c r="M14">
        <v>2496962</v>
      </c>
      <c r="O14">
        <v>2496962</v>
      </c>
      <c r="R14" t="s">
        <v>1295</v>
      </c>
      <c r="S14" t="s">
        <v>1269</v>
      </c>
      <c r="T14" t="s">
        <v>77</v>
      </c>
      <c r="U14" t="s">
        <v>1291</v>
      </c>
      <c r="W14">
        <v>51357</v>
      </c>
      <c r="X14">
        <v>51357</v>
      </c>
      <c r="Y14">
        <v>0</v>
      </c>
      <c r="AK14" t="s">
        <v>88</v>
      </c>
    </row>
    <row r="15" spans="1:53" x14ac:dyDescent="0.3">
      <c r="A15" t="s">
        <v>168</v>
      </c>
      <c r="B15" t="s">
        <v>80</v>
      </c>
      <c r="C15" t="s">
        <v>1296</v>
      </c>
      <c r="E15">
        <v>4</v>
      </c>
      <c r="J15">
        <v>2430922</v>
      </c>
      <c r="K15">
        <v>0</v>
      </c>
      <c r="L15">
        <v>2430922</v>
      </c>
      <c r="M15">
        <v>2481970</v>
      </c>
      <c r="O15">
        <v>2481970</v>
      </c>
      <c r="R15" t="s">
        <v>1297</v>
      </c>
      <c r="S15" t="s">
        <v>1269</v>
      </c>
      <c r="T15" t="s">
        <v>77</v>
      </c>
      <c r="U15" t="s">
        <v>1291</v>
      </c>
      <c r="W15">
        <v>51048</v>
      </c>
      <c r="X15">
        <v>51048</v>
      </c>
      <c r="Y15">
        <v>0</v>
      </c>
      <c r="AK15" t="s">
        <v>88</v>
      </c>
    </row>
    <row r="16" spans="1:53" x14ac:dyDescent="0.3">
      <c r="A16" t="s">
        <v>168</v>
      </c>
      <c r="B16" t="s">
        <v>80</v>
      </c>
      <c r="C16" t="s">
        <v>1298</v>
      </c>
      <c r="E16">
        <v>7</v>
      </c>
      <c r="J16">
        <v>4391766</v>
      </c>
      <c r="K16">
        <v>0</v>
      </c>
      <c r="L16">
        <v>4391766</v>
      </c>
      <c r="M16">
        <v>4483992</v>
      </c>
      <c r="O16">
        <v>4483992</v>
      </c>
      <c r="R16" t="s">
        <v>1299</v>
      </c>
      <c r="S16" t="s">
        <v>1269</v>
      </c>
      <c r="T16" t="s">
        <v>77</v>
      </c>
      <c r="U16" t="s">
        <v>1291</v>
      </c>
      <c r="W16">
        <v>92226</v>
      </c>
      <c r="X16">
        <v>92226</v>
      </c>
      <c r="Y16">
        <v>0</v>
      </c>
      <c r="AK16" t="s">
        <v>88</v>
      </c>
    </row>
    <row r="17" spans="1:37" x14ac:dyDescent="0.3">
      <c r="A17" t="s">
        <v>168</v>
      </c>
      <c r="B17" t="s">
        <v>80</v>
      </c>
      <c r="C17" t="s">
        <v>1300</v>
      </c>
      <c r="E17">
        <v>4</v>
      </c>
      <c r="J17">
        <v>2585092</v>
      </c>
      <c r="K17">
        <v>0</v>
      </c>
      <c r="L17">
        <v>2585092</v>
      </c>
      <c r="M17">
        <v>2639378</v>
      </c>
      <c r="O17">
        <v>2639378</v>
      </c>
      <c r="R17" t="s">
        <v>1301</v>
      </c>
      <c r="S17" t="s">
        <v>1269</v>
      </c>
      <c r="T17" t="s">
        <v>77</v>
      </c>
      <c r="U17" t="s">
        <v>1291</v>
      </c>
      <c r="W17">
        <v>54286</v>
      </c>
      <c r="X17">
        <v>54286</v>
      </c>
      <c r="Y17">
        <v>0</v>
      </c>
      <c r="AK17" t="s">
        <v>88</v>
      </c>
    </row>
    <row r="18" spans="1:37" x14ac:dyDescent="0.3">
      <c r="A18" t="s">
        <v>168</v>
      </c>
      <c r="B18" t="s">
        <v>80</v>
      </c>
      <c r="C18" t="s">
        <v>1302</v>
      </c>
      <c r="E18">
        <v>3</v>
      </c>
      <c r="J18">
        <v>1865404</v>
      </c>
      <c r="K18">
        <v>0</v>
      </c>
      <c r="L18">
        <v>1865404</v>
      </c>
      <c r="M18">
        <v>1904577</v>
      </c>
      <c r="O18">
        <v>1904577</v>
      </c>
      <c r="R18" t="s">
        <v>1303</v>
      </c>
      <c r="S18" t="s">
        <v>1269</v>
      </c>
      <c r="T18" t="s">
        <v>77</v>
      </c>
      <c r="U18" t="s">
        <v>1291</v>
      </c>
      <c r="W18">
        <v>39173</v>
      </c>
      <c r="X18">
        <v>39173</v>
      </c>
      <c r="Y18">
        <v>0</v>
      </c>
      <c r="AK18" t="s">
        <v>88</v>
      </c>
    </row>
    <row r="19" spans="1:37" x14ac:dyDescent="0.3">
      <c r="A19" t="s">
        <v>168</v>
      </c>
      <c r="B19" t="s">
        <v>80</v>
      </c>
      <c r="C19" t="s">
        <v>1304</v>
      </c>
      <c r="E19">
        <v>3</v>
      </c>
      <c r="J19">
        <v>1865404</v>
      </c>
      <c r="K19">
        <v>0</v>
      </c>
      <c r="L19">
        <v>1865404</v>
      </c>
      <c r="M19">
        <v>1904577</v>
      </c>
      <c r="O19">
        <v>1904577</v>
      </c>
      <c r="R19" t="s">
        <v>1305</v>
      </c>
      <c r="S19" t="s">
        <v>1269</v>
      </c>
      <c r="T19" t="s">
        <v>77</v>
      </c>
      <c r="U19" t="s">
        <v>1291</v>
      </c>
      <c r="W19">
        <v>39173</v>
      </c>
      <c r="X19">
        <v>39173</v>
      </c>
      <c r="Y19">
        <v>0</v>
      </c>
      <c r="AK19" t="s">
        <v>88</v>
      </c>
    </row>
    <row r="20" spans="1:37" x14ac:dyDescent="0.3">
      <c r="A20" t="s">
        <v>168</v>
      </c>
      <c r="B20" t="s">
        <v>80</v>
      </c>
      <c r="C20" t="s">
        <v>1306</v>
      </c>
      <c r="E20">
        <v>3</v>
      </c>
      <c r="J20">
        <v>1821356</v>
      </c>
      <c r="K20">
        <v>0</v>
      </c>
      <c r="L20">
        <v>1821356</v>
      </c>
      <c r="M20">
        <v>1859604</v>
      </c>
      <c r="O20">
        <v>1859604</v>
      </c>
      <c r="R20" t="s">
        <v>1307</v>
      </c>
      <c r="S20" t="s">
        <v>1269</v>
      </c>
      <c r="T20" t="s">
        <v>77</v>
      </c>
      <c r="U20" t="s">
        <v>1291</v>
      </c>
      <c r="W20">
        <v>38248</v>
      </c>
      <c r="X20">
        <v>38248</v>
      </c>
      <c r="Y20">
        <v>0</v>
      </c>
      <c r="AK20" t="s">
        <v>88</v>
      </c>
    </row>
    <row r="21" spans="1:37" x14ac:dyDescent="0.3">
      <c r="A21" t="s">
        <v>168</v>
      </c>
      <c r="B21" t="s">
        <v>80</v>
      </c>
      <c r="C21" t="s">
        <v>1308</v>
      </c>
      <c r="E21">
        <v>3</v>
      </c>
      <c r="J21">
        <v>1843380</v>
      </c>
      <c r="K21">
        <v>0</v>
      </c>
      <c r="L21">
        <v>1843380</v>
      </c>
      <c r="M21">
        <v>1882090</v>
      </c>
      <c r="O21">
        <v>1882090</v>
      </c>
      <c r="R21" t="s">
        <v>1309</v>
      </c>
      <c r="S21" t="s">
        <v>1269</v>
      </c>
      <c r="T21" t="s">
        <v>77</v>
      </c>
      <c r="U21" t="s">
        <v>1291</v>
      </c>
      <c r="W21">
        <v>38710</v>
      </c>
      <c r="X21">
        <v>38710</v>
      </c>
      <c r="Y21">
        <v>0</v>
      </c>
      <c r="AK21" t="s">
        <v>88</v>
      </c>
    </row>
    <row r="22" spans="1:37" x14ac:dyDescent="0.3">
      <c r="A22" t="s">
        <v>168</v>
      </c>
      <c r="B22" t="s">
        <v>80</v>
      </c>
      <c r="C22" t="s">
        <v>1310</v>
      </c>
      <c r="E22">
        <v>4</v>
      </c>
      <c r="J22">
        <v>2423581</v>
      </c>
      <c r="K22">
        <v>0</v>
      </c>
      <c r="L22">
        <v>2423581</v>
      </c>
      <c r="M22">
        <v>2474475</v>
      </c>
      <c r="O22">
        <v>2474475</v>
      </c>
      <c r="R22" t="s">
        <v>1311</v>
      </c>
      <c r="S22" t="s">
        <v>1269</v>
      </c>
      <c r="T22" t="s">
        <v>77</v>
      </c>
      <c r="U22" t="s">
        <v>1291</v>
      </c>
      <c r="W22">
        <v>50894</v>
      </c>
      <c r="X22">
        <v>50894</v>
      </c>
      <c r="Y22">
        <v>0</v>
      </c>
      <c r="AK22" t="s">
        <v>88</v>
      </c>
    </row>
    <row r="23" spans="1:37" x14ac:dyDescent="0.3">
      <c r="A23" t="s">
        <v>168</v>
      </c>
      <c r="B23" t="s">
        <v>80</v>
      </c>
      <c r="C23" t="s">
        <v>1312</v>
      </c>
      <c r="E23">
        <v>3</v>
      </c>
      <c r="J23">
        <v>1916794</v>
      </c>
      <c r="K23">
        <v>0</v>
      </c>
      <c r="L23">
        <v>1916794</v>
      </c>
      <c r="M23">
        <v>1957046</v>
      </c>
      <c r="O23">
        <v>1957046</v>
      </c>
      <c r="R23" t="s">
        <v>1313</v>
      </c>
      <c r="S23" t="s">
        <v>1269</v>
      </c>
      <c r="T23" t="s">
        <v>77</v>
      </c>
      <c r="U23" t="s">
        <v>1291</v>
      </c>
      <c r="W23">
        <v>40252</v>
      </c>
      <c r="X23">
        <v>40252</v>
      </c>
      <c r="Y23">
        <v>0</v>
      </c>
      <c r="AK23" t="s">
        <v>88</v>
      </c>
    </row>
    <row r="24" spans="1:37" x14ac:dyDescent="0.3">
      <c r="A24" t="s">
        <v>168</v>
      </c>
      <c r="B24" t="s">
        <v>80</v>
      </c>
      <c r="C24" t="s">
        <v>1314</v>
      </c>
      <c r="E24">
        <v>4</v>
      </c>
      <c r="J24">
        <v>1517432</v>
      </c>
      <c r="K24">
        <v>0</v>
      </c>
      <c r="L24">
        <v>1517432</v>
      </c>
      <c r="M24">
        <v>1549297</v>
      </c>
      <c r="O24">
        <v>1549297</v>
      </c>
      <c r="R24" t="s">
        <v>1315</v>
      </c>
      <c r="S24" t="s">
        <v>1269</v>
      </c>
      <c r="T24" t="s">
        <v>77</v>
      </c>
      <c r="U24" t="s">
        <v>1291</v>
      </c>
      <c r="W24">
        <v>31865</v>
      </c>
      <c r="X24">
        <v>31865</v>
      </c>
      <c r="Y24">
        <v>0</v>
      </c>
      <c r="AK24" t="s">
        <v>88</v>
      </c>
    </row>
    <row r="25" spans="1:37" x14ac:dyDescent="0.3">
      <c r="A25" t="s">
        <v>168</v>
      </c>
      <c r="B25" t="s">
        <v>80</v>
      </c>
      <c r="C25" t="s">
        <v>1316</v>
      </c>
      <c r="E25">
        <v>4</v>
      </c>
      <c r="J25">
        <v>1517432</v>
      </c>
      <c r="K25">
        <v>0</v>
      </c>
      <c r="L25">
        <v>1517432</v>
      </c>
      <c r="M25">
        <v>1549297</v>
      </c>
      <c r="O25">
        <v>1549297</v>
      </c>
      <c r="R25" t="s">
        <v>1317</v>
      </c>
      <c r="S25" t="s">
        <v>1269</v>
      </c>
      <c r="T25" t="s">
        <v>77</v>
      </c>
      <c r="U25" t="s">
        <v>1291</v>
      </c>
      <c r="W25">
        <v>31865</v>
      </c>
      <c r="X25">
        <v>31865</v>
      </c>
      <c r="Y25">
        <v>0</v>
      </c>
      <c r="AK25" t="s">
        <v>88</v>
      </c>
    </row>
    <row r="26" spans="1:37" x14ac:dyDescent="0.3">
      <c r="A26" t="s">
        <v>168</v>
      </c>
      <c r="B26" t="s">
        <v>80</v>
      </c>
      <c r="C26" t="s">
        <v>1318</v>
      </c>
      <c r="E26">
        <v>3</v>
      </c>
      <c r="J26">
        <v>1132567</v>
      </c>
      <c r="K26">
        <v>0</v>
      </c>
      <c r="L26">
        <v>1132567</v>
      </c>
      <c r="M26">
        <v>1156351</v>
      </c>
      <c r="O26">
        <v>1156351</v>
      </c>
      <c r="R26" t="s">
        <v>1319</v>
      </c>
      <c r="S26" t="s">
        <v>1269</v>
      </c>
      <c r="T26" t="s">
        <v>77</v>
      </c>
      <c r="U26" t="s">
        <v>1291</v>
      </c>
      <c r="W26">
        <v>23784</v>
      </c>
      <c r="X26">
        <v>23784</v>
      </c>
      <c r="Y26">
        <v>0</v>
      </c>
      <c r="AK26" t="s">
        <v>88</v>
      </c>
    </row>
    <row r="27" spans="1:37" x14ac:dyDescent="0.3">
      <c r="A27" t="s">
        <v>168</v>
      </c>
      <c r="B27" t="s">
        <v>80</v>
      </c>
      <c r="C27" t="s">
        <v>1320</v>
      </c>
      <c r="E27">
        <v>3</v>
      </c>
      <c r="J27">
        <v>1095860</v>
      </c>
      <c r="K27">
        <v>0</v>
      </c>
      <c r="L27">
        <v>1095860</v>
      </c>
      <c r="M27">
        <v>1118872</v>
      </c>
      <c r="O27">
        <v>1118872</v>
      </c>
      <c r="R27" t="s">
        <v>1321</v>
      </c>
      <c r="S27" t="s">
        <v>1269</v>
      </c>
      <c r="T27" t="s">
        <v>77</v>
      </c>
      <c r="U27" t="s">
        <v>1291</v>
      </c>
      <c r="W27">
        <v>23012</v>
      </c>
      <c r="X27">
        <v>23012</v>
      </c>
      <c r="Y27">
        <v>0</v>
      </c>
      <c r="AK27" t="s">
        <v>88</v>
      </c>
    </row>
    <row r="28" spans="1:37" x14ac:dyDescent="0.3">
      <c r="A28" t="s">
        <v>168</v>
      </c>
      <c r="B28" t="s">
        <v>80</v>
      </c>
      <c r="C28" t="s">
        <v>1322</v>
      </c>
      <c r="E28">
        <v>3</v>
      </c>
      <c r="J28">
        <v>1147249</v>
      </c>
      <c r="K28">
        <v>0</v>
      </c>
      <c r="L28">
        <v>1147249</v>
      </c>
      <c r="M28">
        <v>1171341</v>
      </c>
      <c r="O28">
        <v>1171341</v>
      </c>
      <c r="R28" t="s">
        <v>1323</v>
      </c>
      <c r="S28" t="s">
        <v>1269</v>
      </c>
      <c r="T28" t="s">
        <v>77</v>
      </c>
      <c r="U28" t="s">
        <v>1291</v>
      </c>
      <c r="W28">
        <v>24092</v>
      </c>
      <c r="X28">
        <v>24092</v>
      </c>
      <c r="Y28">
        <v>0</v>
      </c>
      <c r="AK28" t="s">
        <v>88</v>
      </c>
    </row>
    <row r="29" spans="1:37" x14ac:dyDescent="0.3">
      <c r="A29" t="s">
        <v>168</v>
      </c>
      <c r="B29" t="s">
        <v>80</v>
      </c>
      <c r="C29" t="s">
        <v>1324</v>
      </c>
      <c r="E29">
        <v>3</v>
      </c>
      <c r="J29">
        <v>1220665</v>
      </c>
      <c r="K29">
        <v>0</v>
      </c>
      <c r="L29">
        <v>1220665</v>
      </c>
      <c r="M29">
        <v>1246298</v>
      </c>
      <c r="O29">
        <v>1246298</v>
      </c>
      <c r="R29" t="s">
        <v>1325</v>
      </c>
      <c r="S29" t="s">
        <v>1269</v>
      </c>
      <c r="T29" t="s">
        <v>77</v>
      </c>
      <c r="U29" t="s">
        <v>1291</v>
      </c>
      <c r="W29">
        <v>25633</v>
      </c>
      <c r="X29">
        <v>25633</v>
      </c>
      <c r="Y29">
        <v>0</v>
      </c>
      <c r="AK29" t="s">
        <v>88</v>
      </c>
    </row>
    <row r="30" spans="1:37" x14ac:dyDescent="0.3">
      <c r="A30" t="s">
        <v>168</v>
      </c>
      <c r="B30" t="s">
        <v>80</v>
      </c>
      <c r="C30" t="s">
        <v>1326</v>
      </c>
      <c r="E30">
        <v>4</v>
      </c>
      <c r="J30">
        <v>1539455</v>
      </c>
      <c r="K30">
        <v>0</v>
      </c>
      <c r="L30">
        <v>1539455</v>
      </c>
      <c r="M30">
        <v>1571783</v>
      </c>
      <c r="O30">
        <v>1571783</v>
      </c>
      <c r="R30" t="s">
        <v>1327</v>
      </c>
      <c r="S30" t="s">
        <v>1269</v>
      </c>
      <c r="T30" t="s">
        <v>77</v>
      </c>
      <c r="U30" t="s">
        <v>1291</v>
      </c>
      <c r="W30">
        <v>32328</v>
      </c>
      <c r="X30">
        <v>32328</v>
      </c>
      <c r="Y30">
        <v>0</v>
      </c>
      <c r="AK30" t="s">
        <v>88</v>
      </c>
    </row>
    <row r="31" spans="1:37" x14ac:dyDescent="0.3">
      <c r="A31" t="s">
        <v>168</v>
      </c>
      <c r="B31" t="s">
        <v>80</v>
      </c>
      <c r="C31" t="s">
        <v>1328</v>
      </c>
      <c r="E31">
        <v>9</v>
      </c>
      <c r="J31">
        <v>2588486</v>
      </c>
      <c r="K31">
        <v>0</v>
      </c>
      <c r="L31">
        <v>2588486</v>
      </c>
      <c r="M31">
        <v>2642843</v>
      </c>
      <c r="O31">
        <v>2642843</v>
      </c>
      <c r="R31" t="s">
        <v>1329</v>
      </c>
      <c r="S31" t="s">
        <v>1269</v>
      </c>
      <c r="T31" t="s">
        <v>77</v>
      </c>
      <c r="U31" t="s">
        <v>1330</v>
      </c>
      <c r="W31">
        <v>54357</v>
      </c>
      <c r="X31">
        <v>54357</v>
      </c>
      <c r="Y31">
        <v>0</v>
      </c>
      <c r="AK31" t="s">
        <v>88</v>
      </c>
    </row>
    <row r="32" spans="1:37" x14ac:dyDescent="0.3">
      <c r="A32" t="s">
        <v>168</v>
      </c>
      <c r="B32" t="s">
        <v>80</v>
      </c>
      <c r="C32" t="s">
        <v>1331</v>
      </c>
      <c r="E32">
        <v>7</v>
      </c>
      <c r="J32">
        <v>1974079</v>
      </c>
      <c r="K32">
        <v>0</v>
      </c>
      <c r="L32">
        <v>1974079</v>
      </c>
      <c r="M32">
        <v>2015534</v>
      </c>
      <c r="O32">
        <v>2015534</v>
      </c>
      <c r="R32" t="s">
        <v>1332</v>
      </c>
      <c r="S32" t="s">
        <v>1269</v>
      </c>
      <c r="T32" t="s">
        <v>77</v>
      </c>
      <c r="U32" t="s">
        <v>1330</v>
      </c>
      <c r="W32">
        <v>41455</v>
      </c>
      <c r="X32">
        <v>41455</v>
      </c>
      <c r="Y32">
        <v>0</v>
      </c>
      <c r="AK32" t="s">
        <v>88</v>
      </c>
    </row>
    <row r="33" spans="1:37" x14ac:dyDescent="0.3">
      <c r="A33" t="s">
        <v>168</v>
      </c>
      <c r="B33" t="s">
        <v>80</v>
      </c>
      <c r="C33" t="s">
        <v>1333</v>
      </c>
      <c r="E33">
        <v>6</v>
      </c>
      <c r="J33">
        <v>1716479</v>
      </c>
      <c r="K33">
        <v>0</v>
      </c>
      <c r="L33">
        <v>1716479</v>
      </c>
      <c r="M33">
        <v>1752525</v>
      </c>
      <c r="O33">
        <v>1752525</v>
      </c>
      <c r="R33" t="s">
        <v>1334</v>
      </c>
      <c r="S33" t="s">
        <v>1269</v>
      </c>
      <c r="T33" t="s">
        <v>77</v>
      </c>
      <c r="U33" t="s">
        <v>1330</v>
      </c>
      <c r="W33">
        <v>36046</v>
      </c>
      <c r="X33">
        <v>36046</v>
      </c>
      <c r="Y33">
        <v>0</v>
      </c>
      <c r="AK33" t="s">
        <v>88</v>
      </c>
    </row>
    <row r="34" spans="1:37" x14ac:dyDescent="0.3">
      <c r="A34" t="s">
        <v>168</v>
      </c>
      <c r="B34" t="s">
        <v>80</v>
      </c>
      <c r="C34" t="s">
        <v>1335</v>
      </c>
      <c r="E34">
        <v>6</v>
      </c>
      <c r="J34">
        <v>1716479</v>
      </c>
      <c r="K34">
        <v>0</v>
      </c>
      <c r="L34">
        <v>1716479</v>
      </c>
      <c r="M34">
        <v>1752525</v>
      </c>
      <c r="O34">
        <v>1752525</v>
      </c>
      <c r="R34" t="s">
        <v>1336</v>
      </c>
      <c r="S34" t="s">
        <v>1269</v>
      </c>
      <c r="T34" t="s">
        <v>77</v>
      </c>
      <c r="U34" t="s">
        <v>1330</v>
      </c>
      <c r="W34">
        <v>36046</v>
      </c>
      <c r="X34">
        <v>36046</v>
      </c>
      <c r="Y34">
        <v>0</v>
      </c>
      <c r="AK34" t="s">
        <v>88</v>
      </c>
    </row>
    <row r="35" spans="1:37" x14ac:dyDescent="0.3">
      <c r="A35" t="s">
        <v>168</v>
      </c>
      <c r="B35" t="s">
        <v>80</v>
      </c>
      <c r="C35" t="s">
        <v>1337</v>
      </c>
      <c r="E35">
        <v>6</v>
      </c>
      <c r="J35">
        <v>1716479</v>
      </c>
      <c r="K35">
        <v>0</v>
      </c>
      <c r="L35">
        <v>1716479</v>
      </c>
      <c r="M35">
        <v>1752525</v>
      </c>
      <c r="O35">
        <v>1752525</v>
      </c>
      <c r="R35" t="s">
        <v>1338</v>
      </c>
      <c r="S35" t="s">
        <v>1269</v>
      </c>
      <c r="T35" t="s">
        <v>77</v>
      </c>
      <c r="U35" t="s">
        <v>1330</v>
      </c>
      <c r="W35">
        <v>36046</v>
      </c>
      <c r="X35">
        <v>36046</v>
      </c>
      <c r="Y35">
        <v>0</v>
      </c>
      <c r="AK35" t="s">
        <v>88</v>
      </c>
    </row>
    <row r="36" spans="1:37" x14ac:dyDescent="0.3">
      <c r="A36" t="s">
        <v>168</v>
      </c>
      <c r="B36" t="s">
        <v>80</v>
      </c>
      <c r="C36" t="s">
        <v>1339</v>
      </c>
      <c r="E36">
        <v>6</v>
      </c>
      <c r="J36">
        <v>1716479</v>
      </c>
      <c r="K36">
        <v>0</v>
      </c>
      <c r="L36">
        <v>1716479</v>
      </c>
      <c r="M36">
        <v>1752525</v>
      </c>
      <c r="O36">
        <v>1752525</v>
      </c>
      <c r="R36" t="s">
        <v>1340</v>
      </c>
      <c r="S36" t="s">
        <v>1269</v>
      </c>
      <c r="T36" t="s">
        <v>77</v>
      </c>
      <c r="U36" t="s">
        <v>1330</v>
      </c>
      <c r="W36">
        <v>36046</v>
      </c>
      <c r="X36">
        <v>36046</v>
      </c>
      <c r="Y36">
        <v>0</v>
      </c>
      <c r="AK36" t="s">
        <v>88</v>
      </c>
    </row>
    <row r="37" spans="1:37" x14ac:dyDescent="0.3">
      <c r="A37" t="s">
        <v>168</v>
      </c>
      <c r="B37" t="s">
        <v>80</v>
      </c>
      <c r="C37" t="s">
        <v>1341</v>
      </c>
      <c r="E37">
        <v>7</v>
      </c>
      <c r="J37">
        <v>1974079</v>
      </c>
      <c r="K37">
        <v>0</v>
      </c>
      <c r="L37">
        <v>1974079</v>
      </c>
      <c r="M37">
        <v>2015534</v>
      </c>
      <c r="O37">
        <v>2015534</v>
      </c>
      <c r="R37" t="s">
        <v>1342</v>
      </c>
      <c r="S37" t="s">
        <v>1269</v>
      </c>
      <c r="T37" t="s">
        <v>77</v>
      </c>
      <c r="U37" t="s">
        <v>1330</v>
      </c>
      <c r="W37">
        <v>41455</v>
      </c>
      <c r="X37">
        <v>41455</v>
      </c>
      <c r="Y37">
        <v>0</v>
      </c>
      <c r="AK37" t="s">
        <v>88</v>
      </c>
    </row>
    <row r="38" spans="1:37" x14ac:dyDescent="0.3">
      <c r="A38" t="s">
        <v>168</v>
      </c>
      <c r="B38" t="s">
        <v>80</v>
      </c>
      <c r="C38" t="s">
        <v>1343</v>
      </c>
      <c r="E38">
        <v>13</v>
      </c>
      <c r="J38">
        <v>12160425</v>
      </c>
      <c r="K38">
        <v>0</v>
      </c>
      <c r="L38">
        <v>12160425</v>
      </c>
      <c r="M38">
        <v>12415790</v>
      </c>
      <c r="O38">
        <v>12415790</v>
      </c>
      <c r="R38" t="s">
        <v>1344</v>
      </c>
      <c r="S38" t="s">
        <v>1269</v>
      </c>
      <c r="T38" t="s">
        <v>77</v>
      </c>
      <c r="U38" t="s">
        <v>1330</v>
      </c>
      <c r="W38">
        <v>255365</v>
      </c>
      <c r="X38">
        <v>255365</v>
      </c>
      <c r="Y38">
        <v>0</v>
      </c>
      <c r="AK38" t="s">
        <v>88</v>
      </c>
    </row>
    <row r="39" spans="1:37" x14ac:dyDescent="0.3">
      <c r="A39" t="s">
        <v>168</v>
      </c>
      <c r="B39" t="s">
        <v>80</v>
      </c>
      <c r="C39" t="s">
        <v>1345</v>
      </c>
      <c r="E39">
        <v>13</v>
      </c>
      <c r="J39">
        <v>12160425</v>
      </c>
      <c r="K39">
        <v>0</v>
      </c>
      <c r="L39">
        <v>12160425</v>
      </c>
      <c r="M39">
        <v>12415790</v>
      </c>
      <c r="O39">
        <v>12415790</v>
      </c>
      <c r="R39" t="s">
        <v>1346</v>
      </c>
      <c r="S39" t="s">
        <v>1269</v>
      </c>
      <c r="T39" t="s">
        <v>77</v>
      </c>
      <c r="U39" t="s">
        <v>1330</v>
      </c>
      <c r="W39">
        <v>255365</v>
      </c>
      <c r="X39">
        <v>255365</v>
      </c>
      <c r="Y39">
        <v>0</v>
      </c>
      <c r="AK39" t="s">
        <v>88</v>
      </c>
    </row>
    <row r="40" spans="1:37" x14ac:dyDescent="0.3">
      <c r="A40" t="s">
        <v>168</v>
      </c>
      <c r="B40" t="s">
        <v>80</v>
      </c>
      <c r="C40" t="s">
        <v>1347</v>
      </c>
      <c r="E40">
        <v>13</v>
      </c>
      <c r="J40">
        <v>12160425</v>
      </c>
      <c r="K40">
        <v>0</v>
      </c>
      <c r="L40">
        <v>12160425</v>
      </c>
      <c r="M40">
        <v>12415790</v>
      </c>
      <c r="O40">
        <v>12415790</v>
      </c>
      <c r="R40" t="s">
        <v>1348</v>
      </c>
      <c r="S40" t="s">
        <v>1269</v>
      </c>
      <c r="T40" t="s">
        <v>77</v>
      </c>
      <c r="U40" t="s">
        <v>1330</v>
      </c>
      <c r="W40">
        <v>255365</v>
      </c>
      <c r="X40">
        <v>255365</v>
      </c>
      <c r="Y40">
        <v>0</v>
      </c>
      <c r="AK40" t="s">
        <v>88</v>
      </c>
    </row>
    <row r="41" spans="1:37" x14ac:dyDescent="0.3">
      <c r="A41" t="s">
        <v>168</v>
      </c>
      <c r="B41" t="s">
        <v>80</v>
      </c>
      <c r="C41" t="s">
        <v>1349</v>
      </c>
      <c r="E41">
        <v>13</v>
      </c>
      <c r="J41">
        <v>12160425</v>
      </c>
      <c r="K41">
        <v>0</v>
      </c>
      <c r="L41">
        <v>12160425</v>
      </c>
      <c r="M41">
        <v>12415790</v>
      </c>
      <c r="O41">
        <v>12415790</v>
      </c>
      <c r="R41" t="s">
        <v>1350</v>
      </c>
      <c r="S41" t="s">
        <v>1269</v>
      </c>
      <c r="T41" t="s">
        <v>77</v>
      </c>
      <c r="U41" t="s">
        <v>1330</v>
      </c>
      <c r="W41">
        <v>255365</v>
      </c>
      <c r="X41">
        <v>255365</v>
      </c>
      <c r="Y41">
        <v>0</v>
      </c>
      <c r="AK41" t="s">
        <v>88</v>
      </c>
    </row>
    <row r="42" spans="1:37" x14ac:dyDescent="0.3">
      <c r="A42" t="s">
        <v>168</v>
      </c>
      <c r="B42" t="s">
        <v>80</v>
      </c>
      <c r="C42" t="s">
        <v>1351</v>
      </c>
      <c r="E42">
        <v>13</v>
      </c>
      <c r="J42">
        <v>12205438</v>
      </c>
      <c r="K42">
        <v>0</v>
      </c>
      <c r="L42">
        <v>12205438</v>
      </c>
      <c r="M42">
        <v>12461748</v>
      </c>
      <c r="O42">
        <v>12461748</v>
      </c>
      <c r="R42" t="s">
        <v>1352</v>
      </c>
      <c r="S42" t="s">
        <v>1269</v>
      </c>
      <c r="T42" t="s">
        <v>77</v>
      </c>
      <c r="U42" t="s">
        <v>1330</v>
      </c>
      <c r="W42">
        <v>256310</v>
      </c>
      <c r="X42">
        <v>256310</v>
      </c>
      <c r="Y42">
        <v>0</v>
      </c>
      <c r="AK42" t="s">
        <v>88</v>
      </c>
    </row>
    <row r="43" spans="1:37" x14ac:dyDescent="0.3">
      <c r="A43" t="s">
        <v>168</v>
      </c>
      <c r="B43" t="s">
        <v>80</v>
      </c>
      <c r="C43" t="s">
        <v>1353</v>
      </c>
      <c r="E43">
        <v>13</v>
      </c>
      <c r="J43">
        <v>12160425</v>
      </c>
      <c r="K43">
        <v>0</v>
      </c>
      <c r="L43">
        <v>12160425</v>
      </c>
      <c r="M43">
        <v>12415790</v>
      </c>
      <c r="O43">
        <v>12415790</v>
      </c>
      <c r="R43" t="s">
        <v>1354</v>
      </c>
      <c r="S43" t="s">
        <v>1269</v>
      </c>
      <c r="T43" t="s">
        <v>77</v>
      </c>
      <c r="U43" t="s">
        <v>1330</v>
      </c>
      <c r="W43">
        <v>255365</v>
      </c>
      <c r="X43">
        <v>255365</v>
      </c>
      <c r="Y43">
        <v>0</v>
      </c>
      <c r="AK43" t="s">
        <v>88</v>
      </c>
    </row>
    <row r="44" spans="1:37" x14ac:dyDescent="0.3">
      <c r="A44" t="s">
        <v>168</v>
      </c>
      <c r="B44" t="s">
        <v>80</v>
      </c>
      <c r="C44" t="s">
        <v>1355</v>
      </c>
      <c r="E44">
        <v>13</v>
      </c>
      <c r="J44">
        <v>12160425</v>
      </c>
      <c r="K44">
        <v>0</v>
      </c>
      <c r="L44">
        <v>12160425</v>
      </c>
      <c r="M44">
        <v>12415790</v>
      </c>
      <c r="O44">
        <v>12415790</v>
      </c>
      <c r="R44" t="s">
        <v>1356</v>
      </c>
      <c r="S44" t="s">
        <v>1269</v>
      </c>
      <c r="T44" t="s">
        <v>77</v>
      </c>
      <c r="U44" t="s">
        <v>1330</v>
      </c>
      <c r="W44">
        <v>255365</v>
      </c>
      <c r="X44">
        <v>255365</v>
      </c>
      <c r="Y44">
        <v>0</v>
      </c>
      <c r="AK44" t="s">
        <v>88</v>
      </c>
    </row>
    <row r="45" spans="1:37" x14ac:dyDescent="0.3">
      <c r="A45" t="s">
        <v>168</v>
      </c>
      <c r="B45" t="s">
        <v>80</v>
      </c>
      <c r="C45" t="s">
        <v>1357</v>
      </c>
      <c r="E45">
        <v>13</v>
      </c>
      <c r="J45">
        <v>12160425</v>
      </c>
      <c r="K45">
        <v>0</v>
      </c>
      <c r="L45">
        <v>12160425</v>
      </c>
      <c r="M45">
        <v>12415790</v>
      </c>
      <c r="O45">
        <v>12415790</v>
      </c>
      <c r="R45" t="s">
        <v>1358</v>
      </c>
      <c r="S45" t="s">
        <v>1269</v>
      </c>
      <c r="T45" t="s">
        <v>77</v>
      </c>
      <c r="U45" t="s">
        <v>1330</v>
      </c>
      <c r="W45">
        <v>255365</v>
      </c>
      <c r="X45">
        <v>255365</v>
      </c>
      <c r="Y45">
        <v>0</v>
      </c>
      <c r="AK45" t="s">
        <v>88</v>
      </c>
    </row>
    <row r="46" spans="1:37" x14ac:dyDescent="0.3">
      <c r="A46" t="s">
        <v>168</v>
      </c>
      <c r="B46" t="s">
        <v>80</v>
      </c>
      <c r="C46" t="s">
        <v>1359</v>
      </c>
      <c r="E46">
        <v>13</v>
      </c>
      <c r="J46">
        <v>12160425</v>
      </c>
      <c r="K46">
        <v>0</v>
      </c>
      <c r="L46">
        <v>12160425</v>
      </c>
      <c r="M46">
        <v>12415790</v>
      </c>
      <c r="O46">
        <v>12415790</v>
      </c>
      <c r="R46" t="s">
        <v>1360</v>
      </c>
      <c r="S46" t="s">
        <v>1269</v>
      </c>
      <c r="T46" t="s">
        <v>77</v>
      </c>
      <c r="U46" t="s">
        <v>1330</v>
      </c>
      <c r="W46">
        <v>255365</v>
      </c>
      <c r="X46">
        <v>255365</v>
      </c>
      <c r="Y46">
        <v>0</v>
      </c>
      <c r="AK46" t="s">
        <v>88</v>
      </c>
    </row>
    <row r="47" spans="1:37" x14ac:dyDescent="0.3">
      <c r="A47" t="s">
        <v>168</v>
      </c>
      <c r="B47" t="s">
        <v>80</v>
      </c>
      <c r="C47" t="s">
        <v>1361</v>
      </c>
      <c r="E47">
        <v>13</v>
      </c>
      <c r="J47">
        <v>12160425</v>
      </c>
      <c r="K47">
        <v>0</v>
      </c>
      <c r="L47">
        <v>12160425</v>
      </c>
      <c r="M47">
        <v>12415790</v>
      </c>
      <c r="O47">
        <v>12415790</v>
      </c>
      <c r="R47" t="s">
        <v>1362</v>
      </c>
      <c r="S47" t="s">
        <v>1269</v>
      </c>
      <c r="T47" t="s">
        <v>77</v>
      </c>
      <c r="U47" t="s">
        <v>1330</v>
      </c>
      <c r="W47">
        <v>255365</v>
      </c>
      <c r="X47">
        <v>255365</v>
      </c>
      <c r="Y47">
        <v>0</v>
      </c>
      <c r="AK47" t="s">
        <v>88</v>
      </c>
    </row>
    <row r="48" spans="1:37" x14ac:dyDescent="0.3">
      <c r="A48" t="s">
        <v>168</v>
      </c>
      <c r="B48" t="s">
        <v>80</v>
      </c>
      <c r="C48" t="s">
        <v>1363</v>
      </c>
      <c r="E48">
        <v>14</v>
      </c>
      <c r="J48">
        <v>12937003</v>
      </c>
      <c r="K48">
        <v>0</v>
      </c>
      <c r="L48">
        <v>12937003</v>
      </c>
      <c r="M48">
        <v>13208675</v>
      </c>
      <c r="O48">
        <v>13208675</v>
      </c>
      <c r="R48" t="s">
        <v>1364</v>
      </c>
      <c r="S48" t="s">
        <v>1269</v>
      </c>
      <c r="T48" t="s">
        <v>77</v>
      </c>
      <c r="U48" t="s">
        <v>1330</v>
      </c>
      <c r="W48">
        <v>271672</v>
      </c>
      <c r="X48">
        <v>271672</v>
      </c>
      <c r="Y48">
        <v>0</v>
      </c>
      <c r="AK48" t="s">
        <v>88</v>
      </c>
    </row>
    <row r="49" spans="1:37" x14ac:dyDescent="0.3">
      <c r="A49" t="s">
        <v>168</v>
      </c>
      <c r="B49" t="s">
        <v>80</v>
      </c>
      <c r="C49" t="s">
        <v>1365</v>
      </c>
      <c r="E49">
        <v>12</v>
      </c>
      <c r="J49">
        <v>11409196</v>
      </c>
      <c r="K49">
        <v>0</v>
      </c>
      <c r="L49">
        <v>11409196</v>
      </c>
      <c r="M49">
        <v>11648785</v>
      </c>
      <c r="O49">
        <v>11648785</v>
      </c>
      <c r="R49" t="s">
        <v>1366</v>
      </c>
      <c r="S49" t="s">
        <v>1269</v>
      </c>
      <c r="T49" t="s">
        <v>77</v>
      </c>
      <c r="U49" t="s">
        <v>1330</v>
      </c>
      <c r="W49">
        <v>239589</v>
      </c>
      <c r="X49">
        <v>239589</v>
      </c>
      <c r="Y49">
        <v>0</v>
      </c>
      <c r="AK49" t="s">
        <v>88</v>
      </c>
    </row>
    <row r="50" spans="1:37" x14ac:dyDescent="0.3">
      <c r="A50" t="s">
        <v>168</v>
      </c>
      <c r="B50" t="s">
        <v>80</v>
      </c>
      <c r="C50" t="s">
        <v>1367</v>
      </c>
      <c r="E50">
        <v>12</v>
      </c>
      <c r="J50">
        <v>11409196</v>
      </c>
      <c r="K50">
        <v>0</v>
      </c>
      <c r="L50">
        <v>11409196</v>
      </c>
      <c r="M50">
        <v>11648785</v>
      </c>
      <c r="O50">
        <v>11648785</v>
      </c>
      <c r="R50" t="s">
        <v>1368</v>
      </c>
      <c r="S50" t="s">
        <v>1269</v>
      </c>
      <c r="T50" t="s">
        <v>77</v>
      </c>
      <c r="U50" t="s">
        <v>1330</v>
      </c>
      <c r="W50">
        <v>239589</v>
      </c>
      <c r="X50">
        <v>239589</v>
      </c>
      <c r="Y50">
        <v>0</v>
      </c>
      <c r="AK50" t="s">
        <v>88</v>
      </c>
    </row>
    <row r="51" spans="1:37" x14ac:dyDescent="0.3">
      <c r="A51" t="s">
        <v>168</v>
      </c>
      <c r="B51" t="s">
        <v>80</v>
      </c>
      <c r="C51" t="s">
        <v>1369</v>
      </c>
      <c r="E51">
        <v>12</v>
      </c>
      <c r="J51">
        <v>11409196</v>
      </c>
      <c r="K51">
        <v>0</v>
      </c>
      <c r="L51">
        <v>11409196</v>
      </c>
      <c r="M51">
        <v>11648785</v>
      </c>
      <c r="O51">
        <v>11648785</v>
      </c>
      <c r="R51" t="s">
        <v>1370</v>
      </c>
      <c r="S51" t="s">
        <v>1269</v>
      </c>
      <c r="T51" t="s">
        <v>77</v>
      </c>
      <c r="U51" t="s">
        <v>1330</v>
      </c>
      <c r="W51">
        <v>239589</v>
      </c>
      <c r="X51">
        <v>239589</v>
      </c>
      <c r="Y51">
        <v>0</v>
      </c>
      <c r="AK51" t="s">
        <v>88</v>
      </c>
    </row>
    <row r="52" spans="1:37" x14ac:dyDescent="0.3">
      <c r="A52" t="s">
        <v>168</v>
      </c>
      <c r="B52" t="s">
        <v>80</v>
      </c>
      <c r="C52" t="s">
        <v>1371</v>
      </c>
      <c r="E52">
        <v>12</v>
      </c>
      <c r="J52">
        <v>11409196</v>
      </c>
      <c r="K52">
        <v>0</v>
      </c>
      <c r="L52">
        <v>11409196</v>
      </c>
      <c r="M52">
        <v>11648785</v>
      </c>
      <c r="O52">
        <v>11648785</v>
      </c>
      <c r="R52" t="s">
        <v>1372</v>
      </c>
      <c r="S52" t="s">
        <v>1269</v>
      </c>
      <c r="T52" t="s">
        <v>77</v>
      </c>
      <c r="U52" t="s">
        <v>1330</v>
      </c>
      <c r="W52">
        <v>239589</v>
      </c>
      <c r="X52">
        <v>239589</v>
      </c>
      <c r="Y52">
        <v>0</v>
      </c>
      <c r="AK52" t="s">
        <v>88</v>
      </c>
    </row>
    <row r="53" spans="1:37" x14ac:dyDescent="0.3">
      <c r="A53" t="s">
        <v>168</v>
      </c>
      <c r="B53" t="s">
        <v>80</v>
      </c>
      <c r="C53" t="s">
        <v>1373</v>
      </c>
      <c r="E53">
        <v>12</v>
      </c>
      <c r="J53">
        <v>11409196</v>
      </c>
      <c r="K53">
        <v>0</v>
      </c>
      <c r="L53">
        <v>11409196</v>
      </c>
      <c r="M53">
        <v>11648785</v>
      </c>
      <c r="O53">
        <v>11648785</v>
      </c>
      <c r="R53" t="s">
        <v>1374</v>
      </c>
      <c r="S53" t="s">
        <v>1269</v>
      </c>
      <c r="T53" t="s">
        <v>77</v>
      </c>
      <c r="U53" t="s">
        <v>1330</v>
      </c>
      <c r="W53">
        <v>239589</v>
      </c>
      <c r="X53">
        <v>239589</v>
      </c>
      <c r="Y53">
        <v>0</v>
      </c>
      <c r="AK53" t="s">
        <v>88</v>
      </c>
    </row>
    <row r="54" spans="1:37" x14ac:dyDescent="0.3">
      <c r="A54" t="s">
        <v>168</v>
      </c>
      <c r="B54" t="s">
        <v>80</v>
      </c>
      <c r="C54" t="s">
        <v>1375</v>
      </c>
      <c r="E54">
        <v>12</v>
      </c>
      <c r="J54">
        <v>11409196</v>
      </c>
      <c r="K54">
        <v>0</v>
      </c>
      <c r="L54">
        <v>11409196</v>
      </c>
      <c r="M54">
        <v>11648785</v>
      </c>
      <c r="O54">
        <v>11648785</v>
      </c>
      <c r="R54" t="s">
        <v>1376</v>
      </c>
      <c r="S54" t="s">
        <v>1269</v>
      </c>
      <c r="T54" t="s">
        <v>77</v>
      </c>
      <c r="U54" t="s">
        <v>1330</v>
      </c>
      <c r="W54">
        <v>239589</v>
      </c>
      <c r="X54">
        <v>239589</v>
      </c>
      <c r="Y54">
        <v>0</v>
      </c>
      <c r="AK54" t="s">
        <v>88</v>
      </c>
    </row>
    <row r="55" spans="1:37" x14ac:dyDescent="0.3">
      <c r="A55" t="s">
        <v>168</v>
      </c>
      <c r="B55" t="s">
        <v>80</v>
      </c>
      <c r="C55" t="s">
        <v>1377</v>
      </c>
      <c r="E55">
        <v>12</v>
      </c>
      <c r="J55">
        <v>11409196</v>
      </c>
      <c r="K55">
        <v>0</v>
      </c>
      <c r="L55">
        <v>11409196</v>
      </c>
      <c r="M55">
        <v>11648785</v>
      </c>
      <c r="O55">
        <v>11648785</v>
      </c>
      <c r="R55" t="s">
        <v>1378</v>
      </c>
      <c r="S55" t="s">
        <v>1269</v>
      </c>
      <c r="T55" t="s">
        <v>77</v>
      </c>
      <c r="U55" t="s">
        <v>1330</v>
      </c>
      <c r="W55">
        <v>239589</v>
      </c>
      <c r="X55">
        <v>239589</v>
      </c>
      <c r="Y55">
        <v>0</v>
      </c>
      <c r="AK55" t="s">
        <v>88</v>
      </c>
    </row>
    <row r="56" spans="1:37" x14ac:dyDescent="0.3">
      <c r="A56" t="s">
        <v>168</v>
      </c>
      <c r="B56" t="s">
        <v>80</v>
      </c>
      <c r="C56" t="s">
        <v>1379</v>
      </c>
      <c r="E56">
        <v>13</v>
      </c>
      <c r="J56">
        <v>12205438</v>
      </c>
      <c r="K56">
        <v>0</v>
      </c>
      <c r="L56">
        <v>12205438</v>
      </c>
      <c r="M56">
        <v>12461748</v>
      </c>
      <c r="O56">
        <v>12461748</v>
      </c>
      <c r="R56" t="s">
        <v>1380</v>
      </c>
      <c r="S56" t="s">
        <v>1269</v>
      </c>
      <c r="T56" t="s">
        <v>77</v>
      </c>
      <c r="U56" t="s">
        <v>1330</v>
      </c>
      <c r="W56">
        <v>256310</v>
      </c>
      <c r="X56">
        <v>256310</v>
      </c>
      <c r="Y56">
        <v>0</v>
      </c>
      <c r="AK56" t="s">
        <v>88</v>
      </c>
    </row>
    <row r="57" spans="1:37" x14ac:dyDescent="0.3">
      <c r="A57" t="s">
        <v>168</v>
      </c>
      <c r="B57" t="s">
        <v>80</v>
      </c>
      <c r="C57" t="s">
        <v>1381</v>
      </c>
      <c r="E57">
        <v>13</v>
      </c>
      <c r="J57">
        <v>12205438</v>
      </c>
      <c r="K57">
        <v>0</v>
      </c>
      <c r="L57">
        <v>12205438</v>
      </c>
      <c r="M57">
        <v>12461748</v>
      </c>
      <c r="O57">
        <v>12461748</v>
      </c>
      <c r="R57" t="s">
        <v>1382</v>
      </c>
      <c r="S57" t="s">
        <v>1269</v>
      </c>
      <c r="T57" t="s">
        <v>77</v>
      </c>
      <c r="U57" t="s">
        <v>1330</v>
      </c>
      <c r="W57">
        <v>256310</v>
      </c>
      <c r="X57">
        <v>256310</v>
      </c>
      <c r="Y57">
        <v>0</v>
      </c>
      <c r="AK57" t="s">
        <v>88</v>
      </c>
    </row>
    <row r="58" spans="1:37" x14ac:dyDescent="0.3">
      <c r="A58" t="s">
        <v>168</v>
      </c>
      <c r="B58" t="s">
        <v>80</v>
      </c>
      <c r="C58" t="s">
        <v>1383</v>
      </c>
      <c r="E58">
        <v>12</v>
      </c>
      <c r="J58">
        <v>11409196</v>
      </c>
      <c r="K58">
        <v>0</v>
      </c>
      <c r="L58">
        <v>11409196</v>
      </c>
      <c r="M58">
        <v>11648785</v>
      </c>
      <c r="O58">
        <v>11648785</v>
      </c>
      <c r="R58" t="s">
        <v>1384</v>
      </c>
      <c r="S58" t="s">
        <v>1269</v>
      </c>
      <c r="T58" t="s">
        <v>77</v>
      </c>
      <c r="U58" t="s">
        <v>1330</v>
      </c>
      <c r="W58">
        <v>239589</v>
      </c>
      <c r="X58">
        <v>239589</v>
      </c>
      <c r="Y58">
        <v>0</v>
      </c>
      <c r="AK58" t="s">
        <v>88</v>
      </c>
    </row>
    <row r="59" spans="1:37" x14ac:dyDescent="0.3">
      <c r="A59" t="s">
        <v>168</v>
      </c>
      <c r="B59" t="s">
        <v>80</v>
      </c>
      <c r="C59" t="s">
        <v>1385</v>
      </c>
      <c r="E59">
        <v>12</v>
      </c>
      <c r="J59">
        <v>11409196</v>
      </c>
      <c r="K59">
        <v>0</v>
      </c>
      <c r="L59">
        <v>11409196</v>
      </c>
      <c r="M59">
        <v>11648785</v>
      </c>
      <c r="O59">
        <v>11648785</v>
      </c>
      <c r="R59" t="s">
        <v>1386</v>
      </c>
      <c r="S59" t="s">
        <v>1269</v>
      </c>
      <c r="T59" t="s">
        <v>77</v>
      </c>
      <c r="U59" t="s">
        <v>1330</v>
      </c>
      <c r="W59">
        <v>239589</v>
      </c>
      <c r="X59">
        <v>239589</v>
      </c>
      <c r="Y59">
        <v>0</v>
      </c>
      <c r="AK59" t="s">
        <v>88</v>
      </c>
    </row>
    <row r="60" spans="1:37" x14ac:dyDescent="0.3">
      <c r="A60" t="s">
        <v>168</v>
      </c>
      <c r="B60" t="s">
        <v>80</v>
      </c>
      <c r="C60" t="s">
        <v>1387</v>
      </c>
      <c r="E60">
        <v>12</v>
      </c>
      <c r="J60">
        <v>11409196</v>
      </c>
      <c r="K60">
        <v>0</v>
      </c>
      <c r="L60">
        <v>11409196</v>
      </c>
      <c r="M60">
        <v>11648785</v>
      </c>
      <c r="O60">
        <v>11648785</v>
      </c>
      <c r="R60" t="s">
        <v>1388</v>
      </c>
      <c r="S60" t="s">
        <v>1269</v>
      </c>
      <c r="T60" t="s">
        <v>77</v>
      </c>
      <c r="U60" t="s">
        <v>1330</v>
      </c>
      <c r="W60">
        <v>239589</v>
      </c>
      <c r="X60">
        <v>239589</v>
      </c>
      <c r="Y60">
        <v>0</v>
      </c>
      <c r="AK60" t="s">
        <v>88</v>
      </c>
    </row>
    <row r="61" spans="1:37" x14ac:dyDescent="0.3">
      <c r="A61" t="s">
        <v>168</v>
      </c>
      <c r="B61" t="s">
        <v>80</v>
      </c>
      <c r="C61" t="s">
        <v>1389</v>
      </c>
      <c r="E61">
        <v>8</v>
      </c>
      <c r="J61">
        <v>4215210</v>
      </c>
      <c r="K61">
        <v>0</v>
      </c>
      <c r="L61">
        <v>4215210</v>
      </c>
      <c r="M61">
        <v>4303728</v>
      </c>
      <c r="O61">
        <v>4303728</v>
      </c>
      <c r="R61" t="s">
        <v>1390</v>
      </c>
      <c r="S61" t="s">
        <v>1269</v>
      </c>
      <c r="T61" t="s">
        <v>77</v>
      </c>
      <c r="U61" t="s">
        <v>1330</v>
      </c>
      <c r="W61">
        <v>88518</v>
      </c>
      <c r="X61">
        <v>88518</v>
      </c>
      <c r="Y61">
        <v>0</v>
      </c>
      <c r="AK61" t="s">
        <v>88</v>
      </c>
    </row>
    <row r="62" spans="1:37" x14ac:dyDescent="0.3">
      <c r="A62" t="s">
        <v>168</v>
      </c>
      <c r="B62" t="s">
        <v>80</v>
      </c>
      <c r="C62" t="s">
        <v>1391</v>
      </c>
      <c r="E62">
        <v>8</v>
      </c>
      <c r="J62">
        <v>4215210</v>
      </c>
      <c r="K62">
        <v>0</v>
      </c>
      <c r="L62">
        <v>4215210</v>
      </c>
      <c r="M62">
        <v>4303728</v>
      </c>
      <c r="O62">
        <v>4303728</v>
      </c>
      <c r="R62" t="s">
        <v>1392</v>
      </c>
      <c r="S62" t="s">
        <v>1269</v>
      </c>
      <c r="T62" t="s">
        <v>77</v>
      </c>
      <c r="U62" t="s">
        <v>1330</v>
      </c>
      <c r="W62">
        <v>88518</v>
      </c>
      <c r="X62">
        <v>88518</v>
      </c>
      <c r="Y62">
        <v>0</v>
      </c>
      <c r="AK62" t="s">
        <v>88</v>
      </c>
    </row>
    <row r="63" spans="1:37" x14ac:dyDescent="0.3">
      <c r="A63" t="s">
        <v>168</v>
      </c>
      <c r="B63" t="s">
        <v>80</v>
      </c>
      <c r="C63" t="s">
        <v>1393</v>
      </c>
      <c r="E63">
        <v>8</v>
      </c>
      <c r="J63">
        <v>4215210</v>
      </c>
      <c r="K63">
        <v>0</v>
      </c>
      <c r="L63">
        <v>4215210</v>
      </c>
      <c r="M63">
        <v>4303728</v>
      </c>
      <c r="O63">
        <v>4303728</v>
      </c>
      <c r="R63" t="s">
        <v>1394</v>
      </c>
      <c r="S63" t="s">
        <v>1269</v>
      </c>
      <c r="T63" t="s">
        <v>77</v>
      </c>
      <c r="U63" t="s">
        <v>1330</v>
      </c>
      <c r="W63">
        <v>88518</v>
      </c>
      <c r="X63">
        <v>88518</v>
      </c>
      <c r="Y63">
        <v>0</v>
      </c>
      <c r="AK63" t="s">
        <v>88</v>
      </c>
    </row>
    <row r="64" spans="1:37" x14ac:dyDescent="0.3">
      <c r="A64" t="s">
        <v>168</v>
      </c>
      <c r="B64" t="s">
        <v>80</v>
      </c>
      <c r="C64" t="s">
        <v>1395</v>
      </c>
      <c r="E64">
        <v>14</v>
      </c>
      <c r="J64">
        <v>10508690</v>
      </c>
      <c r="K64">
        <v>0</v>
      </c>
      <c r="L64">
        <v>10508690</v>
      </c>
      <c r="M64">
        <v>10729369</v>
      </c>
      <c r="O64">
        <v>10729369</v>
      </c>
      <c r="R64" t="s">
        <v>1396</v>
      </c>
      <c r="S64" t="s">
        <v>1269</v>
      </c>
      <c r="T64" t="s">
        <v>77</v>
      </c>
      <c r="U64" t="s">
        <v>1330</v>
      </c>
      <c r="W64">
        <v>220679</v>
      </c>
      <c r="X64">
        <v>220679</v>
      </c>
      <c r="Y64">
        <v>0</v>
      </c>
      <c r="AK64" t="s">
        <v>88</v>
      </c>
    </row>
    <row r="65" spans="1:37" x14ac:dyDescent="0.3">
      <c r="A65" t="s">
        <v>168</v>
      </c>
      <c r="B65" t="s">
        <v>80</v>
      </c>
      <c r="C65" t="s">
        <v>1397</v>
      </c>
      <c r="E65">
        <v>13</v>
      </c>
      <c r="J65">
        <v>9741089</v>
      </c>
      <c r="K65">
        <v>0</v>
      </c>
      <c r="L65">
        <v>9741089</v>
      </c>
      <c r="M65">
        <v>9945648</v>
      </c>
      <c r="O65">
        <v>9945648</v>
      </c>
      <c r="R65" t="s">
        <v>1398</v>
      </c>
      <c r="S65" t="s">
        <v>1269</v>
      </c>
      <c r="T65" t="s">
        <v>77</v>
      </c>
      <c r="U65" t="s">
        <v>1330</v>
      </c>
      <c r="W65">
        <v>204559</v>
      </c>
      <c r="X65">
        <v>204559</v>
      </c>
      <c r="Y65">
        <v>0</v>
      </c>
      <c r="AK65" t="s">
        <v>88</v>
      </c>
    </row>
    <row r="66" spans="1:37" x14ac:dyDescent="0.3">
      <c r="A66" t="s">
        <v>168</v>
      </c>
      <c r="B66" t="s">
        <v>80</v>
      </c>
      <c r="C66" t="s">
        <v>1399</v>
      </c>
      <c r="E66">
        <v>14</v>
      </c>
      <c r="J66">
        <v>10508690</v>
      </c>
      <c r="K66">
        <v>0</v>
      </c>
      <c r="L66">
        <v>10508690</v>
      </c>
      <c r="M66">
        <v>10729369</v>
      </c>
      <c r="O66">
        <v>10729369</v>
      </c>
      <c r="R66" t="s">
        <v>1400</v>
      </c>
      <c r="S66" t="s">
        <v>1269</v>
      </c>
      <c r="T66" t="s">
        <v>77</v>
      </c>
      <c r="U66" t="s">
        <v>1330</v>
      </c>
      <c r="W66">
        <v>220679</v>
      </c>
      <c r="X66">
        <v>220679</v>
      </c>
      <c r="Y66">
        <v>0</v>
      </c>
      <c r="AK66" t="s">
        <v>88</v>
      </c>
    </row>
    <row r="67" spans="1:37" x14ac:dyDescent="0.3">
      <c r="A67" t="s">
        <v>168</v>
      </c>
      <c r="B67" t="s">
        <v>80</v>
      </c>
      <c r="C67" t="s">
        <v>1401</v>
      </c>
      <c r="E67">
        <v>14</v>
      </c>
      <c r="J67">
        <v>10508690</v>
      </c>
      <c r="K67">
        <v>0</v>
      </c>
      <c r="L67">
        <v>10508690</v>
      </c>
      <c r="M67">
        <v>10729369</v>
      </c>
      <c r="O67">
        <v>10729369</v>
      </c>
      <c r="R67" t="s">
        <v>1402</v>
      </c>
      <c r="S67" t="s">
        <v>1269</v>
      </c>
      <c r="T67" t="s">
        <v>77</v>
      </c>
      <c r="U67" t="s">
        <v>1330</v>
      </c>
      <c r="W67">
        <v>220679</v>
      </c>
      <c r="X67">
        <v>220679</v>
      </c>
      <c r="Y67">
        <v>0</v>
      </c>
      <c r="AK67" t="s">
        <v>88</v>
      </c>
    </row>
    <row r="68" spans="1:37" x14ac:dyDescent="0.3">
      <c r="A68" t="s">
        <v>168</v>
      </c>
      <c r="B68" t="s">
        <v>80</v>
      </c>
      <c r="C68" t="s">
        <v>1403</v>
      </c>
      <c r="E68">
        <v>13</v>
      </c>
      <c r="J68">
        <v>9741089</v>
      </c>
      <c r="K68">
        <v>0</v>
      </c>
      <c r="L68">
        <v>9741089</v>
      </c>
      <c r="M68">
        <v>9945648</v>
      </c>
      <c r="O68">
        <v>9945648</v>
      </c>
      <c r="R68" t="s">
        <v>1404</v>
      </c>
      <c r="S68" t="s">
        <v>1269</v>
      </c>
      <c r="T68" t="s">
        <v>77</v>
      </c>
      <c r="U68" t="s">
        <v>1330</v>
      </c>
      <c r="W68">
        <v>204559</v>
      </c>
      <c r="X68">
        <v>204559</v>
      </c>
      <c r="Y68">
        <v>0</v>
      </c>
      <c r="AK68" t="s">
        <v>88</v>
      </c>
    </row>
    <row r="69" spans="1:37" x14ac:dyDescent="0.3">
      <c r="A69" t="s">
        <v>793</v>
      </c>
      <c r="B69" t="s">
        <v>1199</v>
      </c>
      <c r="C69" t="s">
        <v>1200</v>
      </c>
      <c r="E69">
        <v>52</v>
      </c>
      <c r="J69">
        <v>8007060</v>
      </c>
      <c r="K69">
        <v>8007060</v>
      </c>
      <c r="L69">
        <v>0</v>
      </c>
      <c r="M69">
        <v>8175206</v>
      </c>
      <c r="O69">
        <v>8175206</v>
      </c>
      <c r="R69" t="s">
        <v>1405</v>
      </c>
      <c r="S69" t="s">
        <v>1406</v>
      </c>
      <c r="T69" t="s">
        <v>492</v>
      </c>
      <c r="U69" t="s">
        <v>1270</v>
      </c>
      <c r="W69">
        <v>168146</v>
      </c>
      <c r="X69">
        <v>8175206</v>
      </c>
      <c r="Y69">
        <v>-8007060</v>
      </c>
      <c r="AK69" t="s">
        <v>88</v>
      </c>
    </row>
    <row r="70" spans="1:37" x14ac:dyDescent="0.3">
      <c r="A70" t="s">
        <v>793</v>
      </c>
      <c r="B70" t="s">
        <v>1199</v>
      </c>
      <c r="C70" t="s">
        <v>1201</v>
      </c>
      <c r="E70">
        <v>42</v>
      </c>
      <c r="J70">
        <v>6379091</v>
      </c>
      <c r="K70">
        <v>6379091</v>
      </c>
      <c r="L70">
        <v>0</v>
      </c>
      <c r="M70">
        <v>6513050</v>
      </c>
      <c r="O70">
        <v>6513050</v>
      </c>
      <c r="R70" t="s">
        <v>1407</v>
      </c>
      <c r="S70" t="s">
        <v>1406</v>
      </c>
      <c r="T70" t="s">
        <v>492</v>
      </c>
      <c r="U70" t="s">
        <v>1270</v>
      </c>
      <c r="W70">
        <v>133959</v>
      </c>
      <c r="X70">
        <v>6513050</v>
      </c>
      <c r="Y70">
        <v>-6379091</v>
      </c>
      <c r="AK70" t="s">
        <v>88</v>
      </c>
    </row>
    <row r="71" spans="1:37" x14ac:dyDescent="0.3">
      <c r="A71" t="s">
        <v>793</v>
      </c>
      <c r="B71" t="s">
        <v>508</v>
      </c>
      <c r="C71" t="s">
        <v>1202</v>
      </c>
      <c r="E71">
        <v>46</v>
      </c>
      <c r="J71">
        <v>9897328</v>
      </c>
      <c r="K71">
        <v>9897328</v>
      </c>
      <c r="L71">
        <v>0</v>
      </c>
      <c r="M71">
        <v>10105169</v>
      </c>
      <c r="O71">
        <v>10105169</v>
      </c>
      <c r="R71" t="s">
        <v>1408</v>
      </c>
      <c r="S71" t="s">
        <v>1406</v>
      </c>
      <c r="T71" t="s">
        <v>492</v>
      </c>
      <c r="U71" t="s">
        <v>1270</v>
      </c>
      <c r="W71">
        <v>207841</v>
      </c>
      <c r="X71">
        <v>10105169</v>
      </c>
      <c r="Y71">
        <v>-9897328</v>
      </c>
      <c r="AK71" t="s">
        <v>88</v>
      </c>
    </row>
    <row r="72" spans="1:37" x14ac:dyDescent="0.3">
      <c r="A72" t="s">
        <v>793</v>
      </c>
      <c r="B72" t="s">
        <v>508</v>
      </c>
      <c r="C72" t="s">
        <v>1203</v>
      </c>
      <c r="E72">
        <v>46</v>
      </c>
      <c r="J72">
        <v>9897329</v>
      </c>
      <c r="K72">
        <v>9897329</v>
      </c>
      <c r="L72">
        <v>0</v>
      </c>
      <c r="M72">
        <v>10105170</v>
      </c>
      <c r="O72">
        <v>10105170</v>
      </c>
      <c r="R72" t="s">
        <v>1409</v>
      </c>
      <c r="S72" t="s">
        <v>1406</v>
      </c>
      <c r="T72" t="s">
        <v>492</v>
      </c>
      <c r="U72" t="s">
        <v>1270</v>
      </c>
      <c r="W72">
        <v>207841</v>
      </c>
      <c r="X72">
        <v>10105170</v>
      </c>
      <c r="Y72">
        <v>-9897329</v>
      </c>
      <c r="AK72" t="s">
        <v>88</v>
      </c>
    </row>
    <row r="73" spans="1:37" x14ac:dyDescent="0.3">
      <c r="A73" t="s">
        <v>89</v>
      </c>
      <c r="B73" t="s">
        <v>80</v>
      </c>
      <c r="C73" t="s">
        <v>1410</v>
      </c>
      <c r="E73">
        <v>200</v>
      </c>
      <c r="J73">
        <v>14870182</v>
      </c>
      <c r="K73">
        <v>0</v>
      </c>
      <c r="L73">
        <v>14870182</v>
      </c>
      <c r="M73">
        <v>15182451</v>
      </c>
      <c r="O73">
        <v>15182451</v>
      </c>
      <c r="R73" t="s">
        <v>141</v>
      </c>
      <c r="S73" t="s">
        <v>1269</v>
      </c>
      <c r="T73" t="s">
        <v>77</v>
      </c>
      <c r="U73" t="s">
        <v>144</v>
      </c>
      <c r="W73">
        <v>312269</v>
      </c>
      <c r="X73">
        <v>312269</v>
      </c>
      <c r="Y73">
        <v>0</v>
      </c>
      <c r="AK73" t="s">
        <v>88</v>
      </c>
    </row>
    <row r="74" spans="1:37" x14ac:dyDescent="0.3">
      <c r="A74" t="s">
        <v>89</v>
      </c>
      <c r="B74" t="s">
        <v>80</v>
      </c>
      <c r="C74" t="s">
        <v>1411</v>
      </c>
      <c r="E74">
        <v>0</v>
      </c>
      <c r="J74">
        <v>285725348</v>
      </c>
      <c r="K74">
        <v>285725348</v>
      </c>
      <c r="L74">
        <v>0</v>
      </c>
      <c r="M74">
        <v>0</v>
      </c>
      <c r="O74">
        <v>0</v>
      </c>
      <c r="R74" t="s">
        <v>678</v>
      </c>
      <c r="S74" t="s">
        <v>1269</v>
      </c>
      <c r="T74" t="s">
        <v>77</v>
      </c>
      <c r="U74" t="s">
        <v>151</v>
      </c>
      <c r="W74">
        <v>-285725348</v>
      </c>
      <c r="X74">
        <v>0</v>
      </c>
      <c r="Y74">
        <v>-285725348</v>
      </c>
      <c r="AK74" t="s">
        <v>88</v>
      </c>
    </row>
    <row r="75" spans="1:37" x14ac:dyDescent="0.3">
      <c r="A75" t="s">
        <v>493</v>
      </c>
      <c r="B75" t="s">
        <v>383</v>
      </c>
      <c r="C75" t="s">
        <v>1412</v>
      </c>
      <c r="E75">
        <v>87</v>
      </c>
      <c r="J75">
        <v>138030675</v>
      </c>
      <c r="K75">
        <v>0</v>
      </c>
      <c r="L75">
        <v>138030675</v>
      </c>
      <c r="M75">
        <v>140929275</v>
      </c>
      <c r="O75">
        <v>140929275</v>
      </c>
      <c r="P75" t="s">
        <v>1413</v>
      </c>
      <c r="Q75" t="s">
        <v>1413</v>
      </c>
      <c r="R75" t="s">
        <v>1413</v>
      </c>
      <c r="S75" t="s">
        <v>1269</v>
      </c>
      <c r="T75" t="s">
        <v>77</v>
      </c>
      <c r="U75" t="s">
        <v>85</v>
      </c>
      <c r="W75">
        <v>2898600</v>
      </c>
      <c r="X75">
        <v>2898600</v>
      </c>
      <c r="Y75">
        <v>0</v>
      </c>
      <c r="AK75" t="s">
        <v>88</v>
      </c>
    </row>
    <row r="76" spans="1:37" x14ac:dyDescent="0.3">
      <c r="A76" t="s">
        <v>493</v>
      </c>
      <c r="B76" t="s">
        <v>383</v>
      </c>
      <c r="C76" t="s">
        <v>1414</v>
      </c>
      <c r="E76">
        <v>65</v>
      </c>
      <c r="J76">
        <v>103129062</v>
      </c>
      <c r="K76">
        <v>0</v>
      </c>
      <c r="L76">
        <v>103129062</v>
      </c>
      <c r="M76">
        <v>105294740</v>
      </c>
      <c r="O76">
        <v>105294740</v>
      </c>
      <c r="P76" t="s">
        <v>1415</v>
      </c>
      <c r="Q76" t="s">
        <v>1415</v>
      </c>
      <c r="R76" t="s">
        <v>1415</v>
      </c>
      <c r="S76" t="s">
        <v>1269</v>
      </c>
      <c r="T76" t="s">
        <v>77</v>
      </c>
      <c r="U76" t="s">
        <v>85</v>
      </c>
      <c r="W76">
        <v>2165678</v>
      </c>
      <c r="X76">
        <v>2165678</v>
      </c>
      <c r="Y76">
        <v>0</v>
      </c>
      <c r="AK76" t="s">
        <v>88</v>
      </c>
    </row>
    <row r="77" spans="1:37" x14ac:dyDescent="0.3">
      <c r="A77" t="s">
        <v>493</v>
      </c>
      <c r="B77" t="s">
        <v>383</v>
      </c>
      <c r="C77" t="s">
        <v>1416</v>
      </c>
      <c r="E77">
        <v>13</v>
      </c>
      <c r="J77">
        <v>5040198</v>
      </c>
      <c r="K77">
        <v>0</v>
      </c>
      <c r="L77">
        <v>5040198</v>
      </c>
      <c r="M77">
        <v>5146040</v>
      </c>
      <c r="O77">
        <v>5146040</v>
      </c>
      <c r="P77" t="s">
        <v>1417</v>
      </c>
      <c r="Q77" t="s">
        <v>1417</v>
      </c>
      <c r="R77" t="s">
        <v>1417</v>
      </c>
      <c r="S77" t="s">
        <v>1269</v>
      </c>
      <c r="T77" t="s">
        <v>77</v>
      </c>
      <c r="U77" t="s">
        <v>1330</v>
      </c>
      <c r="W77">
        <v>105842</v>
      </c>
      <c r="X77">
        <v>105842</v>
      </c>
      <c r="Y77">
        <v>0</v>
      </c>
      <c r="AK77" t="s">
        <v>88</v>
      </c>
    </row>
    <row r="78" spans="1:37" x14ac:dyDescent="0.3">
      <c r="A78" t="s">
        <v>493</v>
      </c>
      <c r="B78" t="s">
        <v>383</v>
      </c>
      <c r="C78" t="s">
        <v>1418</v>
      </c>
      <c r="E78">
        <v>13</v>
      </c>
      <c r="J78">
        <v>5040198</v>
      </c>
      <c r="K78">
        <v>0</v>
      </c>
      <c r="L78">
        <v>5040198</v>
      </c>
      <c r="M78">
        <v>5146040</v>
      </c>
      <c r="O78">
        <v>5146040</v>
      </c>
      <c r="P78" t="s">
        <v>1419</v>
      </c>
      <c r="Q78" t="s">
        <v>1419</v>
      </c>
      <c r="R78" t="s">
        <v>1419</v>
      </c>
      <c r="S78" t="s">
        <v>1269</v>
      </c>
      <c r="T78" t="s">
        <v>77</v>
      </c>
      <c r="U78" t="s">
        <v>1330</v>
      </c>
      <c r="W78">
        <v>105842</v>
      </c>
      <c r="X78">
        <v>105842</v>
      </c>
      <c r="Y78">
        <v>0</v>
      </c>
      <c r="AK78" t="s">
        <v>88</v>
      </c>
    </row>
    <row r="79" spans="1:37" x14ac:dyDescent="0.3">
      <c r="A79" t="s">
        <v>493</v>
      </c>
      <c r="B79" t="s">
        <v>383</v>
      </c>
      <c r="C79" t="s">
        <v>1420</v>
      </c>
      <c r="E79">
        <v>28</v>
      </c>
      <c r="J79">
        <v>10945202</v>
      </c>
      <c r="K79">
        <v>0</v>
      </c>
      <c r="L79">
        <v>10945202</v>
      </c>
      <c r="M79">
        <v>11175048</v>
      </c>
      <c r="O79">
        <v>11175048</v>
      </c>
      <c r="P79" t="s">
        <v>1421</v>
      </c>
      <c r="Q79" t="s">
        <v>1421</v>
      </c>
      <c r="R79" t="s">
        <v>1421</v>
      </c>
      <c r="S79" t="s">
        <v>1269</v>
      </c>
      <c r="T79" t="s">
        <v>77</v>
      </c>
      <c r="U79" t="s">
        <v>1330</v>
      </c>
      <c r="W79">
        <v>229846</v>
      </c>
      <c r="X79">
        <v>229846</v>
      </c>
      <c r="Y79">
        <v>0</v>
      </c>
      <c r="AK79" t="s">
        <v>88</v>
      </c>
    </row>
    <row r="80" spans="1:37" x14ac:dyDescent="0.3">
      <c r="A80" t="s">
        <v>493</v>
      </c>
      <c r="B80" t="s">
        <v>383</v>
      </c>
      <c r="C80" t="s">
        <v>1422</v>
      </c>
      <c r="E80">
        <v>5</v>
      </c>
      <c r="J80">
        <v>1996763</v>
      </c>
      <c r="K80">
        <v>0</v>
      </c>
      <c r="L80">
        <v>1996763</v>
      </c>
      <c r="M80">
        <v>2038695</v>
      </c>
      <c r="O80">
        <v>2038695</v>
      </c>
      <c r="P80" t="s">
        <v>1423</v>
      </c>
      <c r="Q80" t="s">
        <v>1423</v>
      </c>
      <c r="R80" t="s">
        <v>1423</v>
      </c>
      <c r="S80" t="s">
        <v>1269</v>
      </c>
      <c r="T80" t="s">
        <v>77</v>
      </c>
      <c r="U80" t="s">
        <v>1291</v>
      </c>
      <c r="W80">
        <v>41932</v>
      </c>
      <c r="X80">
        <v>41932</v>
      </c>
      <c r="Y80">
        <v>0</v>
      </c>
      <c r="AK80" t="s">
        <v>88</v>
      </c>
    </row>
    <row r="81" spans="1:38" x14ac:dyDescent="0.3">
      <c r="A81" t="s">
        <v>493</v>
      </c>
      <c r="B81" t="s">
        <v>383</v>
      </c>
      <c r="C81" t="s">
        <v>1424</v>
      </c>
      <c r="E81">
        <v>5</v>
      </c>
      <c r="J81">
        <v>1996763</v>
      </c>
      <c r="K81">
        <v>0</v>
      </c>
      <c r="L81">
        <v>1996763</v>
      </c>
      <c r="M81">
        <v>2038695</v>
      </c>
      <c r="O81">
        <v>2038695</v>
      </c>
      <c r="P81" t="s">
        <v>1425</v>
      </c>
      <c r="Q81" t="s">
        <v>1425</v>
      </c>
      <c r="R81" t="s">
        <v>1425</v>
      </c>
      <c r="S81" t="s">
        <v>1269</v>
      </c>
      <c r="T81" t="s">
        <v>77</v>
      </c>
      <c r="U81" t="s">
        <v>1291</v>
      </c>
      <c r="W81">
        <v>41932</v>
      </c>
      <c r="X81">
        <v>41932</v>
      </c>
      <c r="Y81">
        <v>0</v>
      </c>
      <c r="AK81" t="s">
        <v>88</v>
      </c>
    </row>
    <row r="82" spans="1:38" x14ac:dyDescent="0.3">
      <c r="A82" t="s">
        <v>493</v>
      </c>
      <c r="B82" t="s">
        <v>80</v>
      </c>
      <c r="C82" t="s">
        <v>1426</v>
      </c>
      <c r="E82">
        <v>13049</v>
      </c>
      <c r="J82">
        <v>12533134809</v>
      </c>
      <c r="K82">
        <v>0</v>
      </c>
      <c r="L82">
        <v>12533134809</v>
      </c>
      <c r="M82">
        <v>14467324736</v>
      </c>
      <c r="O82">
        <v>14467324736</v>
      </c>
      <c r="R82" t="s">
        <v>863</v>
      </c>
      <c r="S82" t="s">
        <v>1269</v>
      </c>
      <c r="T82" t="s">
        <v>77</v>
      </c>
      <c r="U82" t="s">
        <v>151</v>
      </c>
      <c r="W82">
        <v>1934189927</v>
      </c>
      <c r="X82">
        <v>1934189927</v>
      </c>
      <c r="Y82">
        <v>0</v>
      </c>
      <c r="AK82" t="s">
        <v>88</v>
      </c>
    </row>
    <row r="83" spans="1:38" x14ac:dyDescent="0.3">
      <c r="A83" t="s">
        <v>1192</v>
      </c>
      <c r="B83" t="s">
        <v>80</v>
      </c>
      <c r="C83" t="s">
        <v>1427</v>
      </c>
      <c r="E83">
        <v>10312</v>
      </c>
      <c r="F83" t="s">
        <v>1194</v>
      </c>
      <c r="J83">
        <v>3684295687</v>
      </c>
      <c r="K83">
        <v>0</v>
      </c>
      <c r="L83">
        <v>3684295687</v>
      </c>
      <c r="M83">
        <v>3761664718</v>
      </c>
      <c r="O83">
        <v>3761664718</v>
      </c>
      <c r="R83" t="s">
        <v>1195</v>
      </c>
      <c r="S83" t="s">
        <v>1269</v>
      </c>
      <c r="T83" t="s">
        <v>77</v>
      </c>
      <c r="U83" t="s">
        <v>1428</v>
      </c>
      <c r="W83">
        <v>77369031</v>
      </c>
      <c r="X83">
        <v>77369031</v>
      </c>
      <c r="Y83">
        <v>0</v>
      </c>
      <c r="AE83">
        <v>12.35</v>
      </c>
      <c r="AF83">
        <v>106854</v>
      </c>
      <c r="AH83">
        <v>45610</v>
      </c>
      <c r="AI83" t="s">
        <v>108</v>
      </c>
      <c r="AK83" t="s">
        <v>108</v>
      </c>
      <c r="AL83" t="s">
        <v>1196</v>
      </c>
    </row>
    <row r="84" spans="1:38" x14ac:dyDescent="0.3">
      <c r="A84" t="s">
        <v>496</v>
      </c>
      <c r="B84" t="s">
        <v>383</v>
      </c>
      <c r="C84" t="s">
        <v>1429</v>
      </c>
      <c r="E84">
        <v>16</v>
      </c>
      <c r="J84">
        <v>15522605</v>
      </c>
      <c r="K84">
        <v>0</v>
      </c>
      <c r="L84">
        <v>15522605</v>
      </c>
      <c r="M84">
        <v>15848575</v>
      </c>
      <c r="O84">
        <v>15848575</v>
      </c>
      <c r="R84" t="s">
        <v>1430</v>
      </c>
      <c r="S84" t="s">
        <v>1269</v>
      </c>
      <c r="T84" t="s">
        <v>77</v>
      </c>
      <c r="U84" t="s">
        <v>1330</v>
      </c>
      <c r="W84">
        <v>325970</v>
      </c>
      <c r="X84">
        <v>325970</v>
      </c>
      <c r="Y84">
        <v>0</v>
      </c>
      <c r="AK84" t="s">
        <v>88</v>
      </c>
    </row>
    <row r="85" spans="1:38" x14ac:dyDescent="0.3">
      <c r="A85" t="s">
        <v>496</v>
      </c>
      <c r="B85" t="s">
        <v>383</v>
      </c>
      <c r="C85" t="s">
        <v>1431</v>
      </c>
      <c r="E85">
        <v>16</v>
      </c>
      <c r="J85">
        <v>15522605</v>
      </c>
      <c r="K85">
        <v>0</v>
      </c>
      <c r="L85">
        <v>15522605</v>
      </c>
      <c r="M85">
        <v>15848575</v>
      </c>
      <c r="O85">
        <v>15848575</v>
      </c>
      <c r="R85" t="s">
        <v>1432</v>
      </c>
      <c r="S85" t="s">
        <v>1269</v>
      </c>
      <c r="T85" t="s">
        <v>77</v>
      </c>
      <c r="U85" t="s">
        <v>1330</v>
      </c>
      <c r="W85">
        <v>325970</v>
      </c>
      <c r="X85">
        <v>325970</v>
      </c>
      <c r="Y85">
        <v>0</v>
      </c>
      <c r="AK85" t="s">
        <v>88</v>
      </c>
    </row>
    <row r="86" spans="1:38" x14ac:dyDescent="0.3">
      <c r="A86" t="s">
        <v>496</v>
      </c>
      <c r="B86" t="s">
        <v>383</v>
      </c>
      <c r="C86" t="s">
        <v>1433</v>
      </c>
      <c r="E86">
        <v>16</v>
      </c>
      <c r="J86">
        <v>15522605</v>
      </c>
      <c r="K86">
        <v>0</v>
      </c>
      <c r="L86">
        <v>15522605</v>
      </c>
      <c r="M86">
        <v>15848575</v>
      </c>
      <c r="O86">
        <v>15848575</v>
      </c>
      <c r="R86" t="s">
        <v>1434</v>
      </c>
      <c r="S86" t="s">
        <v>1269</v>
      </c>
      <c r="T86" t="s">
        <v>77</v>
      </c>
      <c r="U86" t="s">
        <v>1330</v>
      </c>
      <c r="W86">
        <v>325970</v>
      </c>
      <c r="X86">
        <v>325970</v>
      </c>
      <c r="Y86">
        <v>0</v>
      </c>
      <c r="AK86" t="s">
        <v>88</v>
      </c>
    </row>
    <row r="87" spans="1:38" x14ac:dyDescent="0.3">
      <c r="A87" t="s">
        <v>1435</v>
      </c>
      <c r="B87" t="s">
        <v>80</v>
      </c>
      <c r="C87" t="s">
        <v>1436</v>
      </c>
      <c r="E87">
        <v>106</v>
      </c>
      <c r="J87">
        <v>128370582</v>
      </c>
      <c r="K87">
        <v>56846995</v>
      </c>
      <c r="L87">
        <v>71523587</v>
      </c>
      <c r="M87">
        <v>131066323</v>
      </c>
      <c r="N87">
        <v>58040782</v>
      </c>
      <c r="O87">
        <v>73025541</v>
      </c>
      <c r="R87" t="s">
        <v>1437</v>
      </c>
      <c r="S87" t="s">
        <v>1269</v>
      </c>
      <c r="T87" t="s">
        <v>77</v>
      </c>
      <c r="U87" t="s">
        <v>1270</v>
      </c>
      <c r="W87">
        <v>2695741</v>
      </c>
      <c r="X87">
        <v>1501954</v>
      </c>
      <c r="Y87">
        <v>1193787</v>
      </c>
      <c r="AK87" t="s">
        <v>88</v>
      </c>
    </row>
    <row r="88" spans="1:38" x14ac:dyDescent="0.3">
      <c r="A88" t="s">
        <v>1435</v>
      </c>
      <c r="B88" t="s">
        <v>80</v>
      </c>
      <c r="C88" t="s">
        <v>1438</v>
      </c>
      <c r="E88">
        <v>69</v>
      </c>
      <c r="J88">
        <v>83524444</v>
      </c>
      <c r="K88">
        <v>56846995</v>
      </c>
      <c r="L88">
        <v>26677449</v>
      </c>
      <c r="M88">
        <v>85278431</v>
      </c>
      <c r="N88">
        <v>58040782</v>
      </c>
      <c r="O88">
        <v>27237649</v>
      </c>
      <c r="R88" t="s">
        <v>1439</v>
      </c>
      <c r="S88" t="s">
        <v>1269</v>
      </c>
      <c r="T88" t="s">
        <v>77</v>
      </c>
      <c r="U88" t="s">
        <v>1270</v>
      </c>
      <c r="W88">
        <v>1753987</v>
      </c>
      <c r="X88">
        <v>560200</v>
      </c>
      <c r="Y88">
        <v>1193787</v>
      </c>
      <c r="AK88" t="s">
        <v>88</v>
      </c>
    </row>
    <row r="89" spans="1:38" x14ac:dyDescent="0.3">
      <c r="A89" t="s">
        <v>1435</v>
      </c>
      <c r="B89" t="s">
        <v>80</v>
      </c>
      <c r="C89" t="s">
        <v>1440</v>
      </c>
      <c r="E89">
        <v>106</v>
      </c>
      <c r="J89">
        <v>128370582</v>
      </c>
      <c r="K89">
        <v>56846995</v>
      </c>
      <c r="L89">
        <v>71523587</v>
      </c>
      <c r="M89">
        <v>131066323</v>
      </c>
      <c r="N89">
        <v>58040782</v>
      </c>
      <c r="O89">
        <v>73025541</v>
      </c>
      <c r="R89" t="s">
        <v>1441</v>
      </c>
      <c r="S89" t="s">
        <v>1269</v>
      </c>
      <c r="T89" t="s">
        <v>77</v>
      </c>
      <c r="U89" t="s">
        <v>1270</v>
      </c>
      <c r="W89">
        <v>2695741</v>
      </c>
      <c r="X89">
        <v>1501954</v>
      </c>
      <c r="Y89">
        <v>1193787</v>
      </c>
      <c r="AK89" t="s">
        <v>88</v>
      </c>
    </row>
    <row r="90" spans="1:38" x14ac:dyDescent="0.3">
      <c r="A90" t="s">
        <v>1435</v>
      </c>
      <c r="B90" t="s">
        <v>80</v>
      </c>
      <c r="C90" t="s">
        <v>1442</v>
      </c>
      <c r="E90">
        <v>3</v>
      </c>
      <c r="J90">
        <v>1548098</v>
      </c>
      <c r="K90">
        <v>0</v>
      </c>
      <c r="L90">
        <v>1548098</v>
      </c>
      <c r="M90">
        <v>1580608</v>
      </c>
      <c r="O90">
        <v>1580608</v>
      </c>
      <c r="R90" t="s">
        <v>1443</v>
      </c>
      <c r="S90" t="s">
        <v>1269</v>
      </c>
      <c r="T90" t="s">
        <v>77</v>
      </c>
      <c r="U90" t="s">
        <v>1291</v>
      </c>
      <c r="W90">
        <v>32510</v>
      </c>
      <c r="X90">
        <v>32510</v>
      </c>
      <c r="Y90">
        <v>0</v>
      </c>
      <c r="AK90" t="s">
        <v>88</v>
      </c>
    </row>
    <row r="91" spans="1:38" x14ac:dyDescent="0.3">
      <c r="A91" t="s">
        <v>1435</v>
      </c>
      <c r="B91" t="s">
        <v>80</v>
      </c>
      <c r="C91" t="s">
        <v>1444</v>
      </c>
      <c r="E91">
        <v>3</v>
      </c>
      <c r="J91">
        <v>1643537</v>
      </c>
      <c r="K91">
        <v>0</v>
      </c>
      <c r="L91">
        <v>1643537</v>
      </c>
      <c r="M91">
        <v>1678050</v>
      </c>
      <c r="O91">
        <v>1678050</v>
      </c>
      <c r="R91" t="s">
        <v>1445</v>
      </c>
      <c r="S91" t="s">
        <v>1269</v>
      </c>
      <c r="T91" t="s">
        <v>77</v>
      </c>
      <c r="U91" t="s">
        <v>1291</v>
      </c>
      <c r="W91">
        <v>34513</v>
      </c>
      <c r="X91">
        <v>34513</v>
      </c>
      <c r="Y91">
        <v>0</v>
      </c>
      <c r="AK91" t="s">
        <v>88</v>
      </c>
    </row>
    <row r="92" spans="1:38" x14ac:dyDescent="0.3">
      <c r="A92" t="s">
        <v>1435</v>
      </c>
      <c r="B92" t="s">
        <v>80</v>
      </c>
      <c r="C92" t="s">
        <v>1446</v>
      </c>
      <c r="E92">
        <v>6</v>
      </c>
      <c r="J92">
        <v>3213659</v>
      </c>
      <c r="K92">
        <v>0</v>
      </c>
      <c r="L92">
        <v>3213659</v>
      </c>
      <c r="M92">
        <v>3281145</v>
      </c>
      <c r="O92">
        <v>3281145</v>
      </c>
      <c r="R92" t="s">
        <v>1447</v>
      </c>
      <c r="S92" t="s">
        <v>1269</v>
      </c>
      <c r="T92" t="s">
        <v>77</v>
      </c>
      <c r="U92" t="s">
        <v>1291</v>
      </c>
      <c r="W92">
        <v>67486</v>
      </c>
      <c r="X92">
        <v>67486</v>
      </c>
      <c r="Y92">
        <v>0</v>
      </c>
      <c r="AK92" t="s">
        <v>88</v>
      </c>
    </row>
    <row r="93" spans="1:38" x14ac:dyDescent="0.3">
      <c r="A93" t="s">
        <v>1435</v>
      </c>
      <c r="B93" t="s">
        <v>80</v>
      </c>
      <c r="C93" t="s">
        <v>1448</v>
      </c>
      <c r="E93">
        <v>8</v>
      </c>
      <c r="J93">
        <v>2284123</v>
      </c>
      <c r="K93">
        <v>0</v>
      </c>
      <c r="L93">
        <v>2284123</v>
      </c>
      <c r="M93">
        <v>2332089</v>
      </c>
      <c r="O93">
        <v>2332089</v>
      </c>
      <c r="R93" t="s">
        <v>1449</v>
      </c>
      <c r="S93" t="s">
        <v>1269</v>
      </c>
      <c r="T93" t="s">
        <v>77</v>
      </c>
      <c r="U93" t="s">
        <v>1330</v>
      </c>
      <c r="W93">
        <v>47966</v>
      </c>
      <c r="X93">
        <v>47966</v>
      </c>
      <c r="Y93">
        <v>0</v>
      </c>
      <c r="AK93" t="s">
        <v>88</v>
      </c>
    </row>
    <row r="94" spans="1:38" x14ac:dyDescent="0.3">
      <c r="A94" t="s">
        <v>1435</v>
      </c>
      <c r="B94" t="s">
        <v>80</v>
      </c>
      <c r="C94" t="s">
        <v>1450</v>
      </c>
      <c r="E94">
        <v>6</v>
      </c>
      <c r="J94">
        <v>1716479</v>
      </c>
      <c r="K94">
        <v>0</v>
      </c>
      <c r="L94">
        <v>1716479</v>
      </c>
      <c r="M94">
        <v>1752525</v>
      </c>
      <c r="O94">
        <v>1752525</v>
      </c>
      <c r="R94" t="s">
        <v>1451</v>
      </c>
      <c r="S94" t="s">
        <v>1269</v>
      </c>
      <c r="T94" t="s">
        <v>77</v>
      </c>
      <c r="U94" t="s">
        <v>1330</v>
      </c>
      <c r="W94">
        <v>36046</v>
      </c>
      <c r="X94">
        <v>36046</v>
      </c>
      <c r="Y94">
        <v>0</v>
      </c>
      <c r="AK94" t="s">
        <v>88</v>
      </c>
    </row>
    <row r="95" spans="1:38" x14ac:dyDescent="0.3">
      <c r="A95" t="s">
        <v>1435</v>
      </c>
      <c r="B95" t="s">
        <v>80</v>
      </c>
      <c r="C95" t="s">
        <v>1452</v>
      </c>
      <c r="E95">
        <v>6</v>
      </c>
      <c r="J95">
        <v>1716479</v>
      </c>
      <c r="K95">
        <v>0</v>
      </c>
      <c r="L95">
        <v>1716479</v>
      </c>
      <c r="M95">
        <v>1752525</v>
      </c>
      <c r="O95">
        <v>1752525</v>
      </c>
      <c r="R95" t="s">
        <v>1453</v>
      </c>
      <c r="S95" t="s">
        <v>1269</v>
      </c>
      <c r="T95" t="s">
        <v>77</v>
      </c>
      <c r="U95" t="s">
        <v>1330</v>
      </c>
      <c r="W95">
        <v>36046</v>
      </c>
      <c r="X95">
        <v>36046</v>
      </c>
      <c r="Y95">
        <v>0</v>
      </c>
      <c r="AK95" t="s">
        <v>88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BBC4-F8C3-475B-9D3C-8263B0300B95}">
  <dimension ref="A1:BA95"/>
  <sheetViews>
    <sheetView workbookViewId="0">
      <selection activeCell="C10" sqref="C10"/>
    </sheetView>
  </sheetViews>
  <sheetFormatPr baseColWidth="10" defaultColWidth="11.44140625" defaultRowHeight="14.4" x14ac:dyDescent="0.3"/>
  <cols>
    <col min="1" max="1" width="38" bestFit="1" customWidth="1"/>
    <col min="2" max="2" width="16.5546875" bestFit="1" customWidth="1"/>
    <col min="3" max="3" width="49.6640625" bestFit="1" customWidth="1"/>
    <col min="4" max="4" width="15.6640625" bestFit="1" customWidth="1"/>
    <col min="5" max="5" width="15.6640625" customWidth="1"/>
    <col min="6" max="9" width="9" customWidth="1"/>
    <col min="10" max="10" width="21.88671875" customWidth="1"/>
    <col min="11" max="11" width="22.109375" customWidth="1"/>
    <col min="12" max="15" width="21.88671875" customWidth="1"/>
    <col min="17" max="17" width="14.109375" customWidth="1"/>
    <col min="18" max="18" width="13.6640625" customWidth="1"/>
    <col min="19" max="19" width="15.44140625" customWidth="1"/>
    <col min="20" max="20" width="13.6640625" customWidth="1"/>
    <col min="21" max="21" width="24.109375" bestFit="1" customWidth="1"/>
    <col min="22" max="22" width="24.109375" customWidth="1"/>
    <col min="23" max="23" width="32" bestFit="1" customWidth="1"/>
    <col min="24" max="24" width="31.5546875" customWidth="1"/>
    <col min="25" max="25" width="22.44140625" bestFit="1" customWidth="1"/>
    <col min="26" max="26" width="24.109375" customWidth="1"/>
    <col min="27" max="27" width="26.6640625" customWidth="1"/>
    <col min="28" max="28" width="18.6640625" customWidth="1"/>
    <col min="29" max="29" width="19.88671875" customWidth="1"/>
    <col min="30" max="30" width="17.44140625" customWidth="1"/>
    <col min="31" max="31" width="18.5546875" customWidth="1"/>
    <col min="32" max="32" width="21" customWidth="1"/>
    <col min="33" max="33" width="15.5546875" customWidth="1"/>
    <col min="35" max="35" width="15" customWidth="1"/>
    <col min="36" max="36" width="13.33203125" customWidth="1"/>
    <col min="37" max="37" width="14.6640625" customWidth="1"/>
    <col min="38" max="38" width="19" customWidth="1"/>
    <col min="39" max="39" width="19.5546875" bestFit="1" customWidth="1"/>
    <col min="40" max="40" width="17.33203125" customWidth="1"/>
    <col min="42" max="42" width="20.88671875" customWidth="1"/>
    <col min="43" max="43" width="21" customWidth="1"/>
    <col min="44" max="44" width="18.109375" customWidth="1"/>
    <col min="46" max="46" width="19.5546875" customWidth="1"/>
    <col min="47" max="47" width="25.33203125" customWidth="1"/>
    <col min="48" max="48" width="24.6640625" customWidth="1"/>
    <col min="49" max="49" width="17.109375" customWidth="1"/>
    <col min="50" max="50" width="17.5546875" customWidth="1"/>
    <col min="52" max="52" width="23" customWidth="1"/>
    <col min="53" max="53" width="16.33203125" bestFit="1" customWidth="1"/>
  </cols>
  <sheetData>
    <row r="1" spans="1:53" ht="43.2" x14ac:dyDescent="0.3">
      <c r="A1" s="89" t="s">
        <v>3</v>
      </c>
      <c r="B1" s="89" t="s">
        <v>13</v>
      </c>
      <c r="C1" s="89" t="s">
        <v>19</v>
      </c>
      <c r="D1" s="89" t="s">
        <v>24</v>
      </c>
      <c r="E1" s="89" t="s">
        <v>27</v>
      </c>
      <c r="F1" s="89" t="s">
        <v>30</v>
      </c>
      <c r="G1" s="89" t="s">
        <v>1261</v>
      </c>
      <c r="H1" s="89" t="s">
        <v>61</v>
      </c>
      <c r="I1" s="89" t="s">
        <v>1262</v>
      </c>
      <c r="J1" s="89" t="s">
        <v>33</v>
      </c>
      <c r="K1" s="89" t="s">
        <v>36</v>
      </c>
      <c r="L1" s="89" t="s">
        <v>39</v>
      </c>
      <c r="M1" s="89" t="s">
        <v>41</v>
      </c>
      <c r="N1" s="89" t="s">
        <v>43</v>
      </c>
      <c r="O1" s="89" t="s">
        <v>45</v>
      </c>
      <c r="P1" s="89" t="s">
        <v>47</v>
      </c>
      <c r="Q1" s="89" t="s">
        <v>49</v>
      </c>
      <c r="R1" s="89" t="s">
        <v>1263</v>
      </c>
      <c r="S1" s="89" t="s">
        <v>52</v>
      </c>
      <c r="T1" s="89" t="s">
        <v>53</v>
      </c>
      <c r="U1" s="89" t="s">
        <v>54</v>
      </c>
      <c r="V1" s="89" t="s">
        <v>67</v>
      </c>
      <c r="W1" s="93" t="s">
        <v>11</v>
      </c>
      <c r="X1" s="93" t="s">
        <v>17</v>
      </c>
      <c r="Y1" s="93" t="s">
        <v>22</v>
      </c>
      <c r="Z1" s="89" t="s">
        <v>1264</v>
      </c>
      <c r="AA1" s="89" t="s">
        <v>1265</v>
      </c>
      <c r="AB1" s="89" t="s">
        <v>1266</v>
      </c>
      <c r="AC1" s="123" t="s">
        <v>7</v>
      </c>
      <c r="AD1" s="123" t="s">
        <v>15</v>
      </c>
      <c r="AE1" s="125" t="s">
        <v>5</v>
      </c>
      <c r="AF1" s="125" t="s">
        <v>14</v>
      </c>
      <c r="AG1" s="125" t="s">
        <v>20</v>
      </c>
      <c r="AH1" s="125" t="s">
        <v>25</v>
      </c>
      <c r="AI1" s="125" t="s">
        <v>28</v>
      </c>
      <c r="AJ1" s="125" t="s">
        <v>31</v>
      </c>
      <c r="AK1" s="125" t="s">
        <v>34</v>
      </c>
      <c r="AL1" s="125" t="s">
        <v>37</v>
      </c>
      <c r="AM1" s="95" t="s">
        <v>9</v>
      </c>
      <c r="AN1" s="95" t="s">
        <v>16</v>
      </c>
      <c r="AO1" s="95" t="s">
        <v>21</v>
      </c>
      <c r="AP1" s="95" t="s">
        <v>26</v>
      </c>
      <c r="AQ1" s="95" t="s">
        <v>29</v>
      </c>
      <c r="AR1" s="95" t="s">
        <v>32</v>
      </c>
      <c r="AS1" s="95" t="s">
        <v>35</v>
      </c>
      <c r="AT1" s="95" t="s">
        <v>38</v>
      </c>
      <c r="AU1" s="95" t="s">
        <v>40</v>
      </c>
      <c r="AV1" s="95" t="s">
        <v>42</v>
      </c>
      <c r="AW1" s="95" t="s">
        <v>44</v>
      </c>
      <c r="AX1" s="95" t="s">
        <v>46</v>
      </c>
      <c r="AY1" s="95" t="s">
        <v>48</v>
      </c>
      <c r="AZ1" s="95" t="s">
        <v>50</v>
      </c>
      <c r="BA1" s="29" t="s">
        <v>1267</v>
      </c>
    </row>
    <row r="2" spans="1:53" x14ac:dyDescent="0.3">
      <c r="A2" s="30" t="s">
        <v>168</v>
      </c>
      <c r="B2" s="30" t="s">
        <v>169</v>
      </c>
      <c r="C2" s="30" t="s">
        <v>1197</v>
      </c>
      <c r="D2" s="30"/>
      <c r="E2" s="42">
        <v>297</v>
      </c>
      <c r="F2" s="31"/>
      <c r="G2" s="31"/>
      <c r="H2" s="31"/>
      <c r="I2" s="31"/>
      <c r="J2" s="101">
        <v>100239106</v>
      </c>
      <c r="K2" s="101">
        <v>56846995</v>
      </c>
      <c r="L2" s="101">
        <v>43392111</v>
      </c>
      <c r="M2" s="101">
        <v>102344095</v>
      </c>
      <c r="N2" s="101">
        <v>58040782</v>
      </c>
      <c r="O2" s="101">
        <v>44303313</v>
      </c>
      <c r="P2" s="31"/>
      <c r="Q2" s="31"/>
      <c r="R2" s="31" t="s">
        <v>1268</v>
      </c>
      <c r="S2" s="31" t="s">
        <v>1269</v>
      </c>
      <c r="T2" s="31" t="s">
        <v>77</v>
      </c>
      <c r="U2" s="31" t="s">
        <v>1270</v>
      </c>
      <c r="V2" s="31"/>
      <c r="W2" s="84">
        <f>Tabla10[[#This Row],[Avalúo Total 2025]]-Tabla10[[#This Row],[Avalúo Diciembre 2024]]</f>
        <v>2104989</v>
      </c>
      <c r="X2" s="84">
        <f>Tabla10[[#This Row],[Avalúo Afecto Dic-2025]]-Tabla10[[#This Row],[Avalúo Afecto Dic-2024]]</f>
        <v>911202</v>
      </c>
      <c r="Y2" s="84">
        <f>Tabla10[[#This Row],[Avalúo Exento Dic-2025]]-Tabla10[[#This Row],[Avalúo Exento Dic-2024]]</f>
        <v>1193787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 t="s">
        <v>88</v>
      </c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3" x14ac:dyDescent="0.3">
      <c r="A3" s="30" t="s">
        <v>168</v>
      </c>
      <c r="B3" s="30" t="s">
        <v>169</v>
      </c>
      <c r="C3" s="30" t="s">
        <v>1271</v>
      </c>
      <c r="D3" s="30"/>
      <c r="E3" s="42">
        <v>157</v>
      </c>
      <c r="F3" s="31"/>
      <c r="G3" s="31"/>
      <c r="H3" s="31"/>
      <c r="I3" s="31"/>
      <c r="J3" s="101">
        <v>59467620</v>
      </c>
      <c r="K3" s="101">
        <v>7621649</v>
      </c>
      <c r="L3" s="101">
        <v>51845971</v>
      </c>
      <c r="M3" s="101">
        <v>60716421</v>
      </c>
      <c r="N3" s="101">
        <v>7781720</v>
      </c>
      <c r="O3" s="101">
        <v>52934701</v>
      </c>
      <c r="P3" s="31"/>
      <c r="Q3" s="31"/>
      <c r="R3" s="31" t="s">
        <v>1272</v>
      </c>
      <c r="S3" s="31" t="s">
        <v>1269</v>
      </c>
      <c r="T3" s="31" t="s">
        <v>77</v>
      </c>
      <c r="U3" s="31" t="s">
        <v>1270</v>
      </c>
      <c r="V3" s="31"/>
      <c r="W3" s="84">
        <f>Tabla10[[#This Row],[Avalúo Total 2025]]-Tabla10[[#This Row],[Avalúo Diciembre 2024]]</f>
        <v>1248801</v>
      </c>
      <c r="X3" s="84">
        <f>Tabla10[[#This Row],[Avalúo Afecto Dic-2025]]-Tabla10[[#This Row],[Avalúo Afecto Dic-2024]]</f>
        <v>1088730</v>
      </c>
      <c r="Y3" s="84">
        <f>Tabla10[[#This Row],[Avalúo Exento Dic-2025]]-Tabla10[[#This Row],[Avalúo Exento Dic-2024]]</f>
        <v>160071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 t="s">
        <v>88</v>
      </c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 x14ac:dyDescent="0.3">
      <c r="A4" s="30" t="s">
        <v>168</v>
      </c>
      <c r="B4" s="30" t="s">
        <v>80</v>
      </c>
      <c r="C4" s="30" t="s">
        <v>1273</v>
      </c>
      <c r="D4" s="30"/>
      <c r="E4" s="42">
        <v>106</v>
      </c>
      <c r="F4" s="31"/>
      <c r="G4" s="31"/>
      <c r="H4" s="31"/>
      <c r="I4" s="31"/>
      <c r="J4" s="101">
        <v>128370582</v>
      </c>
      <c r="K4" s="101">
        <v>56846995</v>
      </c>
      <c r="L4" s="101">
        <v>71523587</v>
      </c>
      <c r="M4" s="101">
        <v>131066323</v>
      </c>
      <c r="N4" s="101">
        <v>58040782</v>
      </c>
      <c r="O4" s="101">
        <v>73025541</v>
      </c>
      <c r="P4" s="31"/>
      <c r="Q4" s="31"/>
      <c r="R4" s="31" t="s">
        <v>1274</v>
      </c>
      <c r="S4" s="31" t="s">
        <v>1269</v>
      </c>
      <c r="T4" s="31" t="s">
        <v>77</v>
      </c>
      <c r="U4" s="31" t="s">
        <v>1270</v>
      </c>
      <c r="V4" s="31"/>
      <c r="W4" s="84">
        <f>Tabla10[[#This Row],[Avalúo Total 2025]]-Tabla10[[#This Row],[Avalúo Diciembre 2024]]</f>
        <v>2695741</v>
      </c>
      <c r="X4" s="84">
        <f>Tabla10[[#This Row],[Avalúo Afecto Dic-2025]]-Tabla10[[#This Row],[Avalúo Afecto Dic-2024]]</f>
        <v>1501954</v>
      </c>
      <c r="Y4" s="84">
        <f>Tabla10[[#This Row],[Avalúo Exento Dic-2025]]-Tabla10[[#This Row],[Avalúo Exento Dic-2024]]</f>
        <v>1193787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 t="s">
        <v>88</v>
      </c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 x14ac:dyDescent="0.3">
      <c r="A5" s="30" t="s">
        <v>168</v>
      </c>
      <c r="B5" s="30" t="s">
        <v>80</v>
      </c>
      <c r="C5" s="30" t="s">
        <v>1275</v>
      </c>
      <c r="D5" s="30"/>
      <c r="E5" s="42">
        <v>139</v>
      </c>
      <c r="F5" s="31"/>
      <c r="G5" s="31"/>
      <c r="H5" s="31"/>
      <c r="I5" s="31"/>
      <c r="J5" s="101">
        <v>150276114</v>
      </c>
      <c r="K5" s="101">
        <v>56846995</v>
      </c>
      <c r="L5" s="101">
        <v>93428119</v>
      </c>
      <c r="M5" s="101">
        <v>153431864</v>
      </c>
      <c r="N5" s="101">
        <v>58040782</v>
      </c>
      <c r="O5" s="101">
        <v>95391082</v>
      </c>
      <c r="P5" s="31"/>
      <c r="Q5" s="31"/>
      <c r="R5" s="31" t="s">
        <v>1276</v>
      </c>
      <c r="S5" s="31" t="s">
        <v>1269</v>
      </c>
      <c r="T5" s="31" t="s">
        <v>77</v>
      </c>
      <c r="U5" s="31" t="s">
        <v>1270</v>
      </c>
      <c r="V5" s="31"/>
      <c r="W5" s="84">
        <f>Tabla10[[#This Row],[Avalúo Total 2025]]-Tabla10[[#This Row],[Avalúo Diciembre 2024]]</f>
        <v>3155750</v>
      </c>
      <c r="X5" s="84">
        <f>Tabla10[[#This Row],[Avalúo Afecto Dic-2025]]-Tabla10[[#This Row],[Avalúo Afecto Dic-2024]]</f>
        <v>1962963</v>
      </c>
      <c r="Y5" s="84">
        <f>Tabla10[[#This Row],[Avalúo Exento Dic-2025]]-Tabla10[[#This Row],[Avalúo Exento Dic-2024]]</f>
        <v>1193787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 t="s">
        <v>88</v>
      </c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spans="1:53" x14ac:dyDescent="0.3">
      <c r="A6" s="30" t="s">
        <v>168</v>
      </c>
      <c r="B6" s="30" t="s">
        <v>80</v>
      </c>
      <c r="C6" s="30" t="s">
        <v>1277</v>
      </c>
      <c r="D6" s="30"/>
      <c r="E6" s="42">
        <v>87</v>
      </c>
      <c r="F6" s="31"/>
      <c r="G6" s="31"/>
      <c r="H6" s="31"/>
      <c r="I6" s="31"/>
      <c r="J6" s="101">
        <v>80577518</v>
      </c>
      <c r="K6" s="101">
        <v>56846995</v>
      </c>
      <c r="L6" s="101">
        <v>23730523</v>
      </c>
      <c r="M6" s="101">
        <v>82269620</v>
      </c>
      <c r="N6" s="101">
        <v>58040782</v>
      </c>
      <c r="O6" s="101">
        <v>24228838</v>
      </c>
      <c r="P6" s="31"/>
      <c r="Q6" s="31"/>
      <c r="R6" s="31" t="s">
        <v>1278</v>
      </c>
      <c r="S6" s="31" t="s">
        <v>1269</v>
      </c>
      <c r="T6" s="31" t="s">
        <v>77</v>
      </c>
      <c r="U6" s="31" t="s">
        <v>1270</v>
      </c>
      <c r="V6" s="31"/>
      <c r="W6" s="84">
        <f>Tabla10[[#This Row],[Avalúo Total 2025]]-Tabla10[[#This Row],[Avalúo Diciembre 2024]]</f>
        <v>1692102</v>
      </c>
      <c r="X6" s="84">
        <f>Tabla10[[#This Row],[Avalúo Afecto Dic-2025]]-Tabla10[[#This Row],[Avalúo Afecto Dic-2024]]</f>
        <v>498315</v>
      </c>
      <c r="Y6" s="84">
        <f>Tabla10[[#This Row],[Avalúo Exento Dic-2025]]-Tabla10[[#This Row],[Avalúo Exento Dic-2024]]</f>
        <v>1193787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88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53" x14ac:dyDescent="0.3">
      <c r="A7" s="30" t="s">
        <v>168</v>
      </c>
      <c r="B7" s="30" t="s">
        <v>80</v>
      </c>
      <c r="C7" s="30" t="s">
        <v>1279</v>
      </c>
      <c r="D7" s="30"/>
      <c r="E7" s="42">
        <v>104</v>
      </c>
      <c r="F7" s="31"/>
      <c r="G7" s="31"/>
      <c r="H7" s="31"/>
      <c r="I7" s="31"/>
      <c r="J7" s="101">
        <v>128392048</v>
      </c>
      <c r="K7" s="101">
        <v>56846995</v>
      </c>
      <c r="L7" s="101">
        <v>71545053</v>
      </c>
      <c r="M7" s="101">
        <v>131088240</v>
      </c>
      <c r="N7" s="101">
        <v>58040782</v>
      </c>
      <c r="O7" s="101">
        <v>73047458</v>
      </c>
      <c r="P7" s="31"/>
      <c r="Q7" s="31"/>
      <c r="R7" s="31" t="s">
        <v>1280</v>
      </c>
      <c r="S7" s="31" t="s">
        <v>1269</v>
      </c>
      <c r="T7" s="31" t="s">
        <v>77</v>
      </c>
      <c r="U7" s="31" t="s">
        <v>1270</v>
      </c>
      <c r="V7" s="31"/>
      <c r="W7" s="84">
        <f>Tabla10[[#This Row],[Avalúo Total 2025]]-Tabla10[[#This Row],[Avalúo Diciembre 2024]]</f>
        <v>2696192</v>
      </c>
      <c r="X7" s="84">
        <f>Tabla10[[#This Row],[Avalúo Afecto Dic-2025]]-Tabla10[[#This Row],[Avalúo Afecto Dic-2024]]</f>
        <v>1502405</v>
      </c>
      <c r="Y7" s="84">
        <f>Tabla10[[#This Row],[Avalúo Exento Dic-2025]]-Tabla10[[#This Row],[Avalúo Exento Dic-2024]]</f>
        <v>1193787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 t="s">
        <v>88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</row>
    <row r="8" spans="1:53" x14ac:dyDescent="0.3">
      <c r="A8" s="30" t="s">
        <v>168</v>
      </c>
      <c r="B8" s="30" t="s">
        <v>80</v>
      </c>
      <c r="C8" s="30" t="s">
        <v>1281</v>
      </c>
      <c r="D8" s="30"/>
      <c r="E8" s="42">
        <v>104</v>
      </c>
      <c r="F8" s="31"/>
      <c r="G8" s="31"/>
      <c r="H8" s="31"/>
      <c r="I8" s="31"/>
      <c r="J8" s="101">
        <v>128392048</v>
      </c>
      <c r="K8" s="101">
        <v>56846995</v>
      </c>
      <c r="L8" s="101">
        <v>71545053</v>
      </c>
      <c r="M8" s="101">
        <v>131088240</v>
      </c>
      <c r="N8" s="101">
        <v>58040782</v>
      </c>
      <c r="O8" s="101">
        <v>73047458</v>
      </c>
      <c r="P8" s="31"/>
      <c r="Q8" s="31"/>
      <c r="R8" s="31" t="s">
        <v>1282</v>
      </c>
      <c r="S8" s="31" t="s">
        <v>1269</v>
      </c>
      <c r="T8" s="31" t="s">
        <v>77</v>
      </c>
      <c r="U8" s="31" t="s">
        <v>1270</v>
      </c>
      <c r="V8" s="31"/>
      <c r="W8" s="84">
        <f>Tabla10[[#This Row],[Avalúo Total 2025]]-Tabla10[[#This Row],[Avalúo Diciembre 2024]]</f>
        <v>2696192</v>
      </c>
      <c r="X8" s="84">
        <f>Tabla10[[#This Row],[Avalúo Afecto Dic-2025]]-Tabla10[[#This Row],[Avalúo Afecto Dic-2024]]</f>
        <v>1502405</v>
      </c>
      <c r="Y8" s="84">
        <f>Tabla10[[#This Row],[Avalúo Exento Dic-2025]]-Tabla10[[#This Row],[Avalúo Exento Dic-2024]]</f>
        <v>1193787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 t="s">
        <v>88</v>
      </c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</row>
    <row r="9" spans="1:53" x14ac:dyDescent="0.3">
      <c r="A9" s="30" t="s">
        <v>168</v>
      </c>
      <c r="B9" s="30" t="s">
        <v>80</v>
      </c>
      <c r="C9" s="30" t="s">
        <v>1283</v>
      </c>
      <c r="D9" s="30"/>
      <c r="E9" s="42">
        <v>104</v>
      </c>
      <c r="F9" s="31"/>
      <c r="G9" s="31"/>
      <c r="H9" s="31"/>
      <c r="I9" s="31"/>
      <c r="J9" s="101">
        <v>128392048</v>
      </c>
      <c r="K9" s="101">
        <v>56846995</v>
      </c>
      <c r="L9" s="101">
        <v>71545053</v>
      </c>
      <c r="M9" s="101">
        <v>131088240</v>
      </c>
      <c r="N9" s="101">
        <v>58040782</v>
      </c>
      <c r="O9" s="101">
        <v>73047458</v>
      </c>
      <c r="P9" s="31"/>
      <c r="Q9" s="31"/>
      <c r="R9" s="31" t="s">
        <v>1284</v>
      </c>
      <c r="S9" s="31" t="s">
        <v>1269</v>
      </c>
      <c r="T9" s="31" t="s">
        <v>77</v>
      </c>
      <c r="U9" s="31" t="s">
        <v>1270</v>
      </c>
      <c r="V9" s="31"/>
      <c r="W9" s="84">
        <f>Tabla10[[#This Row],[Avalúo Total 2025]]-Tabla10[[#This Row],[Avalúo Diciembre 2024]]</f>
        <v>2696192</v>
      </c>
      <c r="X9" s="84">
        <f>Tabla10[[#This Row],[Avalúo Afecto Dic-2025]]-Tabla10[[#This Row],[Avalúo Afecto Dic-2024]]</f>
        <v>1502405</v>
      </c>
      <c r="Y9" s="84">
        <f>Tabla10[[#This Row],[Avalúo Exento Dic-2025]]-Tabla10[[#This Row],[Avalúo Exento Dic-2024]]</f>
        <v>1193787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 t="s">
        <v>88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</row>
    <row r="10" spans="1:53" x14ac:dyDescent="0.3">
      <c r="A10" s="30" t="s">
        <v>168</v>
      </c>
      <c r="B10" s="30" t="s">
        <v>80</v>
      </c>
      <c r="C10" s="30" t="s">
        <v>1285</v>
      </c>
      <c r="D10" s="30"/>
      <c r="E10" s="42">
        <v>102</v>
      </c>
      <c r="F10" s="31"/>
      <c r="G10" s="31"/>
      <c r="H10" s="31"/>
      <c r="I10" s="31"/>
      <c r="J10" s="101">
        <v>125663338</v>
      </c>
      <c r="K10" s="101">
        <v>56846995</v>
      </c>
      <c r="L10" s="101">
        <v>68816343</v>
      </c>
      <c r="M10" s="101">
        <v>128302228</v>
      </c>
      <c r="N10" s="101">
        <v>58040782</v>
      </c>
      <c r="O10" s="101">
        <v>70261446</v>
      </c>
      <c r="P10" s="31"/>
      <c r="Q10" s="31"/>
      <c r="R10" s="31" t="s">
        <v>1286</v>
      </c>
      <c r="S10" s="31" t="s">
        <v>1269</v>
      </c>
      <c r="T10" s="31" t="s">
        <v>77</v>
      </c>
      <c r="U10" s="31" t="s">
        <v>1270</v>
      </c>
      <c r="V10" s="31"/>
      <c r="W10" s="84">
        <f>Tabla10[[#This Row],[Avalúo Total 2025]]-Tabla10[[#This Row],[Avalúo Diciembre 2024]]</f>
        <v>2638890</v>
      </c>
      <c r="X10" s="84">
        <f>Tabla10[[#This Row],[Avalúo Afecto Dic-2025]]-Tabla10[[#This Row],[Avalúo Afecto Dic-2024]]</f>
        <v>1445103</v>
      </c>
      <c r="Y10" s="84">
        <f>Tabla10[[#This Row],[Avalúo Exento Dic-2025]]-Tabla10[[#This Row],[Avalúo Exento Dic-2024]]</f>
        <v>1193787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 t="s">
        <v>88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</row>
    <row r="11" spans="1:53" x14ac:dyDescent="0.3">
      <c r="A11" s="30" t="s">
        <v>168</v>
      </c>
      <c r="B11" s="30" t="s">
        <v>80</v>
      </c>
      <c r="C11" s="30" t="s">
        <v>1287</v>
      </c>
      <c r="D11" s="30"/>
      <c r="E11" s="42">
        <v>92</v>
      </c>
      <c r="F11" s="31"/>
      <c r="G11" s="31"/>
      <c r="H11" s="31"/>
      <c r="I11" s="31"/>
      <c r="J11" s="101">
        <v>113642242</v>
      </c>
      <c r="K11" s="101">
        <v>56846995</v>
      </c>
      <c r="L11" s="101">
        <v>56795247</v>
      </c>
      <c r="M11" s="101">
        <v>116028692</v>
      </c>
      <c r="N11" s="101">
        <v>58040782</v>
      </c>
      <c r="O11" s="101">
        <v>57987910</v>
      </c>
      <c r="P11" s="31"/>
      <c r="Q11" s="31"/>
      <c r="R11" s="31" t="s">
        <v>1288</v>
      </c>
      <c r="S11" s="31" t="s">
        <v>1269</v>
      </c>
      <c r="T11" s="31" t="s">
        <v>77</v>
      </c>
      <c r="U11" s="31" t="s">
        <v>1270</v>
      </c>
      <c r="V11" s="31"/>
      <c r="W11" s="84">
        <f>Tabla10[[#This Row],[Avalúo Total 2025]]-Tabla10[[#This Row],[Avalúo Diciembre 2024]]</f>
        <v>2386450</v>
      </c>
      <c r="X11" s="84">
        <f>Tabla10[[#This Row],[Avalúo Afecto Dic-2025]]-Tabla10[[#This Row],[Avalúo Afecto Dic-2024]]</f>
        <v>1192663</v>
      </c>
      <c r="Y11" s="84">
        <f>Tabla10[[#This Row],[Avalúo Exento Dic-2025]]-Tabla10[[#This Row],[Avalúo Exento Dic-2024]]</f>
        <v>1193787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 t="s">
        <v>88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</row>
    <row r="12" spans="1:53" x14ac:dyDescent="0.3">
      <c r="A12" s="30" t="s">
        <v>168</v>
      </c>
      <c r="B12" s="30" t="s">
        <v>80</v>
      </c>
      <c r="C12" s="30" t="s">
        <v>1289</v>
      </c>
      <c r="D12" s="30"/>
      <c r="E12" s="42">
        <v>4</v>
      </c>
      <c r="F12" s="31"/>
      <c r="G12" s="31"/>
      <c r="H12" s="31"/>
      <c r="I12" s="31"/>
      <c r="J12" s="101">
        <v>2299056</v>
      </c>
      <c r="K12" s="101">
        <v>0</v>
      </c>
      <c r="L12" s="101">
        <v>2299056</v>
      </c>
      <c r="M12" s="101">
        <v>2347336</v>
      </c>
      <c r="N12" s="101"/>
      <c r="O12" s="101">
        <v>2347336</v>
      </c>
      <c r="P12" s="31"/>
      <c r="Q12" s="31"/>
      <c r="R12" s="31" t="s">
        <v>1290</v>
      </c>
      <c r="S12" s="31" t="s">
        <v>1269</v>
      </c>
      <c r="T12" s="31" t="s">
        <v>77</v>
      </c>
      <c r="U12" s="31" t="s">
        <v>1291</v>
      </c>
      <c r="V12" s="31"/>
      <c r="W12" s="84">
        <f>Tabla10[[#This Row],[Avalúo Total 2025]]-Tabla10[[#This Row],[Avalúo Diciembre 2024]]</f>
        <v>48280</v>
      </c>
      <c r="X12" s="84">
        <f>Tabla10[[#This Row],[Avalúo Afecto Dic-2025]]-Tabla10[[#This Row],[Avalúo Afecto Dic-2024]]</f>
        <v>48280</v>
      </c>
      <c r="Y12" s="84">
        <f>Tabla10[[#This Row],[Avalúo Exento Dic-2025]]-Tabla10[[#This Row],[Avalúo Exento Dic-2024]]</f>
        <v>0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 t="s">
        <v>88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</row>
    <row r="13" spans="1:53" x14ac:dyDescent="0.3">
      <c r="A13" s="30" t="s">
        <v>168</v>
      </c>
      <c r="B13" s="30" t="s">
        <v>80</v>
      </c>
      <c r="C13" s="30" t="s">
        <v>1292</v>
      </c>
      <c r="D13" s="30"/>
      <c r="E13" s="42">
        <v>7</v>
      </c>
      <c r="F13" s="31"/>
      <c r="G13" s="31"/>
      <c r="H13" s="31"/>
      <c r="I13" s="31"/>
      <c r="J13" s="101">
        <v>4421131</v>
      </c>
      <c r="K13" s="101">
        <v>0</v>
      </c>
      <c r="L13" s="101">
        <v>4421131</v>
      </c>
      <c r="M13" s="101">
        <v>4513974</v>
      </c>
      <c r="N13" s="101"/>
      <c r="O13" s="101">
        <v>4513974</v>
      </c>
      <c r="P13" s="31"/>
      <c r="Q13" s="31"/>
      <c r="R13" s="31" t="s">
        <v>1293</v>
      </c>
      <c r="S13" s="31" t="s">
        <v>1269</v>
      </c>
      <c r="T13" s="31" t="s">
        <v>77</v>
      </c>
      <c r="U13" s="31" t="s">
        <v>1291</v>
      </c>
      <c r="V13" s="31"/>
      <c r="W13" s="84">
        <f>Tabla10[[#This Row],[Avalúo Total 2025]]-Tabla10[[#This Row],[Avalúo Diciembre 2024]]</f>
        <v>92843</v>
      </c>
      <c r="X13" s="84">
        <f>Tabla10[[#This Row],[Avalúo Afecto Dic-2025]]-Tabla10[[#This Row],[Avalúo Afecto Dic-2024]]</f>
        <v>92843</v>
      </c>
      <c r="Y13" s="84">
        <f>Tabla10[[#This Row],[Avalúo Exento Dic-2025]]-Tabla10[[#This Row],[Avalúo Exento Dic-2024]]</f>
        <v>0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 t="s">
        <v>88</v>
      </c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</row>
    <row r="14" spans="1:53" x14ac:dyDescent="0.3">
      <c r="A14" s="30" t="s">
        <v>168</v>
      </c>
      <c r="B14" s="30" t="s">
        <v>80</v>
      </c>
      <c r="C14" s="30" t="s">
        <v>1294</v>
      </c>
      <c r="D14" s="30"/>
      <c r="E14" s="42">
        <v>4</v>
      </c>
      <c r="F14" s="31"/>
      <c r="G14" s="31"/>
      <c r="H14" s="31"/>
      <c r="I14" s="31"/>
      <c r="J14" s="101">
        <v>2445605</v>
      </c>
      <c r="K14" s="101">
        <v>0</v>
      </c>
      <c r="L14" s="101">
        <v>2445605</v>
      </c>
      <c r="M14" s="101">
        <v>2496962</v>
      </c>
      <c r="N14" s="101"/>
      <c r="O14" s="101">
        <v>2496962</v>
      </c>
      <c r="P14" s="31"/>
      <c r="Q14" s="31"/>
      <c r="R14" s="31" t="s">
        <v>1295</v>
      </c>
      <c r="S14" s="31" t="s">
        <v>1269</v>
      </c>
      <c r="T14" s="31" t="s">
        <v>77</v>
      </c>
      <c r="U14" s="31" t="s">
        <v>1291</v>
      </c>
      <c r="V14" s="31"/>
      <c r="W14" s="84">
        <f>Tabla10[[#This Row],[Avalúo Total 2025]]-Tabla10[[#This Row],[Avalúo Diciembre 2024]]</f>
        <v>51357</v>
      </c>
      <c r="X14" s="84">
        <f>Tabla10[[#This Row],[Avalúo Afecto Dic-2025]]-Tabla10[[#This Row],[Avalúo Afecto Dic-2024]]</f>
        <v>51357</v>
      </c>
      <c r="Y14" s="84">
        <f>Tabla10[[#This Row],[Avalúo Exento Dic-2025]]-Tabla10[[#This Row],[Avalúo Exento Dic-2024]]</f>
        <v>0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 t="s">
        <v>88</v>
      </c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</row>
    <row r="15" spans="1:53" x14ac:dyDescent="0.3">
      <c r="A15" s="30" t="s">
        <v>168</v>
      </c>
      <c r="B15" s="30" t="s">
        <v>80</v>
      </c>
      <c r="C15" s="30" t="s">
        <v>1296</v>
      </c>
      <c r="D15" s="30"/>
      <c r="E15" s="42">
        <v>4</v>
      </c>
      <c r="F15" s="31"/>
      <c r="G15" s="31"/>
      <c r="H15" s="31"/>
      <c r="I15" s="31"/>
      <c r="J15" s="101">
        <v>2430922</v>
      </c>
      <c r="K15" s="101">
        <v>0</v>
      </c>
      <c r="L15" s="101">
        <v>2430922</v>
      </c>
      <c r="M15" s="101">
        <v>2481970</v>
      </c>
      <c r="N15" s="101"/>
      <c r="O15" s="101">
        <v>2481970</v>
      </c>
      <c r="P15" s="31"/>
      <c r="Q15" s="31"/>
      <c r="R15" s="31" t="s">
        <v>1297</v>
      </c>
      <c r="S15" s="31" t="s">
        <v>1269</v>
      </c>
      <c r="T15" s="31" t="s">
        <v>77</v>
      </c>
      <c r="U15" s="31" t="s">
        <v>1291</v>
      </c>
      <c r="V15" s="31"/>
      <c r="W15" s="84">
        <f>Tabla10[[#This Row],[Avalúo Total 2025]]-Tabla10[[#This Row],[Avalúo Diciembre 2024]]</f>
        <v>51048</v>
      </c>
      <c r="X15" s="84">
        <f>Tabla10[[#This Row],[Avalúo Afecto Dic-2025]]-Tabla10[[#This Row],[Avalúo Afecto Dic-2024]]</f>
        <v>51048</v>
      </c>
      <c r="Y15" s="84">
        <f>Tabla10[[#This Row],[Avalúo Exento Dic-2025]]-Tabla10[[#This Row],[Avalúo Exento Dic-2024]]</f>
        <v>0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 t="s">
        <v>88</v>
      </c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</row>
    <row r="16" spans="1:53" x14ac:dyDescent="0.3">
      <c r="A16" s="30" t="s">
        <v>168</v>
      </c>
      <c r="B16" s="30" t="s">
        <v>80</v>
      </c>
      <c r="C16" s="30" t="s">
        <v>1298</v>
      </c>
      <c r="D16" s="30"/>
      <c r="E16" s="42">
        <v>7</v>
      </c>
      <c r="F16" s="31"/>
      <c r="G16" s="31"/>
      <c r="H16" s="31"/>
      <c r="I16" s="31"/>
      <c r="J16" s="101">
        <v>4391766</v>
      </c>
      <c r="K16" s="101">
        <v>0</v>
      </c>
      <c r="L16" s="101">
        <v>4391766</v>
      </c>
      <c r="M16" s="101">
        <v>4483992</v>
      </c>
      <c r="N16" s="101"/>
      <c r="O16" s="101">
        <v>4483992</v>
      </c>
      <c r="P16" s="31"/>
      <c r="Q16" s="31"/>
      <c r="R16" s="31" t="s">
        <v>1299</v>
      </c>
      <c r="S16" s="31" t="s">
        <v>1269</v>
      </c>
      <c r="T16" s="31" t="s">
        <v>77</v>
      </c>
      <c r="U16" s="31" t="s">
        <v>1291</v>
      </c>
      <c r="V16" s="31"/>
      <c r="W16" s="84">
        <f>Tabla10[[#This Row],[Avalúo Total 2025]]-Tabla10[[#This Row],[Avalúo Diciembre 2024]]</f>
        <v>92226</v>
      </c>
      <c r="X16" s="84">
        <f>Tabla10[[#This Row],[Avalúo Afecto Dic-2025]]-Tabla10[[#This Row],[Avalúo Afecto Dic-2024]]</f>
        <v>92226</v>
      </c>
      <c r="Y16" s="84">
        <f>Tabla10[[#This Row],[Avalúo Exento Dic-2025]]-Tabla10[[#This Row],[Avalúo Exento Dic-2024]]</f>
        <v>0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 t="s">
        <v>88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</row>
    <row r="17" spans="1:53" x14ac:dyDescent="0.3">
      <c r="A17" s="30" t="s">
        <v>168</v>
      </c>
      <c r="B17" s="30" t="s">
        <v>80</v>
      </c>
      <c r="C17" s="30" t="s">
        <v>1300</v>
      </c>
      <c r="D17" s="30"/>
      <c r="E17" s="42">
        <v>4</v>
      </c>
      <c r="F17" s="31"/>
      <c r="G17" s="31"/>
      <c r="H17" s="31"/>
      <c r="I17" s="31"/>
      <c r="J17" s="101">
        <v>2585092</v>
      </c>
      <c r="K17" s="101">
        <v>0</v>
      </c>
      <c r="L17" s="101">
        <v>2585092</v>
      </c>
      <c r="M17" s="101">
        <v>2639378</v>
      </c>
      <c r="N17" s="101"/>
      <c r="O17" s="101">
        <v>2639378</v>
      </c>
      <c r="P17" s="31"/>
      <c r="Q17" s="31"/>
      <c r="R17" s="31" t="s">
        <v>1301</v>
      </c>
      <c r="S17" s="31" t="s">
        <v>1269</v>
      </c>
      <c r="T17" s="31" t="s">
        <v>77</v>
      </c>
      <c r="U17" s="31" t="s">
        <v>1291</v>
      </c>
      <c r="V17" s="31"/>
      <c r="W17" s="84">
        <f>Tabla10[[#This Row],[Avalúo Total 2025]]-Tabla10[[#This Row],[Avalúo Diciembre 2024]]</f>
        <v>54286</v>
      </c>
      <c r="X17" s="84">
        <f>Tabla10[[#This Row],[Avalúo Afecto Dic-2025]]-Tabla10[[#This Row],[Avalúo Afecto Dic-2024]]</f>
        <v>54286</v>
      </c>
      <c r="Y17" s="84">
        <f>Tabla10[[#This Row],[Avalúo Exento Dic-2025]]-Tabla10[[#This Row],[Avalúo Exento Dic-2024]]</f>
        <v>0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 t="s">
        <v>88</v>
      </c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</row>
    <row r="18" spans="1:53" x14ac:dyDescent="0.3">
      <c r="A18" s="30" t="s">
        <v>168</v>
      </c>
      <c r="B18" s="30" t="s">
        <v>80</v>
      </c>
      <c r="C18" s="30" t="s">
        <v>1302</v>
      </c>
      <c r="D18" s="30"/>
      <c r="E18" s="42">
        <v>3</v>
      </c>
      <c r="F18" s="31"/>
      <c r="G18" s="31"/>
      <c r="H18" s="31"/>
      <c r="I18" s="31"/>
      <c r="J18" s="101">
        <v>1865404</v>
      </c>
      <c r="K18" s="101">
        <v>0</v>
      </c>
      <c r="L18" s="101">
        <v>1865404</v>
      </c>
      <c r="M18" s="101">
        <v>1904577</v>
      </c>
      <c r="N18" s="101"/>
      <c r="O18" s="101">
        <v>1904577</v>
      </c>
      <c r="P18" s="31"/>
      <c r="Q18" s="31"/>
      <c r="R18" s="31" t="s">
        <v>1303</v>
      </c>
      <c r="S18" s="31" t="s">
        <v>1269</v>
      </c>
      <c r="T18" s="31" t="s">
        <v>77</v>
      </c>
      <c r="U18" s="31" t="s">
        <v>1291</v>
      </c>
      <c r="V18" s="31"/>
      <c r="W18" s="84">
        <f>Tabla10[[#This Row],[Avalúo Total 2025]]-Tabla10[[#This Row],[Avalúo Diciembre 2024]]</f>
        <v>39173</v>
      </c>
      <c r="X18" s="84">
        <f>Tabla10[[#This Row],[Avalúo Afecto Dic-2025]]-Tabla10[[#This Row],[Avalúo Afecto Dic-2024]]</f>
        <v>39173</v>
      </c>
      <c r="Y18" s="84">
        <f>Tabla10[[#This Row],[Avalúo Exento Dic-2025]]-Tabla10[[#This Row],[Avalúo Exento Dic-2024]]</f>
        <v>0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 t="s">
        <v>88</v>
      </c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</row>
    <row r="19" spans="1:53" x14ac:dyDescent="0.3">
      <c r="A19" s="30" t="s">
        <v>168</v>
      </c>
      <c r="B19" s="30" t="s">
        <v>80</v>
      </c>
      <c r="C19" s="30" t="s">
        <v>1304</v>
      </c>
      <c r="D19" s="30"/>
      <c r="E19" s="42">
        <v>3</v>
      </c>
      <c r="F19" s="31"/>
      <c r="G19" s="31"/>
      <c r="H19" s="31"/>
      <c r="I19" s="31"/>
      <c r="J19" s="101">
        <v>1865404</v>
      </c>
      <c r="K19" s="101">
        <v>0</v>
      </c>
      <c r="L19" s="101">
        <v>1865404</v>
      </c>
      <c r="M19" s="101">
        <v>1904577</v>
      </c>
      <c r="N19" s="101"/>
      <c r="O19" s="101">
        <v>1904577</v>
      </c>
      <c r="P19" s="31"/>
      <c r="Q19" s="31"/>
      <c r="R19" s="31" t="s">
        <v>1305</v>
      </c>
      <c r="S19" s="31" t="s">
        <v>1269</v>
      </c>
      <c r="T19" s="31" t="s">
        <v>77</v>
      </c>
      <c r="U19" s="31" t="s">
        <v>1291</v>
      </c>
      <c r="V19" s="31"/>
      <c r="W19" s="84">
        <f>Tabla10[[#This Row],[Avalúo Total 2025]]-Tabla10[[#This Row],[Avalúo Diciembre 2024]]</f>
        <v>39173</v>
      </c>
      <c r="X19" s="84">
        <f>Tabla10[[#This Row],[Avalúo Afecto Dic-2025]]-Tabla10[[#This Row],[Avalúo Afecto Dic-2024]]</f>
        <v>39173</v>
      </c>
      <c r="Y19" s="84">
        <f>Tabla10[[#This Row],[Avalúo Exento Dic-2025]]-Tabla10[[#This Row],[Avalúo Exento Dic-2024]]</f>
        <v>0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 t="s">
        <v>88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</row>
    <row r="20" spans="1:53" x14ac:dyDescent="0.3">
      <c r="A20" s="30" t="s">
        <v>168</v>
      </c>
      <c r="B20" s="30" t="s">
        <v>80</v>
      </c>
      <c r="C20" s="30" t="s">
        <v>1306</v>
      </c>
      <c r="D20" s="30"/>
      <c r="E20" s="42">
        <v>3</v>
      </c>
      <c r="F20" s="31"/>
      <c r="G20" s="31"/>
      <c r="H20" s="31"/>
      <c r="I20" s="31"/>
      <c r="J20" s="101">
        <v>1821356</v>
      </c>
      <c r="K20" s="101">
        <v>0</v>
      </c>
      <c r="L20" s="101">
        <v>1821356</v>
      </c>
      <c r="M20" s="101">
        <v>1859604</v>
      </c>
      <c r="N20" s="101"/>
      <c r="O20" s="101">
        <v>1859604</v>
      </c>
      <c r="P20" s="31"/>
      <c r="Q20" s="31"/>
      <c r="R20" s="31" t="s">
        <v>1307</v>
      </c>
      <c r="S20" s="31" t="s">
        <v>1269</v>
      </c>
      <c r="T20" s="31" t="s">
        <v>77</v>
      </c>
      <c r="U20" s="31" t="s">
        <v>1291</v>
      </c>
      <c r="V20" s="31"/>
      <c r="W20" s="84">
        <f>Tabla10[[#This Row],[Avalúo Total 2025]]-Tabla10[[#This Row],[Avalúo Diciembre 2024]]</f>
        <v>38248</v>
      </c>
      <c r="X20" s="84">
        <f>Tabla10[[#This Row],[Avalúo Afecto Dic-2025]]-Tabla10[[#This Row],[Avalúo Afecto Dic-2024]]</f>
        <v>38248</v>
      </c>
      <c r="Y20" s="84">
        <f>Tabla10[[#This Row],[Avalúo Exento Dic-2025]]-Tabla10[[#This Row],[Avalúo Exento Dic-2024]]</f>
        <v>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 t="s">
        <v>88</v>
      </c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</row>
    <row r="21" spans="1:53" x14ac:dyDescent="0.3">
      <c r="A21" s="30" t="s">
        <v>168</v>
      </c>
      <c r="B21" s="30" t="s">
        <v>80</v>
      </c>
      <c r="C21" s="30" t="s">
        <v>1308</v>
      </c>
      <c r="D21" s="30"/>
      <c r="E21" s="42">
        <v>3</v>
      </c>
      <c r="F21" s="31"/>
      <c r="G21" s="31"/>
      <c r="H21" s="31"/>
      <c r="I21" s="31"/>
      <c r="J21" s="101">
        <v>1843380</v>
      </c>
      <c r="K21" s="101">
        <v>0</v>
      </c>
      <c r="L21" s="101">
        <v>1843380</v>
      </c>
      <c r="M21" s="101">
        <v>1882090</v>
      </c>
      <c r="N21" s="101"/>
      <c r="O21" s="101">
        <v>1882090</v>
      </c>
      <c r="P21" s="31"/>
      <c r="Q21" s="31"/>
      <c r="R21" s="31" t="s">
        <v>1309</v>
      </c>
      <c r="S21" s="31" t="s">
        <v>1269</v>
      </c>
      <c r="T21" s="31" t="s">
        <v>77</v>
      </c>
      <c r="U21" s="31" t="s">
        <v>1291</v>
      </c>
      <c r="V21" s="31"/>
      <c r="W21" s="84">
        <f>Tabla10[[#This Row],[Avalúo Total 2025]]-Tabla10[[#This Row],[Avalúo Diciembre 2024]]</f>
        <v>38710</v>
      </c>
      <c r="X21" s="84">
        <f>Tabla10[[#This Row],[Avalúo Afecto Dic-2025]]-Tabla10[[#This Row],[Avalúo Afecto Dic-2024]]</f>
        <v>38710</v>
      </c>
      <c r="Y21" s="84">
        <f>Tabla10[[#This Row],[Avalúo Exento Dic-2025]]-Tabla10[[#This Row],[Avalúo Exento Dic-2024]]</f>
        <v>0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 t="s">
        <v>88</v>
      </c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</row>
    <row r="22" spans="1:53" x14ac:dyDescent="0.3">
      <c r="A22" s="30" t="s">
        <v>168</v>
      </c>
      <c r="B22" s="30" t="s">
        <v>80</v>
      </c>
      <c r="C22" s="30" t="s">
        <v>1310</v>
      </c>
      <c r="D22" s="30"/>
      <c r="E22" s="42">
        <v>4</v>
      </c>
      <c r="F22" s="31"/>
      <c r="G22" s="31"/>
      <c r="H22" s="31"/>
      <c r="I22" s="31"/>
      <c r="J22" s="101">
        <v>2423581</v>
      </c>
      <c r="K22" s="101">
        <v>0</v>
      </c>
      <c r="L22" s="101">
        <v>2423581</v>
      </c>
      <c r="M22" s="101">
        <v>2474475</v>
      </c>
      <c r="N22" s="101"/>
      <c r="O22" s="101">
        <v>2474475</v>
      </c>
      <c r="P22" s="31"/>
      <c r="Q22" s="31"/>
      <c r="R22" s="31" t="s">
        <v>1311</v>
      </c>
      <c r="S22" s="31" t="s">
        <v>1269</v>
      </c>
      <c r="T22" s="31" t="s">
        <v>77</v>
      </c>
      <c r="U22" s="31" t="s">
        <v>1291</v>
      </c>
      <c r="V22" s="31"/>
      <c r="W22" s="84">
        <f>Tabla10[[#This Row],[Avalúo Total 2025]]-Tabla10[[#This Row],[Avalúo Diciembre 2024]]</f>
        <v>50894</v>
      </c>
      <c r="X22" s="84">
        <f>Tabla10[[#This Row],[Avalúo Afecto Dic-2025]]-Tabla10[[#This Row],[Avalúo Afecto Dic-2024]]</f>
        <v>50894</v>
      </c>
      <c r="Y22" s="84">
        <f>Tabla10[[#This Row],[Avalúo Exento Dic-2025]]-Tabla10[[#This Row],[Avalúo Exento Dic-2024]]</f>
        <v>0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 t="s">
        <v>88</v>
      </c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</row>
    <row r="23" spans="1:53" x14ac:dyDescent="0.3">
      <c r="A23" s="30" t="s">
        <v>168</v>
      </c>
      <c r="B23" s="30" t="s">
        <v>80</v>
      </c>
      <c r="C23" s="30" t="s">
        <v>1312</v>
      </c>
      <c r="D23" s="30"/>
      <c r="E23" s="42">
        <v>3</v>
      </c>
      <c r="F23" s="31"/>
      <c r="G23" s="31"/>
      <c r="H23" s="31"/>
      <c r="I23" s="31"/>
      <c r="J23" s="101">
        <v>1916794</v>
      </c>
      <c r="K23" s="101">
        <v>0</v>
      </c>
      <c r="L23" s="101">
        <v>1916794</v>
      </c>
      <c r="M23" s="101">
        <v>1957046</v>
      </c>
      <c r="N23" s="101"/>
      <c r="O23" s="101">
        <v>1957046</v>
      </c>
      <c r="P23" s="31"/>
      <c r="Q23" s="31"/>
      <c r="R23" s="31" t="s">
        <v>1313</v>
      </c>
      <c r="S23" s="31" t="s">
        <v>1269</v>
      </c>
      <c r="T23" s="31" t="s">
        <v>77</v>
      </c>
      <c r="U23" s="31" t="s">
        <v>1291</v>
      </c>
      <c r="V23" s="31"/>
      <c r="W23" s="84">
        <f>Tabla10[[#This Row],[Avalúo Total 2025]]-Tabla10[[#This Row],[Avalúo Diciembre 2024]]</f>
        <v>40252</v>
      </c>
      <c r="X23" s="84">
        <f>Tabla10[[#This Row],[Avalúo Afecto Dic-2025]]-Tabla10[[#This Row],[Avalúo Afecto Dic-2024]]</f>
        <v>40252</v>
      </c>
      <c r="Y23" s="84">
        <f>Tabla10[[#This Row],[Avalúo Exento Dic-2025]]-Tabla10[[#This Row],[Avalúo Exento Dic-2024]]</f>
        <v>0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 t="s">
        <v>88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</row>
    <row r="24" spans="1:53" x14ac:dyDescent="0.3">
      <c r="A24" s="30" t="s">
        <v>168</v>
      </c>
      <c r="B24" s="30" t="s">
        <v>80</v>
      </c>
      <c r="C24" s="30" t="s">
        <v>1314</v>
      </c>
      <c r="D24" s="30"/>
      <c r="E24" s="42">
        <v>4</v>
      </c>
      <c r="F24" s="31"/>
      <c r="G24" s="31"/>
      <c r="H24" s="31"/>
      <c r="I24" s="31"/>
      <c r="J24" s="101">
        <v>1517432</v>
      </c>
      <c r="K24" s="101">
        <v>0</v>
      </c>
      <c r="L24" s="101">
        <v>1517432</v>
      </c>
      <c r="M24" s="101">
        <v>1549297</v>
      </c>
      <c r="N24" s="101"/>
      <c r="O24" s="101">
        <v>1549297</v>
      </c>
      <c r="P24" s="31"/>
      <c r="Q24" s="31"/>
      <c r="R24" s="31" t="s">
        <v>1315</v>
      </c>
      <c r="S24" s="31" t="s">
        <v>1269</v>
      </c>
      <c r="T24" s="31" t="s">
        <v>77</v>
      </c>
      <c r="U24" s="31" t="s">
        <v>1291</v>
      </c>
      <c r="V24" s="31"/>
      <c r="W24" s="84">
        <f>Tabla10[[#This Row],[Avalúo Total 2025]]-Tabla10[[#This Row],[Avalúo Diciembre 2024]]</f>
        <v>31865</v>
      </c>
      <c r="X24" s="84">
        <f>Tabla10[[#This Row],[Avalúo Afecto Dic-2025]]-Tabla10[[#This Row],[Avalúo Afecto Dic-2024]]</f>
        <v>31865</v>
      </c>
      <c r="Y24" s="84">
        <f>Tabla10[[#This Row],[Avalúo Exento Dic-2025]]-Tabla10[[#This Row],[Avalúo Exento Dic-2024]]</f>
        <v>0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 t="s">
        <v>88</v>
      </c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</row>
    <row r="25" spans="1:53" x14ac:dyDescent="0.3">
      <c r="A25" s="30" t="s">
        <v>168</v>
      </c>
      <c r="B25" s="30" t="s">
        <v>80</v>
      </c>
      <c r="C25" s="30" t="s">
        <v>1316</v>
      </c>
      <c r="D25" s="30"/>
      <c r="E25" s="42">
        <v>4</v>
      </c>
      <c r="F25" s="31"/>
      <c r="G25" s="31"/>
      <c r="H25" s="31"/>
      <c r="I25" s="31"/>
      <c r="J25" s="101">
        <v>1517432</v>
      </c>
      <c r="K25" s="101">
        <v>0</v>
      </c>
      <c r="L25" s="101">
        <v>1517432</v>
      </c>
      <c r="M25" s="101">
        <v>1549297</v>
      </c>
      <c r="N25" s="101"/>
      <c r="O25" s="101">
        <v>1549297</v>
      </c>
      <c r="P25" s="31"/>
      <c r="Q25" s="31"/>
      <c r="R25" s="31" t="s">
        <v>1317</v>
      </c>
      <c r="S25" s="31" t="s">
        <v>1269</v>
      </c>
      <c r="T25" s="31" t="s">
        <v>77</v>
      </c>
      <c r="U25" s="31" t="s">
        <v>1291</v>
      </c>
      <c r="V25" s="31"/>
      <c r="W25" s="84">
        <f>Tabla10[[#This Row],[Avalúo Total 2025]]-Tabla10[[#This Row],[Avalúo Diciembre 2024]]</f>
        <v>31865</v>
      </c>
      <c r="X25" s="84">
        <f>Tabla10[[#This Row],[Avalúo Afecto Dic-2025]]-Tabla10[[#This Row],[Avalúo Afecto Dic-2024]]</f>
        <v>31865</v>
      </c>
      <c r="Y25" s="84">
        <f>Tabla10[[#This Row],[Avalúo Exento Dic-2025]]-Tabla10[[#This Row],[Avalúo Exento Dic-2024]]</f>
        <v>0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 t="s">
        <v>88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</row>
    <row r="26" spans="1:53" x14ac:dyDescent="0.3">
      <c r="A26" s="30" t="s">
        <v>168</v>
      </c>
      <c r="B26" s="30" t="s">
        <v>80</v>
      </c>
      <c r="C26" s="30" t="s">
        <v>1318</v>
      </c>
      <c r="D26" s="30"/>
      <c r="E26" s="42">
        <v>3</v>
      </c>
      <c r="F26" s="31"/>
      <c r="G26" s="31"/>
      <c r="H26" s="31"/>
      <c r="I26" s="31"/>
      <c r="J26" s="101">
        <v>1132567</v>
      </c>
      <c r="K26" s="101">
        <v>0</v>
      </c>
      <c r="L26" s="101">
        <v>1132567</v>
      </c>
      <c r="M26" s="101">
        <v>1156351</v>
      </c>
      <c r="N26" s="101"/>
      <c r="O26" s="101">
        <v>1156351</v>
      </c>
      <c r="P26" s="31"/>
      <c r="Q26" s="31"/>
      <c r="R26" s="31" t="s">
        <v>1319</v>
      </c>
      <c r="S26" s="31" t="s">
        <v>1269</v>
      </c>
      <c r="T26" s="31" t="s">
        <v>77</v>
      </c>
      <c r="U26" s="31" t="s">
        <v>1291</v>
      </c>
      <c r="V26" s="31"/>
      <c r="W26" s="84">
        <f>Tabla10[[#This Row],[Avalúo Total 2025]]-Tabla10[[#This Row],[Avalúo Diciembre 2024]]</f>
        <v>23784</v>
      </c>
      <c r="X26" s="84">
        <f>Tabla10[[#This Row],[Avalúo Afecto Dic-2025]]-Tabla10[[#This Row],[Avalúo Afecto Dic-2024]]</f>
        <v>23784</v>
      </c>
      <c r="Y26" s="84">
        <f>Tabla10[[#This Row],[Avalúo Exento Dic-2025]]-Tabla10[[#This Row],[Avalúo Exento Dic-2024]]</f>
        <v>0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 t="s">
        <v>88</v>
      </c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spans="1:53" x14ac:dyDescent="0.3">
      <c r="A27" s="30" t="s">
        <v>168</v>
      </c>
      <c r="B27" s="30" t="s">
        <v>80</v>
      </c>
      <c r="C27" s="30" t="s">
        <v>1320</v>
      </c>
      <c r="D27" s="30"/>
      <c r="E27" s="42">
        <v>3</v>
      </c>
      <c r="F27" s="31"/>
      <c r="G27" s="31"/>
      <c r="H27" s="31"/>
      <c r="I27" s="31"/>
      <c r="J27" s="101">
        <v>1095860</v>
      </c>
      <c r="K27" s="101">
        <v>0</v>
      </c>
      <c r="L27" s="101">
        <v>1095860</v>
      </c>
      <c r="M27" s="101">
        <v>1118872</v>
      </c>
      <c r="N27" s="101"/>
      <c r="O27" s="101">
        <v>1118872</v>
      </c>
      <c r="P27" s="31"/>
      <c r="Q27" s="31"/>
      <c r="R27" s="31" t="s">
        <v>1321</v>
      </c>
      <c r="S27" s="31" t="s">
        <v>1269</v>
      </c>
      <c r="T27" s="31" t="s">
        <v>77</v>
      </c>
      <c r="U27" s="31" t="s">
        <v>1291</v>
      </c>
      <c r="V27" s="31"/>
      <c r="W27" s="84">
        <f>Tabla10[[#This Row],[Avalúo Total 2025]]-Tabla10[[#This Row],[Avalúo Diciembre 2024]]</f>
        <v>23012</v>
      </c>
      <c r="X27" s="84">
        <f>Tabla10[[#This Row],[Avalúo Afecto Dic-2025]]-Tabla10[[#This Row],[Avalúo Afecto Dic-2024]]</f>
        <v>23012</v>
      </c>
      <c r="Y27" s="84">
        <f>Tabla10[[#This Row],[Avalúo Exento Dic-2025]]-Tabla10[[#This Row],[Avalúo Exento Dic-2024]]</f>
        <v>0</v>
      </c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 t="s">
        <v>88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</row>
    <row r="28" spans="1:53" x14ac:dyDescent="0.3">
      <c r="A28" s="30" t="s">
        <v>168</v>
      </c>
      <c r="B28" s="30" t="s">
        <v>80</v>
      </c>
      <c r="C28" s="30" t="s">
        <v>1322</v>
      </c>
      <c r="D28" s="30"/>
      <c r="E28" s="42">
        <v>3</v>
      </c>
      <c r="F28" s="31"/>
      <c r="G28" s="31"/>
      <c r="H28" s="31"/>
      <c r="I28" s="31"/>
      <c r="J28" s="101">
        <v>1147249</v>
      </c>
      <c r="K28" s="101">
        <v>0</v>
      </c>
      <c r="L28" s="101">
        <v>1147249</v>
      </c>
      <c r="M28" s="101">
        <v>1171341</v>
      </c>
      <c r="N28" s="101"/>
      <c r="O28" s="101">
        <v>1171341</v>
      </c>
      <c r="P28" s="31"/>
      <c r="Q28" s="31"/>
      <c r="R28" s="31" t="s">
        <v>1323</v>
      </c>
      <c r="S28" s="31" t="s">
        <v>1269</v>
      </c>
      <c r="T28" s="31" t="s">
        <v>77</v>
      </c>
      <c r="U28" s="31" t="s">
        <v>1291</v>
      </c>
      <c r="V28" s="31"/>
      <c r="W28" s="84">
        <f>Tabla10[[#This Row],[Avalúo Total 2025]]-Tabla10[[#This Row],[Avalúo Diciembre 2024]]</f>
        <v>24092</v>
      </c>
      <c r="X28" s="84">
        <f>Tabla10[[#This Row],[Avalúo Afecto Dic-2025]]-Tabla10[[#This Row],[Avalúo Afecto Dic-2024]]</f>
        <v>24092</v>
      </c>
      <c r="Y28" s="84">
        <f>Tabla10[[#This Row],[Avalúo Exento Dic-2025]]-Tabla10[[#This Row],[Avalúo Exento Dic-2024]]</f>
        <v>0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 t="s">
        <v>88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</row>
    <row r="29" spans="1:53" x14ac:dyDescent="0.3">
      <c r="A29" s="30" t="s">
        <v>168</v>
      </c>
      <c r="B29" s="30" t="s">
        <v>80</v>
      </c>
      <c r="C29" s="30" t="s">
        <v>1324</v>
      </c>
      <c r="D29" s="30"/>
      <c r="E29" s="42">
        <v>3</v>
      </c>
      <c r="F29" s="31"/>
      <c r="G29" s="31"/>
      <c r="H29" s="31"/>
      <c r="I29" s="31"/>
      <c r="J29" s="101">
        <v>1220665</v>
      </c>
      <c r="K29" s="101">
        <v>0</v>
      </c>
      <c r="L29" s="101">
        <v>1220665</v>
      </c>
      <c r="M29" s="101">
        <v>1246298</v>
      </c>
      <c r="N29" s="101"/>
      <c r="O29" s="101">
        <v>1246298</v>
      </c>
      <c r="P29" s="31"/>
      <c r="Q29" s="31"/>
      <c r="R29" s="31" t="s">
        <v>1325</v>
      </c>
      <c r="S29" s="31" t="s">
        <v>1269</v>
      </c>
      <c r="T29" s="31" t="s">
        <v>77</v>
      </c>
      <c r="U29" s="31" t="s">
        <v>1291</v>
      </c>
      <c r="V29" s="31"/>
      <c r="W29" s="84">
        <f>Tabla10[[#This Row],[Avalúo Total 2025]]-Tabla10[[#This Row],[Avalúo Diciembre 2024]]</f>
        <v>25633</v>
      </c>
      <c r="X29" s="84">
        <f>Tabla10[[#This Row],[Avalúo Afecto Dic-2025]]-Tabla10[[#This Row],[Avalúo Afecto Dic-2024]]</f>
        <v>25633</v>
      </c>
      <c r="Y29" s="84">
        <f>Tabla10[[#This Row],[Avalúo Exento Dic-2025]]-Tabla10[[#This Row],[Avalúo Exento Dic-2024]]</f>
        <v>0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 t="s">
        <v>88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</row>
    <row r="30" spans="1:53" x14ac:dyDescent="0.3">
      <c r="A30" s="30" t="s">
        <v>168</v>
      </c>
      <c r="B30" s="30" t="s">
        <v>80</v>
      </c>
      <c r="C30" s="30" t="s">
        <v>1326</v>
      </c>
      <c r="D30" s="30"/>
      <c r="E30" s="42">
        <v>4</v>
      </c>
      <c r="F30" s="31"/>
      <c r="G30" s="31"/>
      <c r="H30" s="31"/>
      <c r="I30" s="31"/>
      <c r="J30" s="101">
        <v>1539455</v>
      </c>
      <c r="K30" s="101">
        <v>0</v>
      </c>
      <c r="L30" s="101">
        <v>1539455</v>
      </c>
      <c r="M30" s="101">
        <v>1571783</v>
      </c>
      <c r="N30" s="101"/>
      <c r="O30" s="101">
        <v>1571783</v>
      </c>
      <c r="P30" s="31"/>
      <c r="Q30" s="31"/>
      <c r="R30" s="31" t="s">
        <v>1327</v>
      </c>
      <c r="S30" s="31" t="s">
        <v>1269</v>
      </c>
      <c r="T30" s="31" t="s">
        <v>77</v>
      </c>
      <c r="U30" s="31" t="s">
        <v>1291</v>
      </c>
      <c r="V30" s="31"/>
      <c r="W30" s="84">
        <f>Tabla10[[#This Row],[Avalúo Total 2025]]-Tabla10[[#This Row],[Avalúo Diciembre 2024]]</f>
        <v>32328</v>
      </c>
      <c r="X30" s="84">
        <f>Tabla10[[#This Row],[Avalúo Afecto Dic-2025]]-Tabla10[[#This Row],[Avalúo Afecto Dic-2024]]</f>
        <v>32328</v>
      </c>
      <c r="Y30" s="84">
        <f>Tabla10[[#This Row],[Avalúo Exento Dic-2025]]-Tabla10[[#This Row],[Avalúo Exento Dic-2024]]</f>
        <v>0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 t="s">
        <v>88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</row>
    <row r="31" spans="1:53" x14ac:dyDescent="0.3">
      <c r="A31" s="30" t="s">
        <v>168</v>
      </c>
      <c r="B31" s="30" t="s">
        <v>80</v>
      </c>
      <c r="C31" s="30" t="s">
        <v>1328</v>
      </c>
      <c r="D31" s="30"/>
      <c r="E31" s="42">
        <v>9</v>
      </c>
      <c r="F31" s="31"/>
      <c r="G31" s="31"/>
      <c r="H31" s="31"/>
      <c r="I31" s="31"/>
      <c r="J31" s="101">
        <v>2588486</v>
      </c>
      <c r="K31" s="101">
        <v>0</v>
      </c>
      <c r="L31" s="101">
        <v>2588486</v>
      </c>
      <c r="M31" s="101">
        <v>2642843</v>
      </c>
      <c r="N31" s="101"/>
      <c r="O31" s="101">
        <v>2642843</v>
      </c>
      <c r="P31" s="31"/>
      <c r="Q31" s="31"/>
      <c r="R31" s="31" t="s">
        <v>1329</v>
      </c>
      <c r="S31" s="31" t="s">
        <v>1269</v>
      </c>
      <c r="T31" s="31" t="s">
        <v>77</v>
      </c>
      <c r="U31" s="31" t="s">
        <v>1330</v>
      </c>
      <c r="V31" s="31"/>
      <c r="W31" s="84">
        <f>Tabla10[[#This Row],[Avalúo Total 2025]]-Tabla10[[#This Row],[Avalúo Diciembre 2024]]</f>
        <v>54357</v>
      </c>
      <c r="X31" s="84">
        <f>Tabla10[[#This Row],[Avalúo Afecto Dic-2025]]-Tabla10[[#This Row],[Avalúo Afecto Dic-2024]]</f>
        <v>54357</v>
      </c>
      <c r="Y31" s="84">
        <f>Tabla10[[#This Row],[Avalúo Exento Dic-2025]]-Tabla10[[#This Row],[Avalúo Exento Dic-2024]]</f>
        <v>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 t="s">
        <v>88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</row>
    <row r="32" spans="1:53" x14ac:dyDescent="0.3">
      <c r="A32" s="30" t="s">
        <v>168</v>
      </c>
      <c r="B32" s="30" t="s">
        <v>80</v>
      </c>
      <c r="C32" s="30" t="s">
        <v>1331</v>
      </c>
      <c r="D32" s="30"/>
      <c r="E32" s="42">
        <v>7</v>
      </c>
      <c r="F32" s="31"/>
      <c r="G32" s="31"/>
      <c r="H32" s="31"/>
      <c r="I32" s="31"/>
      <c r="J32" s="101">
        <v>1974079</v>
      </c>
      <c r="K32" s="101">
        <v>0</v>
      </c>
      <c r="L32" s="101">
        <v>1974079</v>
      </c>
      <c r="M32" s="101">
        <v>2015534</v>
      </c>
      <c r="N32" s="101"/>
      <c r="O32" s="101">
        <v>2015534</v>
      </c>
      <c r="P32" s="31"/>
      <c r="Q32" s="31"/>
      <c r="R32" s="31" t="s">
        <v>1332</v>
      </c>
      <c r="S32" s="31" t="s">
        <v>1269</v>
      </c>
      <c r="T32" s="31" t="s">
        <v>77</v>
      </c>
      <c r="U32" s="31" t="s">
        <v>1330</v>
      </c>
      <c r="V32" s="31"/>
      <c r="W32" s="84">
        <f>Tabla10[[#This Row],[Avalúo Total 2025]]-Tabla10[[#This Row],[Avalúo Diciembre 2024]]</f>
        <v>41455</v>
      </c>
      <c r="X32" s="84">
        <f>Tabla10[[#This Row],[Avalúo Afecto Dic-2025]]-Tabla10[[#This Row],[Avalúo Afecto Dic-2024]]</f>
        <v>41455</v>
      </c>
      <c r="Y32" s="84">
        <f>Tabla10[[#This Row],[Avalúo Exento Dic-2025]]-Tabla10[[#This Row],[Avalúo Exento Dic-2024]]</f>
        <v>0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 t="s">
        <v>88</v>
      </c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</row>
    <row r="33" spans="1:53" x14ac:dyDescent="0.3">
      <c r="A33" s="30" t="s">
        <v>168</v>
      </c>
      <c r="B33" s="30" t="s">
        <v>80</v>
      </c>
      <c r="C33" s="30" t="s">
        <v>1333</v>
      </c>
      <c r="D33" s="30"/>
      <c r="E33" s="42">
        <v>6</v>
      </c>
      <c r="F33" s="31"/>
      <c r="G33" s="31"/>
      <c r="H33" s="31"/>
      <c r="I33" s="31"/>
      <c r="J33" s="101">
        <v>1716479</v>
      </c>
      <c r="K33" s="101">
        <v>0</v>
      </c>
      <c r="L33" s="101">
        <v>1716479</v>
      </c>
      <c r="M33" s="101">
        <v>1752525</v>
      </c>
      <c r="N33" s="101"/>
      <c r="O33" s="101">
        <v>1752525</v>
      </c>
      <c r="P33" s="31"/>
      <c r="Q33" s="31"/>
      <c r="R33" s="31" t="s">
        <v>1334</v>
      </c>
      <c r="S33" s="31" t="s">
        <v>1269</v>
      </c>
      <c r="T33" s="31" t="s">
        <v>77</v>
      </c>
      <c r="U33" s="31" t="s">
        <v>1330</v>
      </c>
      <c r="V33" s="31"/>
      <c r="W33" s="84">
        <f>Tabla10[[#This Row],[Avalúo Total 2025]]-Tabla10[[#This Row],[Avalúo Diciembre 2024]]</f>
        <v>36046</v>
      </c>
      <c r="X33" s="84">
        <f>Tabla10[[#This Row],[Avalúo Afecto Dic-2025]]-Tabla10[[#This Row],[Avalúo Afecto Dic-2024]]</f>
        <v>36046</v>
      </c>
      <c r="Y33" s="84">
        <f>Tabla10[[#This Row],[Avalúo Exento Dic-2025]]-Tabla10[[#This Row],[Avalúo Exento Dic-2024]]</f>
        <v>0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 t="s">
        <v>88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</row>
    <row r="34" spans="1:53" x14ac:dyDescent="0.3">
      <c r="A34" s="30" t="s">
        <v>168</v>
      </c>
      <c r="B34" s="30" t="s">
        <v>80</v>
      </c>
      <c r="C34" s="30" t="s">
        <v>1335</v>
      </c>
      <c r="D34" s="30"/>
      <c r="E34" s="42">
        <v>6</v>
      </c>
      <c r="F34" s="31"/>
      <c r="G34" s="31"/>
      <c r="H34" s="31"/>
      <c r="I34" s="31"/>
      <c r="J34" s="101">
        <v>1716479</v>
      </c>
      <c r="K34" s="101">
        <v>0</v>
      </c>
      <c r="L34" s="101">
        <v>1716479</v>
      </c>
      <c r="M34" s="101">
        <v>1752525</v>
      </c>
      <c r="N34" s="101"/>
      <c r="O34" s="101">
        <v>1752525</v>
      </c>
      <c r="P34" s="31"/>
      <c r="Q34" s="31"/>
      <c r="R34" s="31" t="s">
        <v>1336</v>
      </c>
      <c r="S34" s="31" t="s">
        <v>1269</v>
      </c>
      <c r="T34" s="31" t="s">
        <v>77</v>
      </c>
      <c r="U34" s="31" t="s">
        <v>1330</v>
      </c>
      <c r="V34" s="31"/>
      <c r="W34" s="84">
        <f>Tabla10[[#This Row],[Avalúo Total 2025]]-Tabla10[[#This Row],[Avalúo Diciembre 2024]]</f>
        <v>36046</v>
      </c>
      <c r="X34" s="84">
        <f>Tabla10[[#This Row],[Avalúo Afecto Dic-2025]]-Tabla10[[#This Row],[Avalúo Afecto Dic-2024]]</f>
        <v>36046</v>
      </c>
      <c r="Y34" s="84">
        <f>Tabla10[[#This Row],[Avalúo Exento Dic-2025]]-Tabla10[[#This Row],[Avalúo Exento Dic-2024]]</f>
        <v>0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 t="s">
        <v>88</v>
      </c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</row>
    <row r="35" spans="1:53" x14ac:dyDescent="0.3">
      <c r="A35" s="30" t="s">
        <v>168</v>
      </c>
      <c r="B35" s="30" t="s">
        <v>80</v>
      </c>
      <c r="C35" s="30" t="s">
        <v>1337</v>
      </c>
      <c r="D35" s="30"/>
      <c r="E35" s="42">
        <v>6</v>
      </c>
      <c r="F35" s="31"/>
      <c r="G35" s="31"/>
      <c r="H35" s="31"/>
      <c r="I35" s="31"/>
      <c r="J35" s="101">
        <v>1716479</v>
      </c>
      <c r="K35" s="101">
        <v>0</v>
      </c>
      <c r="L35" s="101">
        <v>1716479</v>
      </c>
      <c r="M35" s="101">
        <v>1752525</v>
      </c>
      <c r="N35" s="101"/>
      <c r="O35" s="101">
        <v>1752525</v>
      </c>
      <c r="P35" s="31"/>
      <c r="Q35" s="31"/>
      <c r="R35" s="31" t="s">
        <v>1338</v>
      </c>
      <c r="S35" s="31" t="s">
        <v>1269</v>
      </c>
      <c r="T35" s="31" t="s">
        <v>77</v>
      </c>
      <c r="U35" s="31" t="s">
        <v>1330</v>
      </c>
      <c r="V35" s="31"/>
      <c r="W35" s="84">
        <f>Tabla10[[#This Row],[Avalúo Total 2025]]-Tabla10[[#This Row],[Avalúo Diciembre 2024]]</f>
        <v>36046</v>
      </c>
      <c r="X35" s="84">
        <f>Tabla10[[#This Row],[Avalúo Afecto Dic-2025]]-Tabla10[[#This Row],[Avalúo Afecto Dic-2024]]</f>
        <v>36046</v>
      </c>
      <c r="Y35" s="84">
        <f>Tabla10[[#This Row],[Avalúo Exento Dic-2025]]-Tabla10[[#This Row],[Avalúo Exento Dic-2024]]</f>
        <v>0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 t="s">
        <v>88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</row>
    <row r="36" spans="1:53" x14ac:dyDescent="0.3">
      <c r="A36" s="30" t="s">
        <v>168</v>
      </c>
      <c r="B36" s="30" t="s">
        <v>80</v>
      </c>
      <c r="C36" s="30" t="s">
        <v>1339</v>
      </c>
      <c r="D36" s="30"/>
      <c r="E36" s="42">
        <v>6</v>
      </c>
      <c r="F36" s="31"/>
      <c r="G36" s="31"/>
      <c r="H36" s="31"/>
      <c r="I36" s="31"/>
      <c r="J36" s="101">
        <v>1716479</v>
      </c>
      <c r="K36" s="101">
        <v>0</v>
      </c>
      <c r="L36" s="101">
        <v>1716479</v>
      </c>
      <c r="M36" s="101">
        <v>1752525</v>
      </c>
      <c r="N36" s="101"/>
      <c r="O36" s="101">
        <v>1752525</v>
      </c>
      <c r="P36" s="31"/>
      <c r="Q36" s="31"/>
      <c r="R36" s="31" t="s">
        <v>1340</v>
      </c>
      <c r="S36" s="31" t="s">
        <v>1269</v>
      </c>
      <c r="T36" s="31" t="s">
        <v>77</v>
      </c>
      <c r="U36" s="31" t="s">
        <v>1330</v>
      </c>
      <c r="V36" s="31"/>
      <c r="W36" s="84">
        <f>Tabla10[[#This Row],[Avalúo Total 2025]]-Tabla10[[#This Row],[Avalúo Diciembre 2024]]</f>
        <v>36046</v>
      </c>
      <c r="X36" s="84">
        <f>Tabla10[[#This Row],[Avalúo Afecto Dic-2025]]-Tabla10[[#This Row],[Avalúo Afecto Dic-2024]]</f>
        <v>36046</v>
      </c>
      <c r="Y36" s="84">
        <f>Tabla10[[#This Row],[Avalúo Exento Dic-2025]]-Tabla10[[#This Row],[Avalúo Exento Dic-2024]]</f>
        <v>0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 t="s">
        <v>88</v>
      </c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spans="1:53" x14ac:dyDescent="0.3">
      <c r="A37" s="30" t="s">
        <v>168</v>
      </c>
      <c r="B37" s="30" t="s">
        <v>80</v>
      </c>
      <c r="C37" s="30" t="s">
        <v>1341</v>
      </c>
      <c r="D37" s="30"/>
      <c r="E37" s="42">
        <v>7</v>
      </c>
      <c r="F37" s="31"/>
      <c r="G37" s="31"/>
      <c r="H37" s="31"/>
      <c r="I37" s="31"/>
      <c r="J37" s="101">
        <v>1974079</v>
      </c>
      <c r="K37" s="101">
        <v>0</v>
      </c>
      <c r="L37" s="101">
        <v>1974079</v>
      </c>
      <c r="M37" s="101">
        <v>2015534</v>
      </c>
      <c r="N37" s="101"/>
      <c r="O37" s="101">
        <v>2015534</v>
      </c>
      <c r="P37" s="31"/>
      <c r="Q37" s="31"/>
      <c r="R37" s="31" t="s">
        <v>1342</v>
      </c>
      <c r="S37" s="31" t="s">
        <v>1269</v>
      </c>
      <c r="T37" s="31" t="s">
        <v>77</v>
      </c>
      <c r="U37" s="31" t="s">
        <v>1330</v>
      </c>
      <c r="V37" s="31"/>
      <c r="W37" s="84">
        <f>Tabla10[[#This Row],[Avalúo Total 2025]]-Tabla10[[#This Row],[Avalúo Diciembre 2024]]</f>
        <v>41455</v>
      </c>
      <c r="X37" s="84">
        <f>Tabla10[[#This Row],[Avalúo Afecto Dic-2025]]-Tabla10[[#This Row],[Avalúo Afecto Dic-2024]]</f>
        <v>41455</v>
      </c>
      <c r="Y37" s="84">
        <f>Tabla10[[#This Row],[Avalúo Exento Dic-2025]]-Tabla10[[#This Row],[Avalúo Exento Dic-2024]]</f>
        <v>0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 t="s">
        <v>88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</row>
    <row r="38" spans="1:53" x14ac:dyDescent="0.3">
      <c r="A38" s="30" t="s">
        <v>168</v>
      </c>
      <c r="B38" s="30" t="s">
        <v>80</v>
      </c>
      <c r="C38" s="30" t="s">
        <v>1343</v>
      </c>
      <c r="D38" s="30"/>
      <c r="E38" s="42">
        <v>13</v>
      </c>
      <c r="F38" s="31"/>
      <c r="G38" s="31"/>
      <c r="H38" s="31"/>
      <c r="I38" s="31"/>
      <c r="J38" s="101">
        <v>12160425</v>
      </c>
      <c r="K38" s="101">
        <v>0</v>
      </c>
      <c r="L38" s="101">
        <v>12160425</v>
      </c>
      <c r="M38" s="101">
        <v>12415790</v>
      </c>
      <c r="N38" s="101"/>
      <c r="O38" s="101">
        <v>12415790</v>
      </c>
      <c r="P38" s="31"/>
      <c r="Q38" s="31"/>
      <c r="R38" s="31" t="s">
        <v>1344</v>
      </c>
      <c r="S38" s="31" t="s">
        <v>1269</v>
      </c>
      <c r="T38" s="31" t="s">
        <v>77</v>
      </c>
      <c r="U38" s="31" t="s">
        <v>1330</v>
      </c>
      <c r="V38" s="31"/>
      <c r="W38" s="84">
        <f>Tabla10[[#This Row],[Avalúo Total 2025]]-Tabla10[[#This Row],[Avalúo Diciembre 2024]]</f>
        <v>255365</v>
      </c>
      <c r="X38" s="84">
        <f>Tabla10[[#This Row],[Avalúo Afecto Dic-2025]]-Tabla10[[#This Row],[Avalúo Afecto Dic-2024]]</f>
        <v>255365</v>
      </c>
      <c r="Y38" s="84">
        <f>Tabla10[[#This Row],[Avalúo Exento Dic-2025]]-Tabla10[[#This Row],[Avalúo Exento Dic-2024]]</f>
        <v>0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 t="s">
        <v>88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</row>
    <row r="39" spans="1:53" x14ac:dyDescent="0.3">
      <c r="A39" s="30" t="s">
        <v>168</v>
      </c>
      <c r="B39" s="30" t="s">
        <v>80</v>
      </c>
      <c r="C39" s="30" t="s">
        <v>1345</v>
      </c>
      <c r="D39" s="30"/>
      <c r="E39" s="42">
        <v>13</v>
      </c>
      <c r="F39" s="31"/>
      <c r="G39" s="31"/>
      <c r="H39" s="31"/>
      <c r="I39" s="31"/>
      <c r="J39" s="101">
        <v>12160425</v>
      </c>
      <c r="K39" s="101">
        <v>0</v>
      </c>
      <c r="L39" s="101">
        <v>12160425</v>
      </c>
      <c r="M39" s="101">
        <v>12415790</v>
      </c>
      <c r="N39" s="101"/>
      <c r="O39" s="101">
        <v>12415790</v>
      </c>
      <c r="P39" s="31"/>
      <c r="Q39" s="31"/>
      <c r="R39" s="31" t="s">
        <v>1346</v>
      </c>
      <c r="S39" s="31" t="s">
        <v>1269</v>
      </c>
      <c r="T39" s="31" t="s">
        <v>77</v>
      </c>
      <c r="U39" s="31" t="s">
        <v>1330</v>
      </c>
      <c r="V39" s="31"/>
      <c r="W39" s="84">
        <f>Tabla10[[#This Row],[Avalúo Total 2025]]-Tabla10[[#This Row],[Avalúo Diciembre 2024]]</f>
        <v>255365</v>
      </c>
      <c r="X39" s="84">
        <f>Tabla10[[#This Row],[Avalúo Afecto Dic-2025]]-Tabla10[[#This Row],[Avalúo Afecto Dic-2024]]</f>
        <v>255365</v>
      </c>
      <c r="Y39" s="84">
        <f>Tabla10[[#This Row],[Avalúo Exento Dic-2025]]-Tabla10[[#This Row],[Avalúo Exento Dic-2024]]</f>
        <v>0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 t="s">
        <v>88</v>
      </c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</row>
    <row r="40" spans="1:53" x14ac:dyDescent="0.3">
      <c r="A40" s="30" t="s">
        <v>168</v>
      </c>
      <c r="B40" s="30" t="s">
        <v>80</v>
      </c>
      <c r="C40" s="30" t="s">
        <v>1347</v>
      </c>
      <c r="D40" s="30"/>
      <c r="E40" s="42">
        <v>13</v>
      </c>
      <c r="F40" s="31"/>
      <c r="G40" s="31"/>
      <c r="H40" s="31"/>
      <c r="I40" s="31"/>
      <c r="J40" s="101">
        <v>12160425</v>
      </c>
      <c r="K40" s="101">
        <v>0</v>
      </c>
      <c r="L40" s="101">
        <v>12160425</v>
      </c>
      <c r="M40" s="101">
        <v>12415790</v>
      </c>
      <c r="N40" s="101"/>
      <c r="O40" s="101">
        <v>12415790</v>
      </c>
      <c r="P40" s="31"/>
      <c r="Q40" s="31"/>
      <c r="R40" s="31" t="s">
        <v>1348</v>
      </c>
      <c r="S40" s="31" t="s">
        <v>1269</v>
      </c>
      <c r="T40" s="31" t="s">
        <v>77</v>
      </c>
      <c r="U40" s="31" t="s">
        <v>1330</v>
      </c>
      <c r="V40" s="31"/>
      <c r="W40" s="84">
        <f>Tabla10[[#This Row],[Avalúo Total 2025]]-Tabla10[[#This Row],[Avalúo Diciembre 2024]]</f>
        <v>255365</v>
      </c>
      <c r="X40" s="84">
        <f>Tabla10[[#This Row],[Avalúo Afecto Dic-2025]]-Tabla10[[#This Row],[Avalúo Afecto Dic-2024]]</f>
        <v>255365</v>
      </c>
      <c r="Y40" s="84">
        <f>Tabla10[[#This Row],[Avalúo Exento Dic-2025]]-Tabla10[[#This Row],[Avalúo Exento Dic-2024]]</f>
        <v>0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 t="s">
        <v>88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</row>
    <row r="41" spans="1:53" x14ac:dyDescent="0.3">
      <c r="A41" s="30" t="s">
        <v>168</v>
      </c>
      <c r="B41" s="30" t="s">
        <v>80</v>
      </c>
      <c r="C41" s="30" t="s">
        <v>1349</v>
      </c>
      <c r="D41" s="30"/>
      <c r="E41" s="42">
        <v>13</v>
      </c>
      <c r="F41" s="31"/>
      <c r="G41" s="31"/>
      <c r="H41" s="31"/>
      <c r="I41" s="31"/>
      <c r="J41" s="101">
        <v>12160425</v>
      </c>
      <c r="K41" s="101">
        <v>0</v>
      </c>
      <c r="L41" s="101">
        <v>12160425</v>
      </c>
      <c r="M41" s="101">
        <v>12415790</v>
      </c>
      <c r="N41" s="101"/>
      <c r="O41" s="101">
        <v>12415790</v>
      </c>
      <c r="P41" s="31"/>
      <c r="Q41" s="31"/>
      <c r="R41" s="31" t="s">
        <v>1350</v>
      </c>
      <c r="S41" s="31" t="s">
        <v>1269</v>
      </c>
      <c r="T41" s="31" t="s">
        <v>77</v>
      </c>
      <c r="U41" s="31" t="s">
        <v>1330</v>
      </c>
      <c r="V41" s="31"/>
      <c r="W41" s="84">
        <f>Tabla10[[#This Row],[Avalúo Total 2025]]-Tabla10[[#This Row],[Avalúo Diciembre 2024]]</f>
        <v>255365</v>
      </c>
      <c r="X41" s="84">
        <f>Tabla10[[#This Row],[Avalúo Afecto Dic-2025]]-Tabla10[[#This Row],[Avalúo Afecto Dic-2024]]</f>
        <v>255365</v>
      </c>
      <c r="Y41" s="84">
        <f>Tabla10[[#This Row],[Avalúo Exento Dic-2025]]-Tabla10[[#This Row],[Avalúo Exento Dic-2024]]</f>
        <v>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 t="s">
        <v>88</v>
      </c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</row>
    <row r="42" spans="1:53" x14ac:dyDescent="0.3">
      <c r="A42" s="30" t="s">
        <v>168</v>
      </c>
      <c r="B42" s="30" t="s">
        <v>80</v>
      </c>
      <c r="C42" s="30" t="s">
        <v>1351</v>
      </c>
      <c r="D42" s="30"/>
      <c r="E42" s="42">
        <v>13</v>
      </c>
      <c r="F42" s="31"/>
      <c r="G42" s="31"/>
      <c r="H42" s="31"/>
      <c r="I42" s="31"/>
      <c r="J42" s="101">
        <v>12205438</v>
      </c>
      <c r="K42" s="101">
        <v>0</v>
      </c>
      <c r="L42" s="101">
        <v>12205438</v>
      </c>
      <c r="M42" s="101">
        <v>12461748</v>
      </c>
      <c r="N42" s="101"/>
      <c r="O42" s="101">
        <v>12461748</v>
      </c>
      <c r="P42" s="31"/>
      <c r="Q42" s="31"/>
      <c r="R42" s="31" t="s">
        <v>1352</v>
      </c>
      <c r="S42" s="31" t="s">
        <v>1269</v>
      </c>
      <c r="T42" s="31" t="s">
        <v>77</v>
      </c>
      <c r="U42" s="31" t="s">
        <v>1330</v>
      </c>
      <c r="V42" s="31"/>
      <c r="W42" s="84">
        <f>Tabla10[[#This Row],[Avalúo Total 2025]]-Tabla10[[#This Row],[Avalúo Diciembre 2024]]</f>
        <v>256310</v>
      </c>
      <c r="X42" s="84">
        <f>Tabla10[[#This Row],[Avalúo Afecto Dic-2025]]-Tabla10[[#This Row],[Avalúo Afecto Dic-2024]]</f>
        <v>256310</v>
      </c>
      <c r="Y42" s="84">
        <f>Tabla10[[#This Row],[Avalúo Exento Dic-2025]]-Tabla10[[#This Row],[Avalúo Exento Dic-2024]]</f>
        <v>0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 t="s">
        <v>88</v>
      </c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</row>
    <row r="43" spans="1:53" x14ac:dyDescent="0.3">
      <c r="A43" s="30" t="s">
        <v>168</v>
      </c>
      <c r="B43" s="30" t="s">
        <v>80</v>
      </c>
      <c r="C43" s="30" t="s">
        <v>1353</v>
      </c>
      <c r="D43" s="30"/>
      <c r="E43" s="42">
        <v>13</v>
      </c>
      <c r="F43" s="31"/>
      <c r="G43" s="31"/>
      <c r="H43" s="31"/>
      <c r="I43" s="31"/>
      <c r="J43" s="101">
        <v>12160425</v>
      </c>
      <c r="K43" s="101">
        <v>0</v>
      </c>
      <c r="L43" s="101">
        <v>12160425</v>
      </c>
      <c r="M43" s="101">
        <v>12415790</v>
      </c>
      <c r="N43" s="101"/>
      <c r="O43" s="101">
        <v>12415790</v>
      </c>
      <c r="P43" s="31"/>
      <c r="Q43" s="31"/>
      <c r="R43" s="31" t="s">
        <v>1354</v>
      </c>
      <c r="S43" s="31" t="s">
        <v>1269</v>
      </c>
      <c r="T43" s="31" t="s">
        <v>77</v>
      </c>
      <c r="U43" s="31" t="s">
        <v>1330</v>
      </c>
      <c r="V43" s="31"/>
      <c r="W43" s="84">
        <f>Tabla10[[#This Row],[Avalúo Total 2025]]-Tabla10[[#This Row],[Avalúo Diciembre 2024]]</f>
        <v>255365</v>
      </c>
      <c r="X43" s="84">
        <f>Tabla10[[#This Row],[Avalúo Afecto Dic-2025]]-Tabla10[[#This Row],[Avalúo Afecto Dic-2024]]</f>
        <v>255365</v>
      </c>
      <c r="Y43" s="84">
        <f>Tabla10[[#This Row],[Avalúo Exento Dic-2025]]-Tabla10[[#This Row],[Avalúo Exento Dic-2024]]</f>
        <v>0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 t="s">
        <v>88</v>
      </c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</row>
    <row r="44" spans="1:53" x14ac:dyDescent="0.3">
      <c r="A44" s="30" t="s">
        <v>168</v>
      </c>
      <c r="B44" s="30" t="s">
        <v>80</v>
      </c>
      <c r="C44" s="30" t="s">
        <v>1355</v>
      </c>
      <c r="D44" s="30"/>
      <c r="E44" s="42">
        <v>13</v>
      </c>
      <c r="F44" s="31"/>
      <c r="G44" s="31"/>
      <c r="H44" s="31"/>
      <c r="I44" s="31"/>
      <c r="J44" s="101">
        <v>12160425</v>
      </c>
      <c r="K44" s="101">
        <v>0</v>
      </c>
      <c r="L44" s="101">
        <v>12160425</v>
      </c>
      <c r="M44" s="101">
        <v>12415790</v>
      </c>
      <c r="N44" s="101"/>
      <c r="O44" s="101">
        <v>12415790</v>
      </c>
      <c r="P44" s="31"/>
      <c r="Q44" s="31"/>
      <c r="R44" s="31" t="s">
        <v>1356</v>
      </c>
      <c r="S44" s="31" t="s">
        <v>1269</v>
      </c>
      <c r="T44" s="31" t="s">
        <v>77</v>
      </c>
      <c r="U44" s="31" t="s">
        <v>1330</v>
      </c>
      <c r="V44" s="31"/>
      <c r="W44" s="84">
        <f>Tabla10[[#This Row],[Avalúo Total 2025]]-Tabla10[[#This Row],[Avalúo Diciembre 2024]]</f>
        <v>255365</v>
      </c>
      <c r="X44" s="84">
        <f>Tabla10[[#This Row],[Avalúo Afecto Dic-2025]]-Tabla10[[#This Row],[Avalúo Afecto Dic-2024]]</f>
        <v>255365</v>
      </c>
      <c r="Y44" s="84">
        <f>Tabla10[[#This Row],[Avalúo Exento Dic-2025]]-Tabla10[[#This Row],[Avalúo Exento Dic-2024]]</f>
        <v>0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 t="s">
        <v>88</v>
      </c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</row>
    <row r="45" spans="1:53" x14ac:dyDescent="0.3">
      <c r="A45" s="30" t="s">
        <v>168</v>
      </c>
      <c r="B45" s="30" t="s">
        <v>80</v>
      </c>
      <c r="C45" s="30" t="s">
        <v>1357</v>
      </c>
      <c r="D45" s="30"/>
      <c r="E45" s="42">
        <v>13</v>
      </c>
      <c r="F45" s="31"/>
      <c r="G45" s="31"/>
      <c r="H45" s="31"/>
      <c r="I45" s="31"/>
      <c r="J45" s="101">
        <v>12160425</v>
      </c>
      <c r="K45" s="101">
        <v>0</v>
      </c>
      <c r="L45" s="101">
        <v>12160425</v>
      </c>
      <c r="M45" s="101">
        <v>12415790</v>
      </c>
      <c r="N45" s="101"/>
      <c r="O45" s="101">
        <v>12415790</v>
      </c>
      <c r="P45" s="31"/>
      <c r="Q45" s="31"/>
      <c r="R45" s="31" t="s">
        <v>1358</v>
      </c>
      <c r="S45" s="31" t="s">
        <v>1269</v>
      </c>
      <c r="T45" s="31" t="s">
        <v>77</v>
      </c>
      <c r="U45" s="31" t="s">
        <v>1330</v>
      </c>
      <c r="V45" s="31"/>
      <c r="W45" s="84">
        <f>Tabla10[[#This Row],[Avalúo Total 2025]]-Tabla10[[#This Row],[Avalúo Diciembre 2024]]</f>
        <v>255365</v>
      </c>
      <c r="X45" s="84">
        <f>Tabla10[[#This Row],[Avalúo Afecto Dic-2025]]-Tabla10[[#This Row],[Avalúo Afecto Dic-2024]]</f>
        <v>255365</v>
      </c>
      <c r="Y45" s="84">
        <f>Tabla10[[#This Row],[Avalúo Exento Dic-2025]]-Tabla10[[#This Row],[Avalúo Exento Dic-2024]]</f>
        <v>0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 t="s">
        <v>88</v>
      </c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</row>
    <row r="46" spans="1:53" x14ac:dyDescent="0.3">
      <c r="A46" s="30" t="s">
        <v>168</v>
      </c>
      <c r="B46" s="30" t="s">
        <v>80</v>
      </c>
      <c r="C46" s="30" t="s">
        <v>1359</v>
      </c>
      <c r="D46" s="30"/>
      <c r="E46" s="42">
        <v>13</v>
      </c>
      <c r="F46" s="31"/>
      <c r="G46" s="31"/>
      <c r="H46" s="31"/>
      <c r="I46" s="31"/>
      <c r="J46" s="101">
        <v>12160425</v>
      </c>
      <c r="K46" s="101">
        <v>0</v>
      </c>
      <c r="L46" s="101">
        <v>12160425</v>
      </c>
      <c r="M46" s="101">
        <v>12415790</v>
      </c>
      <c r="N46" s="101"/>
      <c r="O46" s="101">
        <v>12415790</v>
      </c>
      <c r="P46" s="31"/>
      <c r="Q46" s="31"/>
      <c r="R46" s="31" t="s">
        <v>1360</v>
      </c>
      <c r="S46" s="31" t="s">
        <v>1269</v>
      </c>
      <c r="T46" s="31" t="s">
        <v>77</v>
      </c>
      <c r="U46" s="31" t="s">
        <v>1330</v>
      </c>
      <c r="V46" s="31"/>
      <c r="W46" s="84">
        <f>Tabla10[[#This Row],[Avalúo Total 2025]]-Tabla10[[#This Row],[Avalúo Diciembre 2024]]</f>
        <v>255365</v>
      </c>
      <c r="X46" s="84">
        <f>Tabla10[[#This Row],[Avalúo Afecto Dic-2025]]-Tabla10[[#This Row],[Avalúo Afecto Dic-2024]]</f>
        <v>255365</v>
      </c>
      <c r="Y46" s="84">
        <f>Tabla10[[#This Row],[Avalúo Exento Dic-2025]]-Tabla10[[#This Row],[Avalúo Exento Dic-2024]]</f>
        <v>0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 t="s">
        <v>88</v>
      </c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</row>
    <row r="47" spans="1:53" x14ac:dyDescent="0.3">
      <c r="A47" s="30" t="s">
        <v>168</v>
      </c>
      <c r="B47" s="30" t="s">
        <v>80</v>
      </c>
      <c r="C47" s="30" t="s">
        <v>1361</v>
      </c>
      <c r="D47" s="30"/>
      <c r="E47" s="42">
        <v>13</v>
      </c>
      <c r="F47" s="31"/>
      <c r="G47" s="31"/>
      <c r="H47" s="31"/>
      <c r="I47" s="31"/>
      <c r="J47" s="101">
        <v>12160425</v>
      </c>
      <c r="K47" s="101">
        <v>0</v>
      </c>
      <c r="L47" s="101">
        <v>12160425</v>
      </c>
      <c r="M47" s="101">
        <v>12415790</v>
      </c>
      <c r="N47" s="101"/>
      <c r="O47" s="101">
        <v>12415790</v>
      </c>
      <c r="P47" s="31"/>
      <c r="Q47" s="31"/>
      <c r="R47" s="31" t="s">
        <v>1362</v>
      </c>
      <c r="S47" s="31" t="s">
        <v>1269</v>
      </c>
      <c r="T47" s="31" t="s">
        <v>77</v>
      </c>
      <c r="U47" s="31" t="s">
        <v>1330</v>
      </c>
      <c r="V47" s="31"/>
      <c r="W47" s="84">
        <f>Tabla10[[#This Row],[Avalúo Total 2025]]-Tabla10[[#This Row],[Avalúo Diciembre 2024]]</f>
        <v>255365</v>
      </c>
      <c r="X47" s="84">
        <f>Tabla10[[#This Row],[Avalúo Afecto Dic-2025]]-Tabla10[[#This Row],[Avalúo Afecto Dic-2024]]</f>
        <v>255365</v>
      </c>
      <c r="Y47" s="84">
        <f>Tabla10[[#This Row],[Avalúo Exento Dic-2025]]-Tabla10[[#This Row],[Avalúo Exento Dic-2024]]</f>
        <v>0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 t="s">
        <v>88</v>
      </c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</row>
    <row r="48" spans="1:53" x14ac:dyDescent="0.3">
      <c r="A48" s="30" t="s">
        <v>168</v>
      </c>
      <c r="B48" s="30" t="s">
        <v>80</v>
      </c>
      <c r="C48" s="30" t="s">
        <v>1363</v>
      </c>
      <c r="D48" s="30"/>
      <c r="E48" s="42">
        <v>14</v>
      </c>
      <c r="F48" s="31"/>
      <c r="G48" s="31"/>
      <c r="H48" s="31"/>
      <c r="I48" s="31"/>
      <c r="J48" s="101">
        <v>12937003</v>
      </c>
      <c r="K48" s="101">
        <v>0</v>
      </c>
      <c r="L48" s="101">
        <v>12937003</v>
      </c>
      <c r="M48" s="101">
        <v>13208675</v>
      </c>
      <c r="N48" s="101"/>
      <c r="O48" s="101">
        <v>13208675</v>
      </c>
      <c r="P48" s="31"/>
      <c r="Q48" s="31"/>
      <c r="R48" s="31" t="s">
        <v>1364</v>
      </c>
      <c r="S48" s="31" t="s">
        <v>1269</v>
      </c>
      <c r="T48" s="31" t="s">
        <v>77</v>
      </c>
      <c r="U48" s="31" t="s">
        <v>1330</v>
      </c>
      <c r="V48" s="31"/>
      <c r="W48" s="84">
        <f>Tabla10[[#This Row],[Avalúo Total 2025]]-Tabla10[[#This Row],[Avalúo Diciembre 2024]]</f>
        <v>271672</v>
      </c>
      <c r="X48" s="84">
        <f>Tabla10[[#This Row],[Avalúo Afecto Dic-2025]]-Tabla10[[#This Row],[Avalúo Afecto Dic-2024]]</f>
        <v>271672</v>
      </c>
      <c r="Y48" s="84">
        <f>Tabla10[[#This Row],[Avalúo Exento Dic-2025]]-Tabla10[[#This Row],[Avalúo Exento Dic-2024]]</f>
        <v>0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 t="s">
        <v>88</v>
      </c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</row>
    <row r="49" spans="1:53" x14ac:dyDescent="0.3">
      <c r="A49" s="30" t="s">
        <v>168</v>
      </c>
      <c r="B49" s="30" t="s">
        <v>80</v>
      </c>
      <c r="C49" s="30" t="s">
        <v>1365</v>
      </c>
      <c r="D49" s="30"/>
      <c r="E49" s="42">
        <v>12</v>
      </c>
      <c r="F49" s="31"/>
      <c r="G49" s="31"/>
      <c r="H49" s="31"/>
      <c r="I49" s="31"/>
      <c r="J49" s="101">
        <v>11409196</v>
      </c>
      <c r="K49" s="101">
        <v>0</v>
      </c>
      <c r="L49" s="101">
        <v>11409196</v>
      </c>
      <c r="M49" s="101">
        <v>11648785</v>
      </c>
      <c r="N49" s="101"/>
      <c r="O49" s="101">
        <v>11648785</v>
      </c>
      <c r="P49" s="31"/>
      <c r="Q49" s="31"/>
      <c r="R49" s="31" t="s">
        <v>1366</v>
      </c>
      <c r="S49" s="31" t="s">
        <v>1269</v>
      </c>
      <c r="T49" s="31" t="s">
        <v>77</v>
      </c>
      <c r="U49" s="31" t="s">
        <v>1330</v>
      </c>
      <c r="V49" s="31"/>
      <c r="W49" s="84">
        <f>Tabla10[[#This Row],[Avalúo Total 2025]]-Tabla10[[#This Row],[Avalúo Diciembre 2024]]</f>
        <v>239589</v>
      </c>
      <c r="X49" s="84">
        <f>Tabla10[[#This Row],[Avalúo Afecto Dic-2025]]-Tabla10[[#This Row],[Avalúo Afecto Dic-2024]]</f>
        <v>239589</v>
      </c>
      <c r="Y49" s="84">
        <f>Tabla10[[#This Row],[Avalúo Exento Dic-2025]]-Tabla10[[#This Row],[Avalúo Exento Dic-2024]]</f>
        <v>0</v>
      </c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 t="s">
        <v>88</v>
      </c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</row>
    <row r="50" spans="1:53" x14ac:dyDescent="0.3">
      <c r="A50" s="30" t="s">
        <v>168</v>
      </c>
      <c r="B50" s="30" t="s">
        <v>80</v>
      </c>
      <c r="C50" s="30" t="s">
        <v>1367</v>
      </c>
      <c r="D50" s="30"/>
      <c r="E50" s="42">
        <v>12</v>
      </c>
      <c r="F50" s="31"/>
      <c r="G50" s="31"/>
      <c r="H50" s="31"/>
      <c r="I50" s="31"/>
      <c r="J50" s="101">
        <v>11409196</v>
      </c>
      <c r="K50" s="101">
        <v>0</v>
      </c>
      <c r="L50" s="101">
        <v>11409196</v>
      </c>
      <c r="M50" s="101">
        <v>11648785</v>
      </c>
      <c r="N50" s="101"/>
      <c r="O50" s="101">
        <v>11648785</v>
      </c>
      <c r="P50" s="31"/>
      <c r="Q50" s="31"/>
      <c r="R50" s="31" t="s">
        <v>1368</v>
      </c>
      <c r="S50" s="31" t="s">
        <v>1269</v>
      </c>
      <c r="T50" s="31" t="s">
        <v>77</v>
      </c>
      <c r="U50" s="31" t="s">
        <v>1330</v>
      </c>
      <c r="V50" s="31"/>
      <c r="W50" s="84">
        <f>Tabla10[[#This Row],[Avalúo Total 2025]]-Tabla10[[#This Row],[Avalúo Diciembre 2024]]</f>
        <v>239589</v>
      </c>
      <c r="X50" s="84">
        <f>Tabla10[[#This Row],[Avalúo Afecto Dic-2025]]-Tabla10[[#This Row],[Avalúo Afecto Dic-2024]]</f>
        <v>239589</v>
      </c>
      <c r="Y50" s="84">
        <f>Tabla10[[#This Row],[Avalúo Exento Dic-2025]]-Tabla10[[#This Row],[Avalúo Exento Dic-2024]]</f>
        <v>0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 t="s">
        <v>88</v>
      </c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</row>
    <row r="51" spans="1:53" x14ac:dyDescent="0.3">
      <c r="A51" s="30" t="s">
        <v>168</v>
      </c>
      <c r="B51" s="30" t="s">
        <v>80</v>
      </c>
      <c r="C51" s="30" t="s">
        <v>1369</v>
      </c>
      <c r="D51" s="30"/>
      <c r="E51" s="42">
        <v>12</v>
      </c>
      <c r="F51" s="31"/>
      <c r="G51" s="31"/>
      <c r="H51" s="31"/>
      <c r="I51" s="31"/>
      <c r="J51" s="101">
        <v>11409196</v>
      </c>
      <c r="K51" s="101">
        <v>0</v>
      </c>
      <c r="L51" s="101">
        <v>11409196</v>
      </c>
      <c r="M51" s="101">
        <v>11648785</v>
      </c>
      <c r="N51" s="101"/>
      <c r="O51" s="101">
        <v>11648785</v>
      </c>
      <c r="P51" s="31"/>
      <c r="Q51" s="31"/>
      <c r="R51" s="31" t="s">
        <v>1370</v>
      </c>
      <c r="S51" s="31" t="s">
        <v>1269</v>
      </c>
      <c r="T51" s="31" t="s">
        <v>77</v>
      </c>
      <c r="U51" s="31" t="s">
        <v>1330</v>
      </c>
      <c r="V51" s="31"/>
      <c r="W51" s="84">
        <f>Tabla10[[#This Row],[Avalúo Total 2025]]-Tabla10[[#This Row],[Avalúo Diciembre 2024]]</f>
        <v>239589</v>
      </c>
      <c r="X51" s="84">
        <f>Tabla10[[#This Row],[Avalúo Afecto Dic-2025]]-Tabla10[[#This Row],[Avalúo Afecto Dic-2024]]</f>
        <v>239589</v>
      </c>
      <c r="Y51" s="84">
        <f>Tabla10[[#This Row],[Avalúo Exento Dic-2025]]-Tabla10[[#This Row],[Avalúo Exento Dic-2024]]</f>
        <v>0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 t="s">
        <v>88</v>
      </c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</row>
    <row r="52" spans="1:53" x14ac:dyDescent="0.3">
      <c r="A52" s="30" t="s">
        <v>168</v>
      </c>
      <c r="B52" s="30" t="s">
        <v>80</v>
      </c>
      <c r="C52" s="30" t="s">
        <v>1371</v>
      </c>
      <c r="D52" s="30"/>
      <c r="E52" s="42">
        <v>12</v>
      </c>
      <c r="F52" s="31"/>
      <c r="G52" s="31"/>
      <c r="H52" s="31"/>
      <c r="I52" s="31"/>
      <c r="J52" s="101">
        <v>11409196</v>
      </c>
      <c r="K52" s="101">
        <v>0</v>
      </c>
      <c r="L52" s="101">
        <v>11409196</v>
      </c>
      <c r="M52" s="101">
        <v>11648785</v>
      </c>
      <c r="N52" s="101"/>
      <c r="O52" s="101">
        <v>11648785</v>
      </c>
      <c r="P52" s="31"/>
      <c r="Q52" s="31"/>
      <c r="R52" s="31" t="s">
        <v>1372</v>
      </c>
      <c r="S52" s="31" t="s">
        <v>1269</v>
      </c>
      <c r="T52" s="31" t="s">
        <v>77</v>
      </c>
      <c r="U52" s="31" t="s">
        <v>1330</v>
      </c>
      <c r="V52" s="31"/>
      <c r="W52" s="84">
        <f>Tabla10[[#This Row],[Avalúo Total 2025]]-Tabla10[[#This Row],[Avalúo Diciembre 2024]]</f>
        <v>239589</v>
      </c>
      <c r="X52" s="84">
        <f>Tabla10[[#This Row],[Avalúo Afecto Dic-2025]]-Tabla10[[#This Row],[Avalúo Afecto Dic-2024]]</f>
        <v>239589</v>
      </c>
      <c r="Y52" s="84">
        <f>Tabla10[[#This Row],[Avalúo Exento Dic-2025]]-Tabla10[[#This Row],[Avalúo Exento Dic-2024]]</f>
        <v>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 t="s">
        <v>88</v>
      </c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</row>
    <row r="53" spans="1:53" x14ac:dyDescent="0.3">
      <c r="A53" s="30" t="s">
        <v>168</v>
      </c>
      <c r="B53" s="30" t="s">
        <v>80</v>
      </c>
      <c r="C53" s="30" t="s">
        <v>1373</v>
      </c>
      <c r="D53" s="30"/>
      <c r="E53" s="42">
        <v>12</v>
      </c>
      <c r="F53" s="31"/>
      <c r="G53" s="31"/>
      <c r="H53" s="31"/>
      <c r="I53" s="31"/>
      <c r="J53" s="101">
        <v>11409196</v>
      </c>
      <c r="K53" s="101">
        <v>0</v>
      </c>
      <c r="L53" s="101">
        <v>11409196</v>
      </c>
      <c r="M53" s="101">
        <v>11648785</v>
      </c>
      <c r="N53" s="101"/>
      <c r="O53" s="101">
        <v>11648785</v>
      </c>
      <c r="P53" s="31"/>
      <c r="Q53" s="31"/>
      <c r="R53" s="31" t="s">
        <v>1374</v>
      </c>
      <c r="S53" s="31" t="s">
        <v>1269</v>
      </c>
      <c r="T53" s="31" t="s">
        <v>77</v>
      </c>
      <c r="U53" s="31" t="s">
        <v>1330</v>
      </c>
      <c r="V53" s="31"/>
      <c r="W53" s="84">
        <f>Tabla10[[#This Row],[Avalúo Total 2025]]-Tabla10[[#This Row],[Avalúo Diciembre 2024]]</f>
        <v>239589</v>
      </c>
      <c r="X53" s="84">
        <f>Tabla10[[#This Row],[Avalúo Afecto Dic-2025]]-Tabla10[[#This Row],[Avalúo Afecto Dic-2024]]</f>
        <v>239589</v>
      </c>
      <c r="Y53" s="84">
        <f>Tabla10[[#This Row],[Avalúo Exento Dic-2025]]-Tabla10[[#This Row],[Avalúo Exento Dic-2024]]</f>
        <v>0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 t="s">
        <v>88</v>
      </c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</row>
    <row r="54" spans="1:53" x14ac:dyDescent="0.3">
      <c r="A54" s="30" t="s">
        <v>168</v>
      </c>
      <c r="B54" s="30" t="s">
        <v>80</v>
      </c>
      <c r="C54" s="30" t="s">
        <v>1375</v>
      </c>
      <c r="D54" s="30"/>
      <c r="E54" s="42">
        <v>12</v>
      </c>
      <c r="F54" s="31"/>
      <c r="G54" s="31"/>
      <c r="H54" s="31"/>
      <c r="I54" s="31"/>
      <c r="J54" s="101">
        <v>11409196</v>
      </c>
      <c r="K54" s="101">
        <v>0</v>
      </c>
      <c r="L54" s="101">
        <v>11409196</v>
      </c>
      <c r="M54" s="101">
        <v>11648785</v>
      </c>
      <c r="N54" s="101"/>
      <c r="O54" s="101">
        <v>11648785</v>
      </c>
      <c r="P54" s="31"/>
      <c r="Q54" s="31"/>
      <c r="R54" s="31" t="s">
        <v>1376</v>
      </c>
      <c r="S54" s="31" t="s">
        <v>1269</v>
      </c>
      <c r="T54" s="31" t="s">
        <v>77</v>
      </c>
      <c r="U54" s="31" t="s">
        <v>1330</v>
      </c>
      <c r="V54" s="31"/>
      <c r="W54" s="84">
        <f>Tabla10[[#This Row],[Avalúo Total 2025]]-Tabla10[[#This Row],[Avalúo Diciembre 2024]]</f>
        <v>239589</v>
      </c>
      <c r="X54" s="84">
        <f>Tabla10[[#This Row],[Avalúo Afecto Dic-2025]]-Tabla10[[#This Row],[Avalúo Afecto Dic-2024]]</f>
        <v>239589</v>
      </c>
      <c r="Y54" s="84">
        <f>Tabla10[[#This Row],[Avalúo Exento Dic-2025]]-Tabla10[[#This Row],[Avalúo Exento Dic-2024]]</f>
        <v>0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 t="s">
        <v>88</v>
      </c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</row>
    <row r="55" spans="1:53" x14ac:dyDescent="0.3">
      <c r="A55" s="30" t="s">
        <v>168</v>
      </c>
      <c r="B55" s="30" t="s">
        <v>80</v>
      </c>
      <c r="C55" s="30" t="s">
        <v>1377</v>
      </c>
      <c r="D55" s="30"/>
      <c r="E55" s="42">
        <v>12</v>
      </c>
      <c r="F55" s="31"/>
      <c r="G55" s="31"/>
      <c r="H55" s="31"/>
      <c r="I55" s="31"/>
      <c r="J55" s="101">
        <v>11409196</v>
      </c>
      <c r="K55" s="101">
        <v>0</v>
      </c>
      <c r="L55" s="101">
        <v>11409196</v>
      </c>
      <c r="M55" s="101">
        <v>11648785</v>
      </c>
      <c r="N55" s="101"/>
      <c r="O55" s="101">
        <v>11648785</v>
      </c>
      <c r="P55" s="31"/>
      <c r="Q55" s="31"/>
      <c r="R55" s="31" t="s">
        <v>1378</v>
      </c>
      <c r="S55" s="31" t="s">
        <v>1269</v>
      </c>
      <c r="T55" s="31" t="s">
        <v>77</v>
      </c>
      <c r="U55" s="31" t="s">
        <v>1330</v>
      </c>
      <c r="V55" s="31"/>
      <c r="W55" s="84">
        <f>Tabla10[[#This Row],[Avalúo Total 2025]]-Tabla10[[#This Row],[Avalúo Diciembre 2024]]</f>
        <v>239589</v>
      </c>
      <c r="X55" s="84">
        <f>Tabla10[[#This Row],[Avalúo Afecto Dic-2025]]-Tabla10[[#This Row],[Avalúo Afecto Dic-2024]]</f>
        <v>239589</v>
      </c>
      <c r="Y55" s="84">
        <f>Tabla10[[#This Row],[Avalúo Exento Dic-2025]]-Tabla10[[#This Row],[Avalúo Exento Dic-2024]]</f>
        <v>0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 t="s">
        <v>88</v>
      </c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</row>
    <row r="56" spans="1:53" x14ac:dyDescent="0.3">
      <c r="A56" s="30" t="s">
        <v>168</v>
      </c>
      <c r="B56" s="30" t="s">
        <v>80</v>
      </c>
      <c r="C56" s="30" t="s">
        <v>1379</v>
      </c>
      <c r="D56" s="30"/>
      <c r="E56" s="42">
        <v>13</v>
      </c>
      <c r="F56" s="31"/>
      <c r="G56" s="31"/>
      <c r="H56" s="31"/>
      <c r="I56" s="31"/>
      <c r="J56" s="101">
        <v>12205438</v>
      </c>
      <c r="K56" s="101">
        <v>0</v>
      </c>
      <c r="L56" s="101">
        <v>12205438</v>
      </c>
      <c r="M56" s="101">
        <v>12461748</v>
      </c>
      <c r="N56" s="101"/>
      <c r="O56" s="101">
        <v>12461748</v>
      </c>
      <c r="P56" s="31"/>
      <c r="Q56" s="31"/>
      <c r="R56" s="31" t="s">
        <v>1380</v>
      </c>
      <c r="S56" s="31" t="s">
        <v>1269</v>
      </c>
      <c r="T56" s="31" t="s">
        <v>77</v>
      </c>
      <c r="U56" s="31" t="s">
        <v>1330</v>
      </c>
      <c r="V56" s="31"/>
      <c r="W56" s="84">
        <f>Tabla10[[#This Row],[Avalúo Total 2025]]-Tabla10[[#This Row],[Avalúo Diciembre 2024]]</f>
        <v>256310</v>
      </c>
      <c r="X56" s="84">
        <f>Tabla10[[#This Row],[Avalúo Afecto Dic-2025]]-Tabla10[[#This Row],[Avalúo Afecto Dic-2024]]</f>
        <v>256310</v>
      </c>
      <c r="Y56" s="84">
        <f>Tabla10[[#This Row],[Avalúo Exento Dic-2025]]-Tabla10[[#This Row],[Avalúo Exento Dic-2024]]</f>
        <v>0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 t="s">
        <v>88</v>
      </c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</row>
    <row r="57" spans="1:53" x14ac:dyDescent="0.3">
      <c r="A57" s="30" t="s">
        <v>168</v>
      </c>
      <c r="B57" s="30" t="s">
        <v>80</v>
      </c>
      <c r="C57" s="30" t="s">
        <v>1381</v>
      </c>
      <c r="D57" s="30"/>
      <c r="E57" s="42">
        <v>13</v>
      </c>
      <c r="F57" s="31"/>
      <c r="G57" s="31"/>
      <c r="H57" s="31"/>
      <c r="I57" s="31"/>
      <c r="J57" s="101">
        <v>12205438</v>
      </c>
      <c r="K57" s="101">
        <v>0</v>
      </c>
      <c r="L57" s="101">
        <v>12205438</v>
      </c>
      <c r="M57" s="101">
        <v>12461748</v>
      </c>
      <c r="N57" s="101"/>
      <c r="O57" s="101">
        <v>12461748</v>
      </c>
      <c r="P57" s="31"/>
      <c r="Q57" s="31"/>
      <c r="R57" s="31" t="s">
        <v>1382</v>
      </c>
      <c r="S57" s="31" t="s">
        <v>1269</v>
      </c>
      <c r="T57" s="31" t="s">
        <v>77</v>
      </c>
      <c r="U57" s="31" t="s">
        <v>1330</v>
      </c>
      <c r="V57" s="31"/>
      <c r="W57" s="84">
        <f>Tabla10[[#This Row],[Avalúo Total 2025]]-Tabla10[[#This Row],[Avalúo Diciembre 2024]]</f>
        <v>256310</v>
      </c>
      <c r="X57" s="84">
        <f>Tabla10[[#This Row],[Avalúo Afecto Dic-2025]]-Tabla10[[#This Row],[Avalúo Afecto Dic-2024]]</f>
        <v>256310</v>
      </c>
      <c r="Y57" s="84">
        <f>Tabla10[[#This Row],[Avalúo Exento Dic-2025]]-Tabla10[[#This Row],[Avalúo Exento Dic-2024]]</f>
        <v>0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 t="s">
        <v>88</v>
      </c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x14ac:dyDescent="0.3">
      <c r="A58" s="30" t="s">
        <v>168</v>
      </c>
      <c r="B58" s="30" t="s">
        <v>80</v>
      </c>
      <c r="C58" s="30" t="s">
        <v>1383</v>
      </c>
      <c r="D58" s="30"/>
      <c r="E58" s="42">
        <v>12</v>
      </c>
      <c r="F58" s="31"/>
      <c r="G58" s="31"/>
      <c r="H58" s="31"/>
      <c r="I58" s="31"/>
      <c r="J58" s="101">
        <v>11409196</v>
      </c>
      <c r="K58" s="101">
        <v>0</v>
      </c>
      <c r="L58" s="101">
        <v>11409196</v>
      </c>
      <c r="M58" s="101">
        <v>11648785</v>
      </c>
      <c r="N58" s="101"/>
      <c r="O58" s="101">
        <v>11648785</v>
      </c>
      <c r="P58" s="31"/>
      <c r="Q58" s="31"/>
      <c r="R58" s="31" t="s">
        <v>1384</v>
      </c>
      <c r="S58" s="31" t="s">
        <v>1269</v>
      </c>
      <c r="T58" s="31" t="s">
        <v>77</v>
      </c>
      <c r="U58" s="31" t="s">
        <v>1330</v>
      </c>
      <c r="V58" s="31"/>
      <c r="W58" s="84">
        <f>Tabla10[[#This Row],[Avalúo Total 2025]]-Tabla10[[#This Row],[Avalúo Diciembre 2024]]</f>
        <v>239589</v>
      </c>
      <c r="X58" s="84">
        <f>Tabla10[[#This Row],[Avalúo Afecto Dic-2025]]-Tabla10[[#This Row],[Avalúo Afecto Dic-2024]]</f>
        <v>239589</v>
      </c>
      <c r="Y58" s="84">
        <f>Tabla10[[#This Row],[Avalúo Exento Dic-2025]]-Tabla10[[#This Row],[Avalúo Exento Dic-2024]]</f>
        <v>0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 t="s">
        <v>88</v>
      </c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x14ac:dyDescent="0.3">
      <c r="A59" s="30" t="s">
        <v>168</v>
      </c>
      <c r="B59" s="30" t="s">
        <v>80</v>
      </c>
      <c r="C59" s="30" t="s">
        <v>1385</v>
      </c>
      <c r="D59" s="30"/>
      <c r="E59" s="42">
        <v>12</v>
      </c>
      <c r="F59" s="31"/>
      <c r="G59" s="31"/>
      <c r="H59" s="31"/>
      <c r="I59" s="31"/>
      <c r="J59" s="101">
        <v>11409196</v>
      </c>
      <c r="K59" s="101">
        <v>0</v>
      </c>
      <c r="L59" s="101">
        <v>11409196</v>
      </c>
      <c r="M59" s="101">
        <v>11648785</v>
      </c>
      <c r="N59" s="101"/>
      <c r="O59" s="101">
        <v>11648785</v>
      </c>
      <c r="P59" s="31"/>
      <c r="Q59" s="31"/>
      <c r="R59" s="31" t="s">
        <v>1386</v>
      </c>
      <c r="S59" s="31" t="s">
        <v>1269</v>
      </c>
      <c r="T59" s="31" t="s">
        <v>77</v>
      </c>
      <c r="U59" s="31" t="s">
        <v>1330</v>
      </c>
      <c r="V59" s="31"/>
      <c r="W59" s="84">
        <f>Tabla10[[#This Row],[Avalúo Total 2025]]-Tabla10[[#This Row],[Avalúo Diciembre 2024]]</f>
        <v>239589</v>
      </c>
      <c r="X59" s="84">
        <f>Tabla10[[#This Row],[Avalúo Afecto Dic-2025]]-Tabla10[[#This Row],[Avalúo Afecto Dic-2024]]</f>
        <v>239589</v>
      </c>
      <c r="Y59" s="84">
        <f>Tabla10[[#This Row],[Avalúo Exento Dic-2025]]-Tabla10[[#This Row],[Avalúo Exento Dic-2024]]</f>
        <v>0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 t="s">
        <v>88</v>
      </c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spans="1:53" x14ac:dyDescent="0.3">
      <c r="A60" s="30" t="s">
        <v>168</v>
      </c>
      <c r="B60" s="30" t="s">
        <v>80</v>
      </c>
      <c r="C60" s="30" t="s">
        <v>1387</v>
      </c>
      <c r="D60" s="30"/>
      <c r="E60" s="42">
        <v>12</v>
      </c>
      <c r="F60" s="31"/>
      <c r="G60" s="31"/>
      <c r="H60" s="31"/>
      <c r="I60" s="31"/>
      <c r="J60" s="101">
        <v>11409196</v>
      </c>
      <c r="K60" s="101">
        <v>0</v>
      </c>
      <c r="L60" s="101">
        <v>11409196</v>
      </c>
      <c r="M60" s="101">
        <v>11648785</v>
      </c>
      <c r="N60" s="101"/>
      <c r="O60" s="101">
        <v>11648785</v>
      </c>
      <c r="P60" s="31"/>
      <c r="Q60" s="31"/>
      <c r="R60" s="31" t="s">
        <v>1388</v>
      </c>
      <c r="S60" s="31" t="s">
        <v>1269</v>
      </c>
      <c r="T60" s="31" t="s">
        <v>77</v>
      </c>
      <c r="U60" s="31" t="s">
        <v>1330</v>
      </c>
      <c r="V60" s="31"/>
      <c r="W60" s="84">
        <f>Tabla10[[#This Row],[Avalúo Total 2025]]-Tabla10[[#This Row],[Avalúo Diciembre 2024]]</f>
        <v>239589</v>
      </c>
      <c r="X60" s="84">
        <f>Tabla10[[#This Row],[Avalúo Afecto Dic-2025]]-Tabla10[[#This Row],[Avalúo Afecto Dic-2024]]</f>
        <v>239589</v>
      </c>
      <c r="Y60" s="84">
        <f>Tabla10[[#This Row],[Avalúo Exento Dic-2025]]-Tabla10[[#This Row],[Avalúo Exento Dic-2024]]</f>
        <v>0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 t="s">
        <v>88</v>
      </c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spans="1:53" x14ac:dyDescent="0.3">
      <c r="A61" s="30" t="s">
        <v>168</v>
      </c>
      <c r="B61" s="30" t="s">
        <v>80</v>
      </c>
      <c r="C61" s="30" t="s">
        <v>1389</v>
      </c>
      <c r="D61" s="30"/>
      <c r="E61" s="42">
        <v>8</v>
      </c>
      <c r="F61" s="31"/>
      <c r="G61" s="31"/>
      <c r="H61" s="31"/>
      <c r="I61" s="31"/>
      <c r="J61" s="101">
        <v>4215210</v>
      </c>
      <c r="K61" s="101">
        <v>0</v>
      </c>
      <c r="L61" s="101">
        <v>4215210</v>
      </c>
      <c r="M61" s="101">
        <v>4303728</v>
      </c>
      <c r="N61" s="101"/>
      <c r="O61" s="101">
        <v>4303728</v>
      </c>
      <c r="P61" s="31"/>
      <c r="Q61" s="31"/>
      <c r="R61" s="31" t="s">
        <v>1390</v>
      </c>
      <c r="S61" s="31" t="s">
        <v>1269</v>
      </c>
      <c r="T61" s="31" t="s">
        <v>77</v>
      </c>
      <c r="U61" s="31" t="s">
        <v>1330</v>
      </c>
      <c r="V61" s="31"/>
      <c r="W61" s="84">
        <f>Tabla10[[#This Row],[Avalúo Total 2025]]-Tabla10[[#This Row],[Avalúo Diciembre 2024]]</f>
        <v>88518</v>
      </c>
      <c r="X61" s="84">
        <f>Tabla10[[#This Row],[Avalúo Afecto Dic-2025]]-Tabla10[[#This Row],[Avalúo Afecto Dic-2024]]</f>
        <v>88518</v>
      </c>
      <c r="Y61" s="84">
        <f>Tabla10[[#This Row],[Avalúo Exento Dic-2025]]-Tabla10[[#This Row],[Avalúo Exento Dic-2024]]</f>
        <v>0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 t="s">
        <v>88</v>
      </c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spans="1:53" x14ac:dyDescent="0.3">
      <c r="A62" s="30" t="s">
        <v>168</v>
      </c>
      <c r="B62" s="30" t="s">
        <v>80</v>
      </c>
      <c r="C62" s="30" t="s">
        <v>1391</v>
      </c>
      <c r="D62" s="30"/>
      <c r="E62" s="42">
        <v>8</v>
      </c>
      <c r="F62" s="31"/>
      <c r="G62" s="31"/>
      <c r="H62" s="31"/>
      <c r="I62" s="31"/>
      <c r="J62" s="101">
        <v>4215210</v>
      </c>
      <c r="K62" s="101">
        <v>0</v>
      </c>
      <c r="L62" s="101">
        <v>4215210</v>
      </c>
      <c r="M62" s="101">
        <v>4303728</v>
      </c>
      <c r="N62" s="101"/>
      <c r="O62" s="101">
        <v>4303728</v>
      </c>
      <c r="P62" s="31"/>
      <c r="Q62" s="31"/>
      <c r="R62" s="31" t="s">
        <v>1392</v>
      </c>
      <c r="S62" s="31" t="s">
        <v>1269</v>
      </c>
      <c r="T62" s="31" t="s">
        <v>77</v>
      </c>
      <c r="U62" s="31" t="s">
        <v>1330</v>
      </c>
      <c r="V62" s="31"/>
      <c r="W62" s="84">
        <f>Tabla10[[#This Row],[Avalúo Total 2025]]-Tabla10[[#This Row],[Avalúo Diciembre 2024]]</f>
        <v>88518</v>
      </c>
      <c r="X62" s="84">
        <f>Tabla10[[#This Row],[Avalúo Afecto Dic-2025]]-Tabla10[[#This Row],[Avalúo Afecto Dic-2024]]</f>
        <v>88518</v>
      </c>
      <c r="Y62" s="84">
        <f>Tabla10[[#This Row],[Avalúo Exento Dic-2025]]-Tabla10[[#This Row],[Avalúo Exento Dic-2024]]</f>
        <v>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 t="s">
        <v>88</v>
      </c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spans="1:53" x14ac:dyDescent="0.3">
      <c r="A63" s="30" t="s">
        <v>168</v>
      </c>
      <c r="B63" s="30" t="s">
        <v>80</v>
      </c>
      <c r="C63" s="30" t="s">
        <v>1393</v>
      </c>
      <c r="D63" s="30"/>
      <c r="E63" s="42">
        <v>8</v>
      </c>
      <c r="F63" s="31"/>
      <c r="G63" s="31"/>
      <c r="H63" s="31"/>
      <c r="I63" s="31"/>
      <c r="J63" s="101">
        <v>4215210</v>
      </c>
      <c r="K63" s="101">
        <v>0</v>
      </c>
      <c r="L63" s="101">
        <v>4215210</v>
      </c>
      <c r="M63" s="101">
        <v>4303728</v>
      </c>
      <c r="N63" s="101"/>
      <c r="O63" s="101">
        <v>4303728</v>
      </c>
      <c r="P63" s="31"/>
      <c r="Q63" s="31"/>
      <c r="R63" s="31" t="s">
        <v>1394</v>
      </c>
      <c r="S63" s="31" t="s">
        <v>1269</v>
      </c>
      <c r="T63" s="31" t="s">
        <v>77</v>
      </c>
      <c r="U63" s="31" t="s">
        <v>1330</v>
      </c>
      <c r="V63" s="31"/>
      <c r="W63" s="84">
        <f>Tabla10[[#This Row],[Avalúo Total 2025]]-Tabla10[[#This Row],[Avalúo Diciembre 2024]]</f>
        <v>88518</v>
      </c>
      <c r="X63" s="84">
        <f>Tabla10[[#This Row],[Avalúo Afecto Dic-2025]]-Tabla10[[#This Row],[Avalúo Afecto Dic-2024]]</f>
        <v>88518</v>
      </c>
      <c r="Y63" s="84">
        <f>Tabla10[[#This Row],[Avalúo Exento Dic-2025]]-Tabla10[[#This Row],[Avalúo Exento Dic-2024]]</f>
        <v>0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 t="s">
        <v>88</v>
      </c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spans="1:53" x14ac:dyDescent="0.3">
      <c r="A64" s="30" t="s">
        <v>168</v>
      </c>
      <c r="B64" s="30" t="s">
        <v>80</v>
      </c>
      <c r="C64" s="30" t="s">
        <v>1395</v>
      </c>
      <c r="D64" s="30"/>
      <c r="E64" s="42">
        <v>14</v>
      </c>
      <c r="F64" s="31"/>
      <c r="G64" s="31"/>
      <c r="H64" s="31"/>
      <c r="I64" s="31"/>
      <c r="J64" s="101">
        <v>10508690</v>
      </c>
      <c r="K64" s="101">
        <v>0</v>
      </c>
      <c r="L64" s="101">
        <v>10508690</v>
      </c>
      <c r="M64" s="101">
        <v>10729369</v>
      </c>
      <c r="N64" s="101"/>
      <c r="O64" s="101">
        <v>10729369</v>
      </c>
      <c r="P64" s="31"/>
      <c r="Q64" s="31"/>
      <c r="R64" s="31" t="s">
        <v>1396</v>
      </c>
      <c r="S64" s="31" t="s">
        <v>1269</v>
      </c>
      <c r="T64" s="31" t="s">
        <v>77</v>
      </c>
      <c r="U64" s="31" t="s">
        <v>1330</v>
      </c>
      <c r="V64" s="31"/>
      <c r="W64" s="84">
        <f>Tabla10[[#This Row],[Avalúo Total 2025]]-Tabla10[[#This Row],[Avalúo Diciembre 2024]]</f>
        <v>220679</v>
      </c>
      <c r="X64" s="84">
        <f>Tabla10[[#This Row],[Avalúo Afecto Dic-2025]]-Tabla10[[#This Row],[Avalúo Afecto Dic-2024]]</f>
        <v>220679</v>
      </c>
      <c r="Y64" s="84">
        <f>Tabla10[[#This Row],[Avalúo Exento Dic-2025]]-Tabla10[[#This Row],[Avalúo Exento Dic-2024]]</f>
        <v>0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 t="s">
        <v>88</v>
      </c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x14ac:dyDescent="0.3">
      <c r="A65" s="30" t="s">
        <v>168</v>
      </c>
      <c r="B65" s="30" t="s">
        <v>80</v>
      </c>
      <c r="C65" s="30" t="s">
        <v>1397</v>
      </c>
      <c r="D65" s="30"/>
      <c r="E65" s="42">
        <v>13</v>
      </c>
      <c r="F65" s="31"/>
      <c r="G65" s="31"/>
      <c r="H65" s="31"/>
      <c r="I65" s="31"/>
      <c r="J65" s="101">
        <v>9741089</v>
      </c>
      <c r="K65" s="101">
        <v>0</v>
      </c>
      <c r="L65" s="101">
        <v>9741089</v>
      </c>
      <c r="M65" s="101">
        <v>9945648</v>
      </c>
      <c r="N65" s="101"/>
      <c r="O65" s="101">
        <v>9945648</v>
      </c>
      <c r="P65" s="31"/>
      <c r="Q65" s="31"/>
      <c r="R65" s="31" t="s">
        <v>1398</v>
      </c>
      <c r="S65" s="31" t="s">
        <v>1269</v>
      </c>
      <c r="T65" s="31" t="s">
        <v>77</v>
      </c>
      <c r="U65" s="31" t="s">
        <v>1330</v>
      </c>
      <c r="V65" s="31"/>
      <c r="W65" s="84">
        <f>Tabla10[[#This Row],[Avalúo Total 2025]]-Tabla10[[#This Row],[Avalúo Diciembre 2024]]</f>
        <v>204559</v>
      </c>
      <c r="X65" s="84">
        <f>Tabla10[[#This Row],[Avalúo Afecto Dic-2025]]-Tabla10[[#This Row],[Avalúo Afecto Dic-2024]]</f>
        <v>204559</v>
      </c>
      <c r="Y65" s="84">
        <f>Tabla10[[#This Row],[Avalúo Exento Dic-2025]]-Tabla10[[#This Row],[Avalúo Exento Dic-2024]]</f>
        <v>0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 t="s">
        <v>88</v>
      </c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spans="1:53" x14ac:dyDescent="0.3">
      <c r="A66" s="30" t="s">
        <v>168</v>
      </c>
      <c r="B66" s="30" t="s">
        <v>80</v>
      </c>
      <c r="C66" s="30" t="s">
        <v>1399</v>
      </c>
      <c r="D66" s="30"/>
      <c r="E66" s="42">
        <v>14</v>
      </c>
      <c r="F66" s="31"/>
      <c r="G66" s="31"/>
      <c r="H66" s="31"/>
      <c r="I66" s="31"/>
      <c r="J66" s="101">
        <v>10508690</v>
      </c>
      <c r="K66" s="101">
        <v>0</v>
      </c>
      <c r="L66" s="101">
        <v>10508690</v>
      </c>
      <c r="M66" s="101">
        <v>10729369</v>
      </c>
      <c r="N66" s="101"/>
      <c r="O66" s="101">
        <v>10729369</v>
      </c>
      <c r="P66" s="31"/>
      <c r="Q66" s="31"/>
      <c r="R66" s="31" t="s">
        <v>1400</v>
      </c>
      <c r="S66" s="31" t="s">
        <v>1269</v>
      </c>
      <c r="T66" s="31" t="s">
        <v>77</v>
      </c>
      <c r="U66" s="31" t="s">
        <v>1330</v>
      </c>
      <c r="V66" s="31"/>
      <c r="W66" s="84">
        <f>Tabla10[[#This Row],[Avalúo Total 2025]]-Tabla10[[#This Row],[Avalúo Diciembre 2024]]</f>
        <v>220679</v>
      </c>
      <c r="X66" s="84">
        <f>Tabla10[[#This Row],[Avalúo Afecto Dic-2025]]-Tabla10[[#This Row],[Avalúo Afecto Dic-2024]]</f>
        <v>220679</v>
      </c>
      <c r="Y66" s="84">
        <f>Tabla10[[#This Row],[Avalúo Exento Dic-2025]]-Tabla10[[#This Row],[Avalúo Exento Dic-2024]]</f>
        <v>0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 t="s">
        <v>88</v>
      </c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spans="1:53" x14ac:dyDescent="0.3">
      <c r="A67" s="30" t="s">
        <v>168</v>
      </c>
      <c r="B67" s="30" t="s">
        <v>80</v>
      </c>
      <c r="C67" s="30" t="s">
        <v>1401</v>
      </c>
      <c r="D67" s="30"/>
      <c r="E67" s="42">
        <v>14</v>
      </c>
      <c r="F67" s="31"/>
      <c r="G67" s="31"/>
      <c r="H67" s="31"/>
      <c r="I67" s="31"/>
      <c r="J67" s="101">
        <v>10508690</v>
      </c>
      <c r="K67" s="101">
        <v>0</v>
      </c>
      <c r="L67" s="101">
        <v>10508690</v>
      </c>
      <c r="M67" s="101">
        <v>10729369</v>
      </c>
      <c r="N67" s="101"/>
      <c r="O67" s="101">
        <v>10729369</v>
      </c>
      <c r="P67" s="31"/>
      <c r="Q67" s="31"/>
      <c r="R67" s="31" t="s">
        <v>1402</v>
      </c>
      <c r="S67" s="31" t="s">
        <v>1269</v>
      </c>
      <c r="T67" s="31" t="s">
        <v>77</v>
      </c>
      <c r="U67" s="31" t="s">
        <v>1330</v>
      </c>
      <c r="V67" s="31"/>
      <c r="W67" s="84">
        <f>Tabla10[[#This Row],[Avalúo Total 2025]]-Tabla10[[#This Row],[Avalúo Diciembre 2024]]</f>
        <v>220679</v>
      </c>
      <c r="X67" s="84">
        <f>Tabla10[[#This Row],[Avalúo Afecto Dic-2025]]-Tabla10[[#This Row],[Avalúo Afecto Dic-2024]]</f>
        <v>220679</v>
      </c>
      <c r="Y67" s="84">
        <f>Tabla10[[#This Row],[Avalúo Exento Dic-2025]]-Tabla10[[#This Row],[Avalúo Exento Dic-2024]]</f>
        <v>0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 t="s">
        <v>88</v>
      </c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spans="1:53" x14ac:dyDescent="0.3">
      <c r="A68" s="30" t="s">
        <v>168</v>
      </c>
      <c r="B68" s="30" t="s">
        <v>80</v>
      </c>
      <c r="C68" s="30" t="s">
        <v>1403</v>
      </c>
      <c r="D68" s="30"/>
      <c r="E68" s="42">
        <v>13</v>
      </c>
      <c r="F68" s="31"/>
      <c r="G68" s="31"/>
      <c r="H68" s="31"/>
      <c r="I68" s="31"/>
      <c r="J68" s="101">
        <v>9741089</v>
      </c>
      <c r="K68" s="101">
        <v>0</v>
      </c>
      <c r="L68" s="101">
        <v>9741089</v>
      </c>
      <c r="M68" s="101">
        <v>9945648</v>
      </c>
      <c r="N68" s="101"/>
      <c r="O68" s="101">
        <v>9945648</v>
      </c>
      <c r="P68" s="31"/>
      <c r="Q68" s="31"/>
      <c r="R68" s="31" t="s">
        <v>1404</v>
      </c>
      <c r="S68" s="31" t="s">
        <v>1269</v>
      </c>
      <c r="T68" s="31" t="s">
        <v>77</v>
      </c>
      <c r="U68" s="31" t="s">
        <v>1330</v>
      </c>
      <c r="V68" s="31"/>
      <c r="W68" s="84">
        <f>Tabla10[[#This Row],[Avalúo Total 2025]]-Tabla10[[#This Row],[Avalúo Diciembre 2024]]</f>
        <v>204559</v>
      </c>
      <c r="X68" s="84">
        <f>Tabla10[[#This Row],[Avalúo Afecto Dic-2025]]-Tabla10[[#This Row],[Avalúo Afecto Dic-2024]]</f>
        <v>204559</v>
      </c>
      <c r="Y68" s="84">
        <f>Tabla10[[#This Row],[Avalúo Exento Dic-2025]]-Tabla10[[#This Row],[Avalúo Exento Dic-2024]]</f>
        <v>0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 t="s">
        <v>88</v>
      </c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spans="1:53" x14ac:dyDescent="0.3">
      <c r="A69" s="30" t="s">
        <v>793</v>
      </c>
      <c r="B69" s="30" t="s">
        <v>1199</v>
      </c>
      <c r="C69" s="30" t="s">
        <v>1200</v>
      </c>
      <c r="D69" s="30"/>
      <c r="E69" s="42">
        <v>52</v>
      </c>
      <c r="F69" s="31"/>
      <c r="G69" s="31"/>
      <c r="H69" s="31"/>
      <c r="I69" s="31"/>
      <c r="J69" s="101">
        <v>8007060</v>
      </c>
      <c r="K69" s="101">
        <v>8007060</v>
      </c>
      <c r="L69" s="101">
        <v>0</v>
      </c>
      <c r="M69" s="101">
        <v>8175206</v>
      </c>
      <c r="N69" s="101"/>
      <c r="O69" s="101">
        <v>8175206</v>
      </c>
      <c r="P69" s="31"/>
      <c r="Q69" s="31"/>
      <c r="R69" s="31" t="s">
        <v>1405</v>
      </c>
      <c r="S69" s="31" t="s">
        <v>1406</v>
      </c>
      <c r="T69" s="31" t="s">
        <v>492</v>
      </c>
      <c r="U69" s="31" t="s">
        <v>1270</v>
      </c>
      <c r="V69" s="31"/>
      <c r="W69" s="84">
        <f>Tabla10[[#This Row],[Avalúo Total 2025]]-Tabla10[[#This Row],[Avalúo Diciembre 2024]]</f>
        <v>168146</v>
      </c>
      <c r="X69" s="84">
        <f>Tabla10[[#This Row],[Avalúo Afecto Dic-2025]]-Tabla10[[#This Row],[Avalúo Afecto Dic-2024]]</f>
        <v>8175206</v>
      </c>
      <c r="Y69" s="84">
        <f>Tabla10[[#This Row],[Avalúo Exento Dic-2025]]-Tabla10[[#This Row],[Avalúo Exento Dic-2024]]</f>
        <v>-8007060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 t="s">
        <v>88</v>
      </c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spans="1:53" x14ac:dyDescent="0.3">
      <c r="A70" s="30" t="s">
        <v>793</v>
      </c>
      <c r="B70" s="30" t="s">
        <v>1199</v>
      </c>
      <c r="C70" s="30" t="s">
        <v>1201</v>
      </c>
      <c r="D70" s="30"/>
      <c r="E70" s="42">
        <v>42</v>
      </c>
      <c r="F70" s="31"/>
      <c r="G70" s="31"/>
      <c r="H70" s="31"/>
      <c r="I70" s="31"/>
      <c r="J70" s="101">
        <v>6379091</v>
      </c>
      <c r="K70" s="101">
        <v>6379091</v>
      </c>
      <c r="L70" s="101">
        <v>0</v>
      </c>
      <c r="M70" s="101">
        <v>6513050</v>
      </c>
      <c r="N70" s="101"/>
      <c r="O70" s="101">
        <v>6513050</v>
      </c>
      <c r="P70" s="31"/>
      <c r="Q70" s="31"/>
      <c r="R70" s="31" t="s">
        <v>1407</v>
      </c>
      <c r="S70" s="31" t="s">
        <v>1406</v>
      </c>
      <c r="T70" s="31" t="s">
        <v>492</v>
      </c>
      <c r="U70" s="31" t="s">
        <v>1270</v>
      </c>
      <c r="V70" s="31"/>
      <c r="W70" s="84">
        <f>Tabla10[[#This Row],[Avalúo Total 2025]]-Tabla10[[#This Row],[Avalúo Diciembre 2024]]</f>
        <v>133959</v>
      </c>
      <c r="X70" s="84">
        <f>Tabla10[[#This Row],[Avalúo Afecto Dic-2025]]-Tabla10[[#This Row],[Avalúo Afecto Dic-2024]]</f>
        <v>6513050</v>
      </c>
      <c r="Y70" s="84">
        <f>Tabla10[[#This Row],[Avalúo Exento Dic-2025]]-Tabla10[[#This Row],[Avalúo Exento Dic-2024]]</f>
        <v>-6379091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 t="s">
        <v>88</v>
      </c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spans="1:53" x14ac:dyDescent="0.3">
      <c r="A71" s="30" t="s">
        <v>793</v>
      </c>
      <c r="B71" s="30" t="s">
        <v>508</v>
      </c>
      <c r="C71" s="30" t="s">
        <v>1202</v>
      </c>
      <c r="D71" s="30"/>
      <c r="E71" s="42">
        <v>46</v>
      </c>
      <c r="F71" s="31"/>
      <c r="G71" s="31"/>
      <c r="H71" s="31"/>
      <c r="I71" s="31"/>
      <c r="J71" s="101">
        <v>9897328</v>
      </c>
      <c r="K71" s="101">
        <v>9897328</v>
      </c>
      <c r="L71" s="101">
        <v>0</v>
      </c>
      <c r="M71" s="101">
        <v>10105169</v>
      </c>
      <c r="N71" s="101"/>
      <c r="O71" s="101">
        <v>10105169</v>
      </c>
      <c r="P71" s="31"/>
      <c r="Q71" s="31"/>
      <c r="R71" s="31" t="s">
        <v>1408</v>
      </c>
      <c r="S71" s="31" t="s">
        <v>1406</v>
      </c>
      <c r="T71" s="31" t="s">
        <v>492</v>
      </c>
      <c r="U71" s="31" t="s">
        <v>1270</v>
      </c>
      <c r="V71" s="31"/>
      <c r="W71" s="84">
        <f>Tabla10[[#This Row],[Avalúo Total 2025]]-Tabla10[[#This Row],[Avalúo Diciembre 2024]]</f>
        <v>207841</v>
      </c>
      <c r="X71" s="84">
        <f>Tabla10[[#This Row],[Avalúo Afecto Dic-2025]]-Tabla10[[#This Row],[Avalúo Afecto Dic-2024]]</f>
        <v>10105169</v>
      </c>
      <c r="Y71" s="84">
        <f>Tabla10[[#This Row],[Avalúo Exento Dic-2025]]-Tabla10[[#This Row],[Avalúo Exento Dic-2024]]</f>
        <v>-9897328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 t="s">
        <v>88</v>
      </c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</row>
    <row r="72" spans="1:53" x14ac:dyDescent="0.3">
      <c r="A72" s="30" t="s">
        <v>793</v>
      </c>
      <c r="B72" s="30" t="s">
        <v>508</v>
      </c>
      <c r="C72" s="30" t="s">
        <v>1203</v>
      </c>
      <c r="D72" s="30"/>
      <c r="E72" s="42">
        <v>46</v>
      </c>
      <c r="F72" s="31"/>
      <c r="G72" s="31"/>
      <c r="H72" s="31"/>
      <c r="I72" s="31"/>
      <c r="J72" s="101">
        <v>9897329</v>
      </c>
      <c r="K72" s="101">
        <v>9897329</v>
      </c>
      <c r="L72" s="101">
        <v>0</v>
      </c>
      <c r="M72" s="101">
        <v>10105170</v>
      </c>
      <c r="N72" s="101"/>
      <c r="O72" s="101">
        <v>10105170</v>
      </c>
      <c r="P72" s="31"/>
      <c r="Q72" s="31"/>
      <c r="R72" s="31" t="s">
        <v>1409</v>
      </c>
      <c r="S72" s="31" t="s">
        <v>1406</v>
      </c>
      <c r="T72" s="31" t="s">
        <v>492</v>
      </c>
      <c r="U72" s="31" t="s">
        <v>1270</v>
      </c>
      <c r="V72" s="31"/>
      <c r="W72" s="84">
        <f>Tabla10[[#This Row],[Avalúo Total 2025]]-Tabla10[[#This Row],[Avalúo Diciembre 2024]]</f>
        <v>207841</v>
      </c>
      <c r="X72" s="84">
        <f>Tabla10[[#This Row],[Avalúo Afecto Dic-2025]]-Tabla10[[#This Row],[Avalúo Afecto Dic-2024]]</f>
        <v>10105170</v>
      </c>
      <c r="Y72" s="84">
        <f>Tabla10[[#This Row],[Avalúo Exento Dic-2025]]-Tabla10[[#This Row],[Avalúo Exento Dic-2024]]</f>
        <v>-9897329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 t="s">
        <v>88</v>
      </c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</row>
    <row r="73" spans="1:53" x14ac:dyDescent="0.3">
      <c r="A73" s="30" t="s">
        <v>89</v>
      </c>
      <c r="B73" s="30" t="s">
        <v>80</v>
      </c>
      <c r="C73" s="30" t="s">
        <v>1410</v>
      </c>
      <c r="D73" s="30"/>
      <c r="E73" s="42">
        <v>200</v>
      </c>
      <c r="F73" s="31"/>
      <c r="G73" s="31"/>
      <c r="H73" s="31"/>
      <c r="I73" s="31"/>
      <c r="J73" s="101">
        <v>14870182</v>
      </c>
      <c r="K73" s="101">
        <v>0</v>
      </c>
      <c r="L73" s="101">
        <v>14870182</v>
      </c>
      <c r="M73" s="101">
        <v>15182451</v>
      </c>
      <c r="N73" s="101"/>
      <c r="O73" s="101">
        <v>15182451</v>
      </c>
      <c r="P73" s="31"/>
      <c r="Q73" s="31"/>
      <c r="R73" s="31" t="s">
        <v>141</v>
      </c>
      <c r="S73" s="31" t="s">
        <v>1269</v>
      </c>
      <c r="T73" s="31" t="s">
        <v>77</v>
      </c>
      <c r="U73" s="31" t="s">
        <v>144</v>
      </c>
      <c r="V73" s="31"/>
      <c r="W73" s="84">
        <f>Tabla10[[#This Row],[Avalúo Total 2025]]-Tabla10[[#This Row],[Avalúo Diciembre 2024]]</f>
        <v>312269</v>
      </c>
      <c r="X73" s="84">
        <f>Tabla10[[#This Row],[Avalúo Afecto Dic-2025]]-Tabla10[[#This Row],[Avalúo Afecto Dic-2024]]</f>
        <v>312269</v>
      </c>
      <c r="Y73" s="84">
        <f>Tabla10[[#This Row],[Avalúo Exento Dic-2025]]-Tabla10[[#This Row],[Avalúo Exento Dic-2024]]</f>
        <v>0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 t="s">
        <v>88</v>
      </c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</row>
    <row r="74" spans="1:53" x14ac:dyDescent="0.3">
      <c r="A74" s="30" t="s">
        <v>89</v>
      </c>
      <c r="B74" s="30" t="s">
        <v>80</v>
      </c>
      <c r="C74" s="30" t="s">
        <v>1411</v>
      </c>
      <c r="D74" s="30"/>
      <c r="E74" s="42">
        <v>0</v>
      </c>
      <c r="F74" s="31"/>
      <c r="G74" s="31"/>
      <c r="H74" s="31"/>
      <c r="I74" s="31"/>
      <c r="J74" s="101">
        <v>285725348</v>
      </c>
      <c r="K74" s="101">
        <v>285725348</v>
      </c>
      <c r="L74" s="101">
        <v>0</v>
      </c>
      <c r="M74" s="101">
        <v>0</v>
      </c>
      <c r="N74" s="101"/>
      <c r="O74" s="101">
        <v>0</v>
      </c>
      <c r="P74" s="31"/>
      <c r="Q74" s="31"/>
      <c r="R74" s="31" t="s">
        <v>678</v>
      </c>
      <c r="S74" s="31" t="s">
        <v>1269</v>
      </c>
      <c r="T74" s="31" t="s">
        <v>77</v>
      </c>
      <c r="U74" s="31" t="s">
        <v>151</v>
      </c>
      <c r="V74" s="31"/>
      <c r="W74" s="84">
        <f>Tabla10[[#This Row],[Avalúo Total 2025]]-Tabla10[[#This Row],[Avalúo Diciembre 2024]]</f>
        <v>-285725348</v>
      </c>
      <c r="X74" s="84">
        <f>Tabla10[[#This Row],[Avalúo Afecto Dic-2025]]-Tabla10[[#This Row],[Avalúo Afecto Dic-2024]]</f>
        <v>0</v>
      </c>
      <c r="Y74" s="84">
        <f>Tabla10[[#This Row],[Avalúo Exento Dic-2025]]-Tabla10[[#This Row],[Avalúo Exento Dic-2024]]</f>
        <v>-285725348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 t="s">
        <v>88</v>
      </c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</row>
    <row r="75" spans="1:53" x14ac:dyDescent="0.3">
      <c r="A75" s="30" t="s">
        <v>493</v>
      </c>
      <c r="B75" s="30" t="s">
        <v>383</v>
      </c>
      <c r="C75" s="30" t="s">
        <v>1412</v>
      </c>
      <c r="D75" s="30"/>
      <c r="E75" s="42">
        <v>87</v>
      </c>
      <c r="F75" s="31"/>
      <c r="G75" s="31"/>
      <c r="H75" s="31"/>
      <c r="I75" s="31"/>
      <c r="J75" s="101">
        <v>138030675</v>
      </c>
      <c r="K75" s="101">
        <v>0</v>
      </c>
      <c r="L75" s="101">
        <v>138030675</v>
      </c>
      <c r="M75" s="101">
        <v>140929275</v>
      </c>
      <c r="N75" s="101"/>
      <c r="O75" s="101">
        <v>140929275</v>
      </c>
      <c r="P75" s="31" t="s">
        <v>1413</v>
      </c>
      <c r="Q75" s="31" t="s">
        <v>1413</v>
      </c>
      <c r="R75" s="31" t="s">
        <v>1413</v>
      </c>
      <c r="S75" s="31" t="s">
        <v>1269</v>
      </c>
      <c r="T75" s="31" t="s">
        <v>77</v>
      </c>
      <c r="U75" s="31" t="s">
        <v>85</v>
      </c>
      <c r="V75" s="31"/>
      <c r="W75" s="84">
        <f>Tabla10[[#This Row],[Avalúo Total 2025]]-Tabla10[[#This Row],[Avalúo Diciembre 2024]]</f>
        <v>2898600</v>
      </c>
      <c r="X75" s="84">
        <f>Tabla10[[#This Row],[Avalúo Afecto Dic-2025]]-Tabla10[[#This Row],[Avalúo Afecto Dic-2024]]</f>
        <v>2898600</v>
      </c>
      <c r="Y75" s="84">
        <f>Tabla10[[#This Row],[Avalúo Exento Dic-2025]]-Tabla10[[#This Row],[Avalúo Exento Dic-2024]]</f>
        <v>0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 t="s">
        <v>88</v>
      </c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</row>
    <row r="76" spans="1:53" x14ac:dyDescent="0.3">
      <c r="A76" s="30" t="s">
        <v>493</v>
      </c>
      <c r="B76" s="30" t="s">
        <v>383</v>
      </c>
      <c r="C76" s="30" t="s">
        <v>1414</v>
      </c>
      <c r="D76" s="30"/>
      <c r="E76" s="42">
        <v>65</v>
      </c>
      <c r="F76" s="31"/>
      <c r="G76" s="31"/>
      <c r="H76" s="31"/>
      <c r="I76" s="31"/>
      <c r="J76" s="101">
        <v>103129062</v>
      </c>
      <c r="K76" s="101">
        <v>0</v>
      </c>
      <c r="L76" s="101">
        <v>103129062</v>
      </c>
      <c r="M76" s="101">
        <v>105294740</v>
      </c>
      <c r="N76" s="101"/>
      <c r="O76" s="101">
        <v>105294740</v>
      </c>
      <c r="P76" s="31" t="s">
        <v>1415</v>
      </c>
      <c r="Q76" s="31" t="s">
        <v>1415</v>
      </c>
      <c r="R76" s="31" t="s">
        <v>1415</v>
      </c>
      <c r="S76" s="31" t="s">
        <v>1269</v>
      </c>
      <c r="T76" s="31" t="s">
        <v>77</v>
      </c>
      <c r="U76" s="31" t="s">
        <v>85</v>
      </c>
      <c r="V76" s="31"/>
      <c r="W76" s="84">
        <f>Tabla10[[#This Row],[Avalúo Total 2025]]-Tabla10[[#This Row],[Avalúo Diciembre 2024]]</f>
        <v>2165678</v>
      </c>
      <c r="X76" s="84">
        <f>Tabla10[[#This Row],[Avalúo Afecto Dic-2025]]-Tabla10[[#This Row],[Avalúo Afecto Dic-2024]]</f>
        <v>2165678</v>
      </c>
      <c r="Y76" s="84">
        <f>Tabla10[[#This Row],[Avalúo Exento Dic-2025]]-Tabla10[[#This Row],[Avalúo Exento Dic-2024]]</f>
        <v>0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 t="s">
        <v>88</v>
      </c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</row>
    <row r="77" spans="1:53" x14ac:dyDescent="0.3">
      <c r="A77" s="30" t="s">
        <v>493</v>
      </c>
      <c r="B77" s="30" t="s">
        <v>383</v>
      </c>
      <c r="C77" s="30" t="s">
        <v>1416</v>
      </c>
      <c r="D77" s="30"/>
      <c r="E77" s="42">
        <v>13</v>
      </c>
      <c r="F77" s="31"/>
      <c r="G77" s="31"/>
      <c r="H77" s="31"/>
      <c r="I77" s="31"/>
      <c r="J77" s="101">
        <v>5040198</v>
      </c>
      <c r="K77" s="101">
        <v>0</v>
      </c>
      <c r="L77" s="101">
        <v>5040198</v>
      </c>
      <c r="M77" s="101">
        <v>5146040</v>
      </c>
      <c r="N77" s="101"/>
      <c r="O77" s="101">
        <v>5146040</v>
      </c>
      <c r="P77" s="31" t="s">
        <v>1417</v>
      </c>
      <c r="Q77" s="31" t="s">
        <v>1417</v>
      </c>
      <c r="R77" s="31" t="s">
        <v>1417</v>
      </c>
      <c r="S77" s="31" t="s">
        <v>1269</v>
      </c>
      <c r="T77" s="31" t="s">
        <v>77</v>
      </c>
      <c r="U77" s="31" t="s">
        <v>1330</v>
      </c>
      <c r="V77" s="31"/>
      <c r="W77" s="84">
        <f>Tabla10[[#This Row],[Avalúo Total 2025]]-Tabla10[[#This Row],[Avalúo Diciembre 2024]]</f>
        <v>105842</v>
      </c>
      <c r="X77" s="84">
        <f>Tabla10[[#This Row],[Avalúo Afecto Dic-2025]]-Tabla10[[#This Row],[Avalúo Afecto Dic-2024]]</f>
        <v>105842</v>
      </c>
      <c r="Y77" s="84">
        <f>Tabla10[[#This Row],[Avalúo Exento Dic-2025]]-Tabla10[[#This Row],[Avalúo Exento Dic-2024]]</f>
        <v>0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 t="s">
        <v>88</v>
      </c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</row>
    <row r="78" spans="1:53" x14ac:dyDescent="0.3">
      <c r="A78" s="30" t="s">
        <v>493</v>
      </c>
      <c r="B78" s="30" t="s">
        <v>383</v>
      </c>
      <c r="C78" s="30" t="s">
        <v>1418</v>
      </c>
      <c r="D78" s="30"/>
      <c r="E78" s="42">
        <v>13</v>
      </c>
      <c r="F78" s="31"/>
      <c r="G78" s="31"/>
      <c r="H78" s="31"/>
      <c r="I78" s="31"/>
      <c r="J78" s="101">
        <v>5040198</v>
      </c>
      <c r="K78" s="101">
        <v>0</v>
      </c>
      <c r="L78" s="101">
        <v>5040198</v>
      </c>
      <c r="M78" s="101">
        <v>5146040</v>
      </c>
      <c r="N78" s="101"/>
      <c r="O78" s="101">
        <v>5146040</v>
      </c>
      <c r="P78" s="31" t="s">
        <v>1419</v>
      </c>
      <c r="Q78" s="31" t="s">
        <v>1419</v>
      </c>
      <c r="R78" s="31" t="s">
        <v>1419</v>
      </c>
      <c r="S78" s="31" t="s">
        <v>1269</v>
      </c>
      <c r="T78" s="31" t="s">
        <v>77</v>
      </c>
      <c r="U78" s="31" t="s">
        <v>1330</v>
      </c>
      <c r="V78" s="31"/>
      <c r="W78" s="84">
        <f>Tabla10[[#This Row],[Avalúo Total 2025]]-Tabla10[[#This Row],[Avalúo Diciembre 2024]]</f>
        <v>105842</v>
      </c>
      <c r="X78" s="84">
        <f>Tabla10[[#This Row],[Avalúo Afecto Dic-2025]]-Tabla10[[#This Row],[Avalúo Afecto Dic-2024]]</f>
        <v>105842</v>
      </c>
      <c r="Y78" s="84">
        <f>Tabla10[[#This Row],[Avalúo Exento Dic-2025]]-Tabla10[[#This Row],[Avalúo Exento Dic-2024]]</f>
        <v>0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 t="s">
        <v>88</v>
      </c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</row>
    <row r="79" spans="1:53" x14ac:dyDescent="0.3">
      <c r="A79" s="30" t="s">
        <v>493</v>
      </c>
      <c r="B79" s="30" t="s">
        <v>383</v>
      </c>
      <c r="C79" s="30" t="s">
        <v>1420</v>
      </c>
      <c r="D79" s="30"/>
      <c r="E79" s="42">
        <v>28</v>
      </c>
      <c r="F79" s="31"/>
      <c r="G79" s="31"/>
      <c r="H79" s="31"/>
      <c r="I79" s="31"/>
      <c r="J79" s="101">
        <v>10945202</v>
      </c>
      <c r="K79" s="101">
        <v>0</v>
      </c>
      <c r="L79" s="101">
        <v>10945202</v>
      </c>
      <c r="M79" s="101">
        <v>11175048</v>
      </c>
      <c r="N79" s="101"/>
      <c r="O79" s="101">
        <v>11175048</v>
      </c>
      <c r="P79" s="31" t="s">
        <v>1421</v>
      </c>
      <c r="Q79" s="31" t="s">
        <v>1421</v>
      </c>
      <c r="R79" s="31" t="s">
        <v>1421</v>
      </c>
      <c r="S79" s="31" t="s">
        <v>1269</v>
      </c>
      <c r="T79" s="31" t="s">
        <v>77</v>
      </c>
      <c r="U79" s="31" t="s">
        <v>1330</v>
      </c>
      <c r="V79" s="31"/>
      <c r="W79" s="84">
        <f>Tabla10[[#This Row],[Avalúo Total 2025]]-Tabla10[[#This Row],[Avalúo Diciembre 2024]]</f>
        <v>229846</v>
      </c>
      <c r="X79" s="84">
        <f>Tabla10[[#This Row],[Avalúo Afecto Dic-2025]]-Tabla10[[#This Row],[Avalúo Afecto Dic-2024]]</f>
        <v>229846</v>
      </c>
      <c r="Y79" s="84">
        <f>Tabla10[[#This Row],[Avalúo Exento Dic-2025]]-Tabla10[[#This Row],[Avalúo Exento Dic-2024]]</f>
        <v>0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 t="s">
        <v>88</v>
      </c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x14ac:dyDescent="0.3">
      <c r="A80" s="30" t="s">
        <v>493</v>
      </c>
      <c r="B80" s="30" t="s">
        <v>383</v>
      </c>
      <c r="C80" s="30" t="s">
        <v>1422</v>
      </c>
      <c r="D80" s="30"/>
      <c r="E80" s="42">
        <v>5</v>
      </c>
      <c r="F80" s="31"/>
      <c r="G80" s="31"/>
      <c r="H80" s="31"/>
      <c r="I80" s="31"/>
      <c r="J80" s="101">
        <v>1996763</v>
      </c>
      <c r="K80" s="101">
        <v>0</v>
      </c>
      <c r="L80" s="101">
        <v>1996763</v>
      </c>
      <c r="M80" s="101">
        <v>2038695</v>
      </c>
      <c r="N80" s="101"/>
      <c r="O80" s="101">
        <v>2038695</v>
      </c>
      <c r="P80" s="31" t="s">
        <v>1423</v>
      </c>
      <c r="Q80" s="31" t="s">
        <v>1423</v>
      </c>
      <c r="R80" s="31" t="s">
        <v>1423</v>
      </c>
      <c r="S80" s="31" t="s">
        <v>1269</v>
      </c>
      <c r="T80" s="31" t="s">
        <v>77</v>
      </c>
      <c r="U80" s="31" t="s">
        <v>1291</v>
      </c>
      <c r="V80" s="31"/>
      <c r="W80" s="84">
        <f>Tabla10[[#This Row],[Avalúo Total 2025]]-Tabla10[[#This Row],[Avalúo Diciembre 2024]]</f>
        <v>41932</v>
      </c>
      <c r="X80" s="84">
        <f>Tabla10[[#This Row],[Avalúo Afecto Dic-2025]]-Tabla10[[#This Row],[Avalúo Afecto Dic-2024]]</f>
        <v>41932</v>
      </c>
      <c r="Y80" s="84">
        <f>Tabla10[[#This Row],[Avalúo Exento Dic-2025]]-Tabla10[[#This Row],[Avalúo Exento Dic-2024]]</f>
        <v>0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 t="s">
        <v>88</v>
      </c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x14ac:dyDescent="0.3">
      <c r="A81" s="30" t="s">
        <v>493</v>
      </c>
      <c r="B81" s="30" t="s">
        <v>383</v>
      </c>
      <c r="C81" s="30" t="s">
        <v>1424</v>
      </c>
      <c r="D81" s="30"/>
      <c r="E81" s="42">
        <v>5</v>
      </c>
      <c r="F81" s="31"/>
      <c r="G81" s="31"/>
      <c r="H81" s="31"/>
      <c r="I81" s="31"/>
      <c r="J81" s="101">
        <v>1996763</v>
      </c>
      <c r="K81" s="101">
        <v>0</v>
      </c>
      <c r="L81" s="101">
        <v>1996763</v>
      </c>
      <c r="M81" s="101">
        <v>2038695</v>
      </c>
      <c r="N81" s="101"/>
      <c r="O81" s="101">
        <v>2038695</v>
      </c>
      <c r="P81" s="31" t="s">
        <v>1425</v>
      </c>
      <c r="Q81" s="31" t="s">
        <v>1425</v>
      </c>
      <c r="R81" s="31" t="s">
        <v>1425</v>
      </c>
      <c r="S81" s="31" t="s">
        <v>1269</v>
      </c>
      <c r="T81" s="31" t="s">
        <v>77</v>
      </c>
      <c r="U81" s="31" t="s">
        <v>1291</v>
      </c>
      <c r="V81" s="31"/>
      <c r="W81" s="84">
        <f>Tabla10[[#This Row],[Avalúo Total 2025]]-Tabla10[[#This Row],[Avalúo Diciembre 2024]]</f>
        <v>41932</v>
      </c>
      <c r="X81" s="84">
        <f>Tabla10[[#This Row],[Avalúo Afecto Dic-2025]]-Tabla10[[#This Row],[Avalúo Afecto Dic-2024]]</f>
        <v>41932</v>
      </c>
      <c r="Y81" s="84">
        <f>Tabla10[[#This Row],[Avalúo Exento Dic-2025]]-Tabla10[[#This Row],[Avalúo Exento Dic-2024]]</f>
        <v>0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 t="s">
        <v>88</v>
      </c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x14ac:dyDescent="0.3">
      <c r="A82" s="30" t="s">
        <v>493</v>
      </c>
      <c r="B82" s="30" t="s">
        <v>80</v>
      </c>
      <c r="C82" s="30" t="s">
        <v>1426</v>
      </c>
      <c r="D82" s="30"/>
      <c r="E82" s="42">
        <v>13049.44</v>
      </c>
      <c r="F82" s="31"/>
      <c r="G82" s="31"/>
      <c r="H82" s="31"/>
      <c r="I82" s="31"/>
      <c r="J82" s="101">
        <v>12533134809</v>
      </c>
      <c r="K82" s="101">
        <v>0</v>
      </c>
      <c r="L82" s="101">
        <v>12533134809</v>
      </c>
      <c r="M82" s="101">
        <v>14467324736</v>
      </c>
      <c r="N82" s="101"/>
      <c r="O82" s="101">
        <v>14467324736</v>
      </c>
      <c r="P82" s="31"/>
      <c r="Q82" s="31"/>
      <c r="R82" s="31" t="s">
        <v>863</v>
      </c>
      <c r="S82" s="31" t="s">
        <v>1269</v>
      </c>
      <c r="T82" s="31" t="s">
        <v>77</v>
      </c>
      <c r="U82" s="31" t="s">
        <v>151</v>
      </c>
      <c r="V82" s="31"/>
      <c r="W82" s="84">
        <f>Tabla10[[#This Row],[Avalúo Total 2025]]-Tabla10[[#This Row],[Avalúo Diciembre 2024]]</f>
        <v>1934189927</v>
      </c>
      <c r="X82" s="84">
        <f>Tabla10[[#This Row],[Avalúo Afecto Dic-2025]]-Tabla10[[#This Row],[Avalúo Afecto Dic-2024]]</f>
        <v>1934189927</v>
      </c>
      <c r="Y82" s="84">
        <f>Tabla10[[#This Row],[Avalúo Exento Dic-2025]]-Tabla10[[#This Row],[Avalúo Exento Dic-2024]]</f>
        <v>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 t="s">
        <v>88</v>
      </c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x14ac:dyDescent="0.3">
      <c r="A83" s="30" t="s">
        <v>1192</v>
      </c>
      <c r="B83" s="30" t="s">
        <v>80</v>
      </c>
      <c r="C83" s="30" t="s">
        <v>1427</v>
      </c>
      <c r="D83" s="30"/>
      <c r="E83" s="42">
        <v>10312</v>
      </c>
      <c r="F83" s="31" t="s">
        <v>1194</v>
      </c>
      <c r="G83" s="31"/>
      <c r="H83" s="31"/>
      <c r="I83" s="31"/>
      <c r="J83" s="101">
        <v>3684295687</v>
      </c>
      <c r="K83" s="101">
        <v>0</v>
      </c>
      <c r="L83" s="101">
        <v>3684295687</v>
      </c>
      <c r="M83" s="101">
        <v>3761664718</v>
      </c>
      <c r="N83" s="101"/>
      <c r="O83" s="101">
        <v>3761664718</v>
      </c>
      <c r="P83" s="31"/>
      <c r="Q83" s="31"/>
      <c r="R83" s="31" t="s">
        <v>1195</v>
      </c>
      <c r="S83" s="31" t="s">
        <v>1269</v>
      </c>
      <c r="T83" s="31" t="s">
        <v>77</v>
      </c>
      <c r="U83" s="31" t="s">
        <v>1428</v>
      </c>
      <c r="V83" s="31"/>
      <c r="W83" s="84">
        <f>Tabla10[[#This Row],[Avalúo Total 2025]]-Tabla10[[#This Row],[Avalúo Diciembre 2024]]</f>
        <v>77369031</v>
      </c>
      <c r="X83" s="84">
        <f>Tabla10[[#This Row],[Avalúo Afecto Dic-2025]]-Tabla10[[#This Row],[Avalúo Afecto Dic-2024]]</f>
        <v>77369031</v>
      </c>
      <c r="Y83" s="84">
        <f>Tabla10[[#This Row],[Avalúo Exento Dic-2025]]-Tabla10[[#This Row],[Avalúo Exento Dic-2024]]</f>
        <v>0</v>
      </c>
      <c r="Z83" s="31"/>
      <c r="AA83" s="31"/>
      <c r="AB83" s="31"/>
      <c r="AC83" s="31"/>
      <c r="AD83" s="31"/>
      <c r="AE83" s="31">
        <v>12.35</v>
      </c>
      <c r="AF83" s="117">
        <v>106854</v>
      </c>
      <c r="AG83" s="31"/>
      <c r="AH83" s="32">
        <v>45610</v>
      </c>
      <c r="AI83" s="31" t="s">
        <v>108</v>
      </c>
      <c r="AJ83" s="31"/>
      <c r="AK83" s="31" t="s">
        <v>108</v>
      </c>
      <c r="AL83" s="31" t="s">
        <v>1196</v>
      </c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x14ac:dyDescent="0.3">
      <c r="A84" s="30" t="s">
        <v>496</v>
      </c>
      <c r="B84" s="30" t="s">
        <v>383</v>
      </c>
      <c r="C84" s="30" t="s">
        <v>1429</v>
      </c>
      <c r="D84" s="30"/>
      <c r="E84" s="42">
        <v>16</v>
      </c>
      <c r="F84" s="31"/>
      <c r="G84" s="31"/>
      <c r="H84" s="31"/>
      <c r="I84" s="31"/>
      <c r="J84" s="101">
        <v>15522605</v>
      </c>
      <c r="K84" s="101">
        <v>0</v>
      </c>
      <c r="L84" s="101">
        <v>15522605</v>
      </c>
      <c r="M84" s="101">
        <v>15848575</v>
      </c>
      <c r="N84" s="101"/>
      <c r="O84" s="101">
        <v>15848575</v>
      </c>
      <c r="P84" s="31"/>
      <c r="Q84" s="31"/>
      <c r="R84" s="31" t="s">
        <v>1430</v>
      </c>
      <c r="S84" s="31" t="s">
        <v>1269</v>
      </c>
      <c r="T84" s="31" t="s">
        <v>77</v>
      </c>
      <c r="U84" s="31" t="s">
        <v>1330</v>
      </c>
      <c r="V84" s="31"/>
      <c r="W84" s="84">
        <f>Tabla10[[#This Row],[Avalúo Total 2025]]-Tabla10[[#This Row],[Avalúo Diciembre 2024]]</f>
        <v>325970</v>
      </c>
      <c r="X84" s="84">
        <f>Tabla10[[#This Row],[Avalúo Afecto Dic-2025]]-Tabla10[[#This Row],[Avalúo Afecto Dic-2024]]</f>
        <v>325970</v>
      </c>
      <c r="Y84" s="84">
        <f>Tabla10[[#This Row],[Avalúo Exento Dic-2025]]-Tabla10[[#This Row],[Avalúo Exento Dic-2024]]</f>
        <v>0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 t="s">
        <v>88</v>
      </c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x14ac:dyDescent="0.3">
      <c r="A85" s="30" t="s">
        <v>496</v>
      </c>
      <c r="B85" s="30" t="s">
        <v>383</v>
      </c>
      <c r="C85" s="30" t="s">
        <v>1431</v>
      </c>
      <c r="D85" s="30"/>
      <c r="E85" s="42">
        <v>16</v>
      </c>
      <c r="F85" s="31"/>
      <c r="G85" s="31"/>
      <c r="H85" s="31"/>
      <c r="I85" s="31"/>
      <c r="J85" s="101">
        <v>15522605</v>
      </c>
      <c r="K85" s="101">
        <v>0</v>
      </c>
      <c r="L85" s="101">
        <v>15522605</v>
      </c>
      <c r="M85" s="101">
        <v>15848575</v>
      </c>
      <c r="N85" s="101"/>
      <c r="O85" s="101">
        <v>15848575</v>
      </c>
      <c r="P85" s="31"/>
      <c r="Q85" s="31"/>
      <c r="R85" s="31" t="s">
        <v>1432</v>
      </c>
      <c r="S85" s="31" t="s">
        <v>1269</v>
      </c>
      <c r="T85" s="31" t="s">
        <v>77</v>
      </c>
      <c r="U85" s="31" t="s">
        <v>1330</v>
      </c>
      <c r="V85" s="31"/>
      <c r="W85" s="84">
        <f>Tabla10[[#This Row],[Avalúo Total 2025]]-Tabla10[[#This Row],[Avalúo Diciembre 2024]]</f>
        <v>325970</v>
      </c>
      <c r="X85" s="84">
        <f>Tabla10[[#This Row],[Avalúo Afecto Dic-2025]]-Tabla10[[#This Row],[Avalúo Afecto Dic-2024]]</f>
        <v>325970</v>
      </c>
      <c r="Y85" s="84">
        <f>Tabla10[[#This Row],[Avalúo Exento Dic-2025]]-Tabla10[[#This Row],[Avalúo Exento Dic-2024]]</f>
        <v>0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 t="s">
        <v>88</v>
      </c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x14ac:dyDescent="0.3">
      <c r="A86" s="30" t="s">
        <v>496</v>
      </c>
      <c r="B86" s="30" t="s">
        <v>383</v>
      </c>
      <c r="C86" s="30" t="s">
        <v>1433</v>
      </c>
      <c r="D86" s="30"/>
      <c r="E86" s="42">
        <v>16</v>
      </c>
      <c r="F86" s="31"/>
      <c r="G86" s="31"/>
      <c r="H86" s="31"/>
      <c r="I86" s="31"/>
      <c r="J86" s="101">
        <v>15522605</v>
      </c>
      <c r="K86" s="101">
        <v>0</v>
      </c>
      <c r="L86" s="101">
        <v>15522605</v>
      </c>
      <c r="M86" s="101">
        <v>15848575</v>
      </c>
      <c r="N86" s="101"/>
      <c r="O86" s="101">
        <v>15848575</v>
      </c>
      <c r="P86" s="31"/>
      <c r="Q86" s="31"/>
      <c r="R86" s="31" t="s">
        <v>1434</v>
      </c>
      <c r="S86" s="31" t="s">
        <v>1269</v>
      </c>
      <c r="T86" s="31" t="s">
        <v>77</v>
      </c>
      <c r="U86" s="31" t="s">
        <v>1330</v>
      </c>
      <c r="V86" s="31"/>
      <c r="W86" s="84">
        <f>Tabla10[[#This Row],[Avalúo Total 2025]]-Tabla10[[#This Row],[Avalúo Diciembre 2024]]</f>
        <v>325970</v>
      </c>
      <c r="X86" s="84">
        <f>Tabla10[[#This Row],[Avalúo Afecto Dic-2025]]-Tabla10[[#This Row],[Avalúo Afecto Dic-2024]]</f>
        <v>325970</v>
      </c>
      <c r="Y86" s="84">
        <f>Tabla10[[#This Row],[Avalúo Exento Dic-2025]]-Tabla10[[#This Row],[Avalúo Exento Dic-2024]]</f>
        <v>0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 t="s">
        <v>88</v>
      </c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x14ac:dyDescent="0.3">
      <c r="A87" s="30" t="s">
        <v>1435</v>
      </c>
      <c r="B87" s="30" t="s">
        <v>80</v>
      </c>
      <c r="C87" s="30" t="s">
        <v>1436</v>
      </c>
      <c r="D87" s="30"/>
      <c r="E87" s="42">
        <v>106</v>
      </c>
      <c r="F87" s="31"/>
      <c r="G87" s="31"/>
      <c r="H87" s="31"/>
      <c r="I87" s="31"/>
      <c r="J87" s="101">
        <v>128370582</v>
      </c>
      <c r="K87" s="101">
        <v>56846995</v>
      </c>
      <c r="L87" s="101">
        <v>71523587</v>
      </c>
      <c r="M87" s="101">
        <v>131066323</v>
      </c>
      <c r="N87" s="101">
        <v>58040782</v>
      </c>
      <c r="O87" s="101">
        <v>73025541</v>
      </c>
      <c r="P87" s="31"/>
      <c r="Q87" s="31"/>
      <c r="R87" s="31" t="s">
        <v>1437</v>
      </c>
      <c r="S87" s="31" t="s">
        <v>1269</v>
      </c>
      <c r="T87" s="31" t="s">
        <v>77</v>
      </c>
      <c r="U87" s="31" t="s">
        <v>1270</v>
      </c>
      <c r="V87" s="31"/>
      <c r="W87" s="84">
        <f>Tabla10[[#This Row],[Avalúo Total 2025]]-Tabla10[[#This Row],[Avalúo Diciembre 2024]]</f>
        <v>2695741</v>
      </c>
      <c r="X87" s="84">
        <f>Tabla10[[#This Row],[Avalúo Afecto Dic-2025]]-Tabla10[[#This Row],[Avalúo Afecto Dic-2024]]</f>
        <v>1501954</v>
      </c>
      <c r="Y87" s="84">
        <f>Tabla10[[#This Row],[Avalúo Exento Dic-2025]]-Tabla10[[#This Row],[Avalúo Exento Dic-2024]]</f>
        <v>1193787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 t="s">
        <v>88</v>
      </c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x14ac:dyDescent="0.3">
      <c r="A88" s="30" t="s">
        <v>1435</v>
      </c>
      <c r="B88" s="30" t="s">
        <v>80</v>
      </c>
      <c r="C88" s="30" t="s">
        <v>1438</v>
      </c>
      <c r="D88" s="30"/>
      <c r="E88" s="42">
        <v>69</v>
      </c>
      <c r="F88" s="31"/>
      <c r="G88" s="31"/>
      <c r="H88" s="31"/>
      <c r="I88" s="31"/>
      <c r="J88" s="101">
        <v>83524444</v>
      </c>
      <c r="K88" s="101">
        <v>56846995</v>
      </c>
      <c r="L88" s="101">
        <v>26677449</v>
      </c>
      <c r="M88" s="101">
        <v>85278431</v>
      </c>
      <c r="N88" s="101">
        <v>58040782</v>
      </c>
      <c r="O88" s="101">
        <v>27237649</v>
      </c>
      <c r="P88" s="31"/>
      <c r="Q88" s="31"/>
      <c r="R88" s="31" t="s">
        <v>1439</v>
      </c>
      <c r="S88" s="31" t="s">
        <v>1269</v>
      </c>
      <c r="T88" s="31" t="s">
        <v>77</v>
      </c>
      <c r="U88" s="31" t="s">
        <v>1270</v>
      </c>
      <c r="V88" s="31"/>
      <c r="W88" s="84">
        <f>Tabla10[[#This Row],[Avalúo Total 2025]]-Tabla10[[#This Row],[Avalúo Diciembre 2024]]</f>
        <v>1753987</v>
      </c>
      <c r="X88" s="84">
        <f>Tabla10[[#This Row],[Avalúo Afecto Dic-2025]]-Tabla10[[#This Row],[Avalúo Afecto Dic-2024]]</f>
        <v>560200</v>
      </c>
      <c r="Y88" s="84">
        <f>Tabla10[[#This Row],[Avalúo Exento Dic-2025]]-Tabla10[[#This Row],[Avalúo Exento Dic-2024]]</f>
        <v>1193787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 t="s">
        <v>88</v>
      </c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x14ac:dyDescent="0.3">
      <c r="A89" s="30" t="s">
        <v>1435</v>
      </c>
      <c r="B89" s="30" t="s">
        <v>80</v>
      </c>
      <c r="C89" s="30" t="s">
        <v>1440</v>
      </c>
      <c r="D89" s="30"/>
      <c r="E89" s="42">
        <v>106</v>
      </c>
      <c r="F89" s="31"/>
      <c r="G89" s="31"/>
      <c r="H89" s="31"/>
      <c r="I89" s="31"/>
      <c r="J89" s="101">
        <v>128370582</v>
      </c>
      <c r="K89" s="101">
        <v>56846995</v>
      </c>
      <c r="L89" s="101">
        <v>71523587</v>
      </c>
      <c r="M89" s="101">
        <v>131066323</v>
      </c>
      <c r="N89" s="101">
        <v>58040782</v>
      </c>
      <c r="O89" s="101">
        <v>73025541</v>
      </c>
      <c r="P89" s="31"/>
      <c r="Q89" s="31"/>
      <c r="R89" s="31" t="s">
        <v>1441</v>
      </c>
      <c r="S89" s="31" t="s">
        <v>1269</v>
      </c>
      <c r="T89" s="31" t="s">
        <v>77</v>
      </c>
      <c r="U89" s="31" t="s">
        <v>1270</v>
      </c>
      <c r="V89" s="31"/>
      <c r="W89" s="84">
        <f>Tabla10[[#This Row],[Avalúo Total 2025]]-Tabla10[[#This Row],[Avalúo Diciembre 2024]]</f>
        <v>2695741</v>
      </c>
      <c r="X89" s="84">
        <f>Tabla10[[#This Row],[Avalúo Afecto Dic-2025]]-Tabla10[[#This Row],[Avalúo Afecto Dic-2024]]</f>
        <v>1501954</v>
      </c>
      <c r="Y89" s="84">
        <f>Tabla10[[#This Row],[Avalúo Exento Dic-2025]]-Tabla10[[#This Row],[Avalúo Exento Dic-2024]]</f>
        <v>1193787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 t="s">
        <v>88</v>
      </c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x14ac:dyDescent="0.3">
      <c r="A90" s="30" t="s">
        <v>1435</v>
      </c>
      <c r="B90" s="30" t="s">
        <v>80</v>
      </c>
      <c r="C90" s="30" t="s">
        <v>1442</v>
      </c>
      <c r="D90" s="30"/>
      <c r="E90" s="42">
        <v>3</v>
      </c>
      <c r="F90" s="31"/>
      <c r="G90" s="31"/>
      <c r="H90" s="31"/>
      <c r="I90" s="31"/>
      <c r="J90" s="101">
        <v>1548098</v>
      </c>
      <c r="K90" s="101">
        <v>0</v>
      </c>
      <c r="L90" s="101">
        <v>1548098</v>
      </c>
      <c r="M90" s="101">
        <v>1580608</v>
      </c>
      <c r="N90" s="101"/>
      <c r="O90" s="101">
        <v>1580608</v>
      </c>
      <c r="P90" s="31"/>
      <c r="Q90" s="31"/>
      <c r="R90" s="31" t="s">
        <v>1443</v>
      </c>
      <c r="S90" s="31" t="s">
        <v>1269</v>
      </c>
      <c r="T90" s="31" t="s">
        <v>77</v>
      </c>
      <c r="U90" s="31" t="s">
        <v>1291</v>
      </c>
      <c r="V90" s="31"/>
      <c r="W90" s="84">
        <f>Tabla10[[#This Row],[Avalúo Total 2025]]-Tabla10[[#This Row],[Avalúo Diciembre 2024]]</f>
        <v>32510</v>
      </c>
      <c r="X90" s="84">
        <f>Tabla10[[#This Row],[Avalúo Afecto Dic-2025]]-Tabla10[[#This Row],[Avalúo Afecto Dic-2024]]</f>
        <v>32510</v>
      </c>
      <c r="Y90" s="84">
        <f>Tabla10[[#This Row],[Avalúo Exento Dic-2025]]-Tabla10[[#This Row],[Avalúo Exento Dic-2024]]</f>
        <v>0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 t="s">
        <v>88</v>
      </c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x14ac:dyDescent="0.3">
      <c r="A91" s="30" t="s">
        <v>1435</v>
      </c>
      <c r="B91" s="30" t="s">
        <v>80</v>
      </c>
      <c r="C91" s="30" t="s">
        <v>1444</v>
      </c>
      <c r="D91" s="30"/>
      <c r="E91" s="42">
        <v>3</v>
      </c>
      <c r="F91" s="31"/>
      <c r="G91" s="31"/>
      <c r="H91" s="31"/>
      <c r="I91" s="31"/>
      <c r="J91" s="101">
        <v>1643537</v>
      </c>
      <c r="K91" s="101">
        <v>0</v>
      </c>
      <c r="L91" s="101">
        <v>1643537</v>
      </c>
      <c r="M91" s="101">
        <v>1678050</v>
      </c>
      <c r="N91" s="101"/>
      <c r="O91" s="101">
        <v>1678050</v>
      </c>
      <c r="P91" s="31"/>
      <c r="Q91" s="31"/>
      <c r="R91" s="31" t="s">
        <v>1445</v>
      </c>
      <c r="S91" s="31" t="s">
        <v>1269</v>
      </c>
      <c r="T91" s="31" t="s">
        <v>77</v>
      </c>
      <c r="U91" s="31" t="s">
        <v>1291</v>
      </c>
      <c r="V91" s="31"/>
      <c r="W91" s="84">
        <f>Tabla10[[#This Row],[Avalúo Total 2025]]-Tabla10[[#This Row],[Avalúo Diciembre 2024]]</f>
        <v>34513</v>
      </c>
      <c r="X91" s="84">
        <f>Tabla10[[#This Row],[Avalúo Afecto Dic-2025]]-Tabla10[[#This Row],[Avalúo Afecto Dic-2024]]</f>
        <v>34513</v>
      </c>
      <c r="Y91" s="84">
        <f>Tabla10[[#This Row],[Avalúo Exento Dic-2025]]-Tabla10[[#This Row],[Avalúo Exento Dic-2024]]</f>
        <v>0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 t="s">
        <v>88</v>
      </c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x14ac:dyDescent="0.3">
      <c r="A92" s="30" t="s">
        <v>1435</v>
      </c>
      <c r="B92" s="30" t="s">
        <v>80</v>
      </c>
      <c r="C92" s="30" t="s">
        <v>1446</v>
      </c>
      <c r="D92" s="30"/>
      <c r="E92" s="42">
        <v>6</v>
      </c>
      <c r="F92" s="31"/>
      <c r="G92" s="31"/>
      <c r="H92" s="31"/>
      <c r="I92" s="31"/>
      <c r="J92" s="101">
        <v>3213659</v>
      </c>
      <c r="K92" s="101">
        <v>0</v>
      </c>
      <c r="L92" s="101">
        <v>3213659</v>
      </c>
      <c r="M92" s="101">
        <v>3281145</v>
      </c>
      <c r="N92" s="101"/>
      <c r="O92" s="101">
        <v>3281145</v>
      </c>
      <c r="P92" s="31"/>
      <c r="Q92" s="31"/>
      <c r="R92" s="31" t="s">
        <v>1447</v>
      </c>
      <c r="S92" s="31" t="s">
        <v>1269</v>
      </c>
      <c r="T92" s="31" t="s">
        <v>77</v>
      </c>
      <c r="U92" s="31" t="s">
        <v>1291</v>
      </c>
      <c r="V92" s="31"/>
      <c r="W92" s="84">
        <f>Tabla10[[#This Row],[Avalúo Total 2025]]-Tabla10[[#This Row],[Avalúo Diciembre 2024]]</f>
        <v>67486</v>
      </c>
      <c r="X92" s="84">
        <f>Tabla10[[#This Row],[Avalúo Afecto Dic-2025]]-Tabla10[[#This Row],[Avalúo Afecto Dic-2024]]</f>
        <v>67486</v>
      </c>
      <c r="Y92" s="84">
        <f>Tabla10[[#This Row],[Avalúo Exento Dic-2025]]-Tabla10[[#This Row],[Avalúo Exento Dic-2024]]</f>
        <v>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 t="s">
        <v>88</v>
      </c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x14ac:dyDescent="0.3">
      <c r="A93" s="30" t="s">
        <v>1435</v>
      </c>
      <c r="B93" s="30" t="s">
        <v>80</v>
      </c>
      <c r="C93" s="30" t="s">
        <v>1448</v>
      </c>
      <c r="D93" s="30"/>
      <c r="E93" s="42">
        <v>8</v>
      </c>
      <c r="F93" s="31"/>
      <c r="G93" s="31"/>
      <c r="H93" s="31"/>
      <c r="I93" s="31"/>
      <c r="J93" s="101">
        <v>2284123</v>
      </c>
      <c r="K93" s="101">
        <v>0</v>
      </c>
      <c r="L93" s="101">
        <v>2284123</v>
      </c>
      <c r="M93" s="101">
        <v>2332089</v>
      </c>
      <c r="N93" s="101"/>
      <c r="O93" s="101">
        <v>2332089</v>
      </c>
      <c r="P93" s="31"/>
      <c r="Q93" s="31"/>
      <c r="R93" s="31" t="s">
        <v>1449</v>
      </c>
      <c r="S93" s="31" t="s">
        <v>1269</v>
      </c>
      <c r="T93" s="31" t="s">
        <v>77</v>
      </c>
      <c r="U93" s="31" t="s">
        <v>1330</v>
      </c>
      <c r="V93" s="31"/>
      <c r="W93" s="84">
        <f>Tabla10[[#This Row],[Avalúo Total 2025]]-Tabla10[[#This Row],[Avalúo Diciembre 2024]]</f>
        <v>47966</v>
      </c>
      <c r="X93" s="84">
        <f>Tabla10[[#This Row],[Avalúo Afecto Dic-2025]]-Tabla10[[#This Row],[Avalúo Afecto Dic-2024]]</f>
        <v>47966</v>
      </c>
      <c r="Y93" s="84">
        <f>Tabla10[[#This Row],[Avalúo Exento Dic-2025]]-Tabla10[[#This Row],[Avalúo Exento Dic-2024]]</f>
        <v>0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 t="s">
        <v>88</v>
      </c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x14ac:dyDescent="0.3">
      <c r="A94" s="30" t="s">
        <v>1435</v>
      </c>
      <c r="B94" s="30" t="s">
        <v>80</v>
      </c>
      <c r="C94" s="30" t="s">
        <v>1450</v>
      </c>
      <c r="D94" s="30"/>
      <c r="E94" s="42">
        <v>6</v>
      </c>
      <c r="F94" s="31"/>
      <c r="G94" s="31"/>
      <c r="H94" s="31"/>
      <c r="I94" s="31"/>
      <c r="J94" s="101">
        <v>1716479</v>
      </c>
      <c r="K94" s="101">
        <v>0</v>
      </c>
      <c r="L94" s="101">
        <v>1716479</v>
      </c>
      <c r="M94" s="101">
        <v>1752525</v>
      </c>
      <c r="N94" s="101"/>
      <c r="O94" s="101">
        <v>1752525</v>
      </c>
      <c r="P94" s="31"/>
      <c r="Q94" s="31"/>
      <c r="R94" s="31" t="s">
        <v>1451</v>
      </c>
      <c r="S94" s="31" t="s">
        <v>1269</v>
      </c>
      <c r="T94" s="31" t="s">
        <v>77</v>
      </c>
      <c r="U94" s="31" t="s">
        <v>1330</v>
      </c>
      <c r="V94" s="31"/>
      <c r="W94" s="84">
        <f>Tabla10[[#This Row],[Avalúo Total 2025]]-Tabla10[[#This Row],[Avalúo Diciembre 2024]]</f>
        <v>36046</v>
      </c>
      <c r="X94" s="84">
        <f>Tabla10[[#This Row],[Avalúo Afecto Dic-2025]]-Tabla10[[#This Row],[Avalúo Afecto Dic-2024]]</f>
        <v>36046</v>
      </c>
      <c r="Y94" s="84">
        <f>Tabla10[[#This Row],[Avalúo Exento Dic-2025]]-Tabla10[[#This Row],[Avalúo Exento Dic-2024]]</f>
        <v>0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 t="s">
        <v>88</v>
      </c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x14ac:dyDescent="0.3">
      <c r="A95" s="30" t="s">
        <v>1435</v>
      </c>
      <c r="B95" s="30" t="s">
        <v>80</v>
      </c>
      <c r="C95" s="30" t="s">
        <v>1452</v>
      </c>
      <c r="D95" s="30"/>
      <c r="E95" s="42">
        <v>6</v>
      </c>
      <c r="F95" s="31"/>
      <c r="G95" s="31"/>
      <c r="H95" s="31"/>
      <c r="I95" s="31"/>
      <c r="J95" s="101">
        <v>1716479</v>
      </c>
      <c r="K95" s="101">
        <v>0</v>
      </c>
      <c r="L95" s="101">
        <v>1716479</v>
      </c>
      <c r="M95" s="101">
        <v>1752525</v>
      </c>
      <c r="N95" s="101"/>
      <c r="O95" s="101">
        <v>1752525</v>
      </c>
      <c r="P95" s="31"/>
      <c r="Q95" s="31"/>
      <c r="R95" s="31" t="s">
        <v>1453</v>
      </c>
      <c r="S95" s="31" t="s">
        <v>1269</v>
      </c>
      <c r="T95" s="31" t="s">
        <v>77</v>
      </c>
      <c r="U95" s="31" t="s">
        <v>1330</v>
      </c>
      <c r="V95" s="31"/>
      <c r="W95" s="84">
        <f>Tabla10[[#This Row],[Avalúo Total 2025]]-Tabla10[[#This Row],[Avalúo Diciembre 2024]]</f>
        <v>36046</v>
      </c>
      <c r="X95" s="84">
        <f>Tabla10[[#This Row],[Avalúo Afecto Dic-2025]]-Tabla10[[#This Row],[Avalúo Afecto Dic-2024]]</f>
        <v>36046</v>
      </c>
      <c r="Y95" s="84">
        <f>Tabla10[[#This Row],[Avalúo Exento Dic-2025]]-Tabla10[[#This Row],[Avalúo Exento Dic-2024]]</f>
        <v>0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 t="s">
        <v>88</v>
      </c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</sheetData>
  <phoneticPr fontId="1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463B4640F7B1499B963DEE608E301B" ma:contentTypeVersion="11" ma:contentTypeDescription="Create a new document." ma:contentTypeScope="" ma:versionID="dc99190fe8d15f36ddf04808de0bdf8f">
  <xsd:schema xmlns:xsd="http://www.w3.org/2001/XMLSchema" xmlns:xs="http://www.w3.org/2001/XMLSchema" xmlns:p="http://schemas.microsoft.com/office/2006/metadata/properties" xmlns:ns2="9c3379bb-f3b0-4e81-87be-74f469c90e85" xmlns:ns3="fda7e5bc-2632-4680-a0f3-d89889ddc6fb" targetNamespace="http://schemas.microsoft.com/office/2006/metadata/properties" ma:root="true" ma:fieldsID="ff4983a57fc53f2a3bad699afed7c2b9" ns2:_="" ns3:_="">
    <xsd:import namespace="9c3379bb-f3b0-4e81-87be-74f469c90e85"/>
    <xsd:import namespace="fda7e5bc-2632-4680-a0f3-d89889ddc6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379bb-f3b0-4e81-87be-74f469c90e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81eba6-fff1-47c5-8683-ee3b0b2df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7e5bc-2632-4680-a0f3-d89889ddc6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3379bb-f3b0-4e81-87be-74f469c90e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942E4-64A7-4290-A451-945D44158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379bb-f3b0-4e81-87be-74f469c90e85"/>
    <ds:schemaRef ds:uri="fda7e5bc-2632-4680-a0f3-d89889ddc6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A6DC7-ECB8-4BA0-9281-6094C1415D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0BBB27-1C40-4503-908A-D3C859EEFE1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1EF1B03-57B5-4923-9BA6-6BD503B8B66C}">
  <ds:schemaRefs>
    <ds:schemaRef ds:uri="http://schemas.microsoft.com/office/2006/metadata/properties"/>
    <ds:schemaRef ds:uri="http://schemas.microsoft.com/office/infopath/2007/PartnerControls"/>
    <ds:schemaRef ds:uri="9c3379bb-f3b0-4e81-87be-74f469c90e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BBDD TERRENO</vt:lpstr>
      <vt:lpstr>OTROS</vt:lpstr>
      <vt:lpstr>TERRENO VENDIDOS</vt:lpstr>
      <vt:lpstr>VENDIDOS</vt:lpstr>
      <vt:lpstr>FAMILIA</vt:lpstr>
      <vt:lpstr>DISPONIBLES</vt:lpstr>
      <vt:lpstr>TERRENO POR VENDER</vt:lpstr>
      <vt:lpstr>OTROS TERRENOS</vt:lpstr>
      <vt:lpstr>TERRENO FAMILIA</vt:lpstr>
      <vt:lpstr>CONSTRUCCIONES</vt:lpstr>
      <vt:lpstr>CONSTRUCCION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Constanza Vergara Ponce</dc:creator>
  <cp:keywords/>
  <dc:description/>
  <cp:lastModifiedBy>David Hernandez Lopez</cp:lastModifiedBy>
  <cp:revision/>
  <dcterms:created xsi:type="dcterms:W3CDTF">2025-08-05T18:59:52Z</dcterms:created>
  <dcterms:modified xsi:type="dcterms:W3CDTF">2026-04-01T15:23:08Z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0x01010074463B4640F7B1499B963DEE608E301B</vt:lpwstr>
  </property>
  <property fmtid="{D5CDD505-2E9C-101B-9397-08002B2CF9AE}" pid="3" name="MediaServiceImageTags">
    <vt:lpwstr/>
  </property>
</Properties>
</file>